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loudadmwiwynn-my.sharepoint.com/personal/david_jh_lin_wiwynn_com/Documents/巨集 省時小工具/Test Coverage Report 省時小工具/"/>
    </mc:Choice>
  </mc:AlternateContent>
  <xr:revisionPtr revIDLastSave="6083" documentId="13_ncr:1_{2DECABB0-D893-40B9-A25D-91B7F22C3AA1}" xr6:coauthVersionLast="47" xr6:coauthVersionMax="47" xr10:uidLastSave="{A6EC0383-D9EE-46C4-A660-AE1D701F80E5}"/>
  <bookViews>
    <workbookView minimized="1" xWindow="1560" yWindow="1560" windowWidth="20025" windowHeight="15795" tabRatio="691" firstSheet="2" activeTab="6" xr2:uid="{00000000-000D-0000-FFFF-FFFF00000000}"/>
  </bookViews>
  <sheets>
    <sheet name="NC testable" sheetId="1" state="hidden" r:id="rId1"/>
    <sheet name="NC untestable" sheetId="2" state="hidden" r:id="rId2"/>
    <sheet name="Sheet0" sheetId="26" r:id="rId3"/>
    <sheet name="mapping table" sheetId="25" r:id="rId4"/>
    <sheet name="Summary" sheetId="10" r:id="rId5"/>
    <sheet name="MDA Component coverage summary" sheetId="11" r:id="rId6"/>
    <sheet name="MDA Location test summary" sheetId="12" r:id="rId7"/>
    <sheet name="Power to GND" sheetId="21" r:id="rId8"/>
    <sheet name="工作表1" sheetId="9" state="hidden" r:id="rId9"/>
  </sheets>
  <functionGroups builtInGroupCount="19">
    <functionGroup name="Commands"/>
  </functionGroups>
  <definedNames>
    <definedName name="_xlnm._FilterDatabase" localSheetId="6" hidden="1">'MDA Location test summary'!$A$1:$G$3314</definedName>
    <definedName name="SUMIF">'MDA Component coverage summary'!$C$5</definedName>
  </definedNames>
  <calcPr calcId="191029"/>
  <customWorkbookViews>
    <customWorkbookView name="Z - 個人檢視畫面" guid="{5693F48F-8FCA-4CC0-9286-11E7497B1810}" mergeInterval="0" personalView="1" maximized="1" windowWidth="1436" windowHeight="634" tabRatio="698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7" i="11" l="1"/>
  <c r="F37" i="10" l="1"/>
  <c r="F38" i="10"/>
  <c r="D7" i="11"/>
  <c r="E32" i="10" s="1"/>
  <c r="D8" i="11"/>
  <c r="E34" i="10" s="1"/>
  <c r="D9" i="11"/>
  <c r="E31" i="10" s="1"/>
  <c r="D11" i="11"/>
  <c r="D13" i="11"/>
  <c r="E39" i="10" s="1"/>
  <c r="D10" i="11"/>
  <c r="E30" i="10" s="1"/>
  <c r="D12" i="11"/>
  <c r="E36" i="10" s="1"/>
  <c r="D14" i="11"/>
  <c r="D15" i="11"/>
  <c r="E40" i="10" s="1"/>
  <c r="D6" i="11"/>
  <c r="E35" i="10" s="1"/>
  <c r="C12" i="11"/>
  <c r="B36" i="10" s="1"/>
  <c r="E14" i="11"/>
  <c r="D29" i="10" s="1"/>
  <c r="E13" i="11"/>
  <c r="D39" i="10" s="1"/>
  <c r="E12" i="11"/>
  <c r="D36" i="10" s="1"/>
  <c r="E11" i="11"/>
  <c r="E10" i="11"/>
  <c r="D30" i="10" s="1"/>
  <c r="E9" i="11"/>
  <c r="D31" i="10" s="1"/>
  <c r="E8" i="11"/>
  <c r="D34" i="10" s="1"/>
  <c r="E7" i="11"/>
  <c r="D32" i="10" s="1"/>
  <c r="E15" i="11"/>
  <c r="D40" i="10" s="1"/>
  <c r="E6" i="11"/>
  <c r="D35" i="10" s="1"/>
  <c r="E5" i="11"/>
  <c r="D33" i="10" s="1"/>
  <c r="D5" i="11"/>
  <c r="E29" i="10" s="1"/>
  <c r="C6" i="11"/>
  <c r="B35" i="10" s="1"/>
  <c r="C7" i="11"/>
  <c r="B32" i="10" s="1"/>
  <c r="C8" i="11"/>
  <c r="B34" i="10" s="1"/>
  <c r="C9" i="11"/>
  <c r="B31" i="10" s="1"/>
  <c r="C10" i="11"/>
  <c r="B30" i="10" s="1"/>
  <c r="C11" i="11"/>
  <c r="C13" i="11"/>
  <c r="B39" i="10" s="1"/>
  <c r="C14" i="11"/>
  <c r="B29" i="10" s="1"/>
  <c r="C15" i="11"/>
  <c r="B40" i="10" s="1"/>
  <c r="C5" i="11"/>
  <c r="B33" i="10" s="1"/>
  <c r="F31" i="10" l="1"/>
  <c r="F39" i="10"/>
  <c r="F40" i="10"/>
  <c r="F29" i="10"/>
  <c r="F32" i="10"/>
  <c r="F35" i="10"/>
  <c r="F34" i="10"/>
  <c r="F30" i="10"/>
  <c r="F33" i="10"/>
  <c r="F36" i="10"/>
  <c r="E33" i="10"/>
  <c r="E16" i="11"/>
  <c r="D41" i="10" s="1"/>
  <c r="F6" i="11"/>
  <c r="F15" i="11"/>
  <c r="F8" i="11"/>
  <c r="F10" i="11"/>
  <c r="F11" i="11"/>
  <c r="F14" i="11"/>
  <c r="F7" i="11"/>
  <c r="F9" i="11"/>
  <c r="F12" i="11"/>
  <c r="C16" i="11"/>
  <c r="F13" i="11"/>
  <c r="D16" i="11"/>
  <c r="F5" i="11"/>
  <c r="C18" i="11" l="1"/>
  <c r="B41" i="10"/>
  <c r="F41" i="10" s="1"/>
  <c r="E41" i="10"/>
  <c r="D18" i="11"/>
  <c r="F16" i="11"/>
  <c r="E18" i="11" l="1"/>
  <c r="F18" i="11"/>
</calcChain>
</file>

<file path=xl/sharedStrings.xml><?xml version="1.0" encoding="utf-8"?>
<sst xmlns="http://schemas.openxmlformats.org/spreadsheetml/2006/main" count="17864" uniqueCount="6099">
  <si>
    <t>No.</t>
    <phoneticPr fontId="3" type="noConversion"/>
  </si>
  <si>
    <t>因可植針位置被元件覆蓋</t>
  </si>
  <si>
    <t>TP_BMC_GPIOA0</t>
  </si>
  <si>
    <t xml:space="preserve">U25W4.80, </t>
  </si>
  <si>
    <t>30.00,30.00</t>
  </si>
  <si>
    <t>50mil</t>
  </si>
  <si>
    <t>39mil</t>
  </si>
  <si>
    <t>NC_6177</t>
  </si>
  <si>
    <t xml:space="preserve">EU3P1.4, </t>
  </si>
  <si>
    <t>75mil</t>
  </si>
  <si>
    <t>26.00,26.00</t>
  </si>
  <si>
    <t>100 mil</t>
  </si>
  <si>
    <t>TP_SMB_PEHPCPU0_EN</t>
  </si>
  <si>
    <t xml:space="preserve">U1W2.5, </t>
  </si>
  <si>
    <t>20.00,20.00</t>
  </si>
  <si>
    <t>TP_CPU1_RSVD_6</t>
  </si>
  <si>
    <t xml:space="preserve">U2D1.3026, </t>
  </si>
  <si>
    <t>TP_CPU1_RSVD_21</t>
  </si>
  <si>
    <t xml:space="preserve">U2D1.2785, </t>
  </si>
  <si>
    <t>TP_CPU1_RSVD_20</t>
  </si>
  <si>
    <t xml:space="preserve">U2D1.2870, </t>
  </si>
  <si>
    <t>TP_CPU1_RSVD_17</t>
  </si>
  <si>
    <t xml:space="preserve">U2D1.2914, </t>
  </si>
  <si>
    <t>TP_CPU1_RSVD_14</t>
  </si>
  <si>
    <t xml:space="preserve">U2D1.2948, </t>
  </si>
  <si>
    <t>TP_SLG55021_P5V_8</t>
  </si>
  <si>
    <t xml:space="preserve">EU8B1.8, </t>
  </si>
  <si>
    <t>TP_PVDDQ_ABC_RESET_N</t>
  </si>
  <si>
    <t xml:space="preserve">EU7G1.8, </t>
  </si>
  <si>
    <t>TP_PVCCIN_CPU0_APWM6</t>
  </si>
  <si>
    <t xml:space="preserve">EU4D4.2, </t>
  </si>
  <si>
    <t>TP_PVCCIO_CPU0_RESET_N</t>
  </si>
  <si>
    <t xml:space="preserve">EU3P1.8, </t>
  </si>
  <si>
    <t>TP_PVCCIO_CPU0_BPWM1</t>
  </si>
  <si>
    <t xml:space="preserve">EU3P1.3, </t>
  </si>
  <si>
    <t>TP_P3E_CPU1_PE1_MP_TXP&lt;7&gt;</t>
  </si>
  <si>
    <t xml:space="preserve">U2D1.2536, </t>
  </si>
  <si>
    <t>TP_P3E_CPU1_PE1_MP_TXP&lt;6&gt;</t>
  </si>
  <si>
    <t xml:space="preserve">U2D1.2447, </t>
  </si>
  <si>
    <t>TP_P3E_CPU1_PE1_MP_TXP&lt;4&gt;</t>
  </si>
  <si>
    <t xml:space="preserve">U2D1.2245, </t>
  </si>
  <si>
    <t>TP_P3E_CPU1_PE1_MP_TXP&lt;2&gt;</t>
  </si>
  <si>
    <t xml:space="preserve">U2D1.2162, </t>
  </si>
  <si>
    <t>TP_P3E_CPU1_PE1_MP_TXN&lt;5&gt;</t>
  </si>
  <si>
    <t xml:space="preserve">U2D1.2411, </t>
  </si>
  <si>
    <t>TP_P3E_CPU1_PE1_MP_TXN&lt;1&gt;</t>
  </si>
  <si>
    <t xml:space="preserve">U2D1.2114, </t>
  </si>
  <si>
    <t>TP_P3E_CPU1_PE1_MP_TXN&lt;0&gt;</t>
  </si>
  <si>
    <t xml:space="preserve">U2D1.2029, </t>
  </si>
  <si>
    <t>NC_CLK_156M_CPU0_OSC</t>
  </si>
  <si>
    <t xml:space="preserve">Y6F1.2, </t>
  </si>
  <si>
    <t>TP_SPI_0_2</t>
  </si>
  <si>
    <t xml:space="preserve">U7F1.12, </t>
  </si>
  <si>
    <t>TP_SPI_0_3</t>
  </si>
  <si>
    <t xml:space="preserve">U7F1.11, </t>
  </si>
  <si>
    <t>TP_PVDDQ_ABC_PH3_IMON</t>
  </si>
  <si>
    <t xml:space="preserve">EU7G1.26, </t>
  </si>
  <si>
    <t>TP_PVDDQ_DEF_PINALRT_N</t>
  </si>
  <si>
    <t xml:space="preserve">EU7A5.12, </t>
  </si>
  <si>
    <t>TP_SMB_DDR_ABC_EN</t>
  </si>
  <si>
    <t xml:space="preserve">U6F1.5, </t>
  </si>
  <si>
    <t>TP_P3E_CPU1_PE2_RSR_TXP&lt;2&gt;</t>
  </si>
  <si>
    <t xml:space="preserve">U2D1.1770, </t>
  </si>
  <si>
    <t>TP_P3E_CPU1_PE2_RSR_TXN&lt;2&gt;</t>
  </si>
  <si>
    <t xml:space="preserve">U2D1.1797, </t>
  </si>
  <si>
    <t>TP_P3E_CPU1_PE1_RSR3_TXP&lt;15&gt;</t>
  </si>
  <si>
    <t xml:space="preserve">U2D1.2967, </t>
  </si>
  <si>
    <t>TP_P3E_CPU1_PE1_RSR3_TXP&lt;14&gt;</t>
  </si>
  <si>
    <t xml:space="preserve">U2D1.2925, </t>
  </si>
  <si>
    <t>TP_P3E_CPU1_PE1_RSR3_TXP&lt;11&gt;</t>
  </si>
  <si>
    <t xml:space="preserve">U2D1.2712, </t>
  </si>
  <si>
    <t>TP_P3E_CPU1_PE1_RSR3_TXP&lt;10&gt;</t>
  </si>
  <si>
    <t xml:space="preserve">U2D1.2666, </t>
  </si>
  <si>
    <t>TP_P3E_CPU1_PE1_RSR3_TXN&lt;9&gt;</t>
  </si>
  <si>
    <t xml:space="preserve">U2D1.2702, </t>
  </si>
  <si>
    <t>TP_P3E_CPU1_PE1_RSR3_TXN&lt;15&gt;</t>
  </si>
  <si>
    <t xml:space="preserve">U2D1.3004, </t>
  </si>
  <si>
    <t>TP_CLK_96M_CKMNG_N</t>
  </si>
  <si>
    <t xml:space="preserve">EU8F2.4, </t>
  </si>
  <si>
    <t>TP_CLK_125M</t>
  </si>
  <si>
    <t xml:space="preserve">EU8F2.36, </t>
  </si>
  <si>
    <t>TP_CLK_100M_R_DP</t>
  </si>
  <si>
    <t xml:space="preserve">EU8F2.7, </t>
  </si>
  <si>
    <t>TP_IOA5</t>
  </si>
  <si>
    <t xml:space="preserve">J1C1.5, </t>
  </si>
  <si>
    <t>TP_FM_WAKE_N</t>
  </si>
  <si>
    <t xml:space="preserve">J1C1.12, </t>
  </si>
  <si>
    <t>TP_IOE4</t>
  </si>
  <si>
    <t xml:space="preserve">J1C1.36, </t>
  </si>
  <si>
    <t>TP_IOF4</t>
  </si>
  <si>
    <t xml:space="preserve">J1C1.44, </t>
  </si>
  <si>
    <t>TP_IOG3</t>
  </si>
  <si>
    <t xml:space="preserve">J1C1.51, </t>
  </si>
  <si>
    <t>TP_IOH3</t>
  </si>
  <si>
    <t xml:space="preserve">J1C1.59, </t>
  </si>
  <si>
    <t>TP_IOH4</t>
  </si>
  <si>
    <t xml:space="preserve">J1C1.60, </t>
  </si>
  <si>
    <t>TP_IOI4</t>
  </si>
  <si>
    <t xml:space="preserve">J1C1.68, </t>
  </si>
  <si>
    <t>TP_ME_RCVR_BOOT</t>
  </si>
  <si>
    <t xml:space="preserve">J7G3.1, </t>
  </si>
  <si>
    <t>64.00,64.00</t>
  </si>
  <si>
    <t>TP_BIOS_USB_RECOVERY</t>
  </si>
  <si>
    <t xml:space="preserve">J7G3.2, </t>
  </si>
  <si>
    <t>TP_PASSWORD_CLEAR</t>
  </si>
  <si>
    <t xml:space="preserve">J7G3.7, </t>
  </si>
  <si>
    <t>TP_BIOS_RECOVER_BOOT</t>
  </si>
  <si>
    <t xml:space="preserve">J7G3.8, </t>
  </si>
  <si>
    <t>TP_JUMPER_BLOCK_1_1</t>
  </si>
  <si>
    <t xml:space="preserve">J8G2.1, </t>
  </si>
  <si>
    <t>TP_JUMPER_BLOCK_1_2</t>
  </si>
  <si>
    <t xml:space="preserve">J8G2.2, </t>
  </si>
  <si>
    <t>TP_JUMPER_BLOCK_1_7</t>
  </si>
  <si>
    <t xml:space="preserve">J8G2.7, </t>
  </si>
  <si>
    <t>TP_JUMPER_BLOCK_1_8</t>
  </si>
  <si>
    <t xml:space="preserve">J8G2.8, </t>
  </si>
  <si>
    <t>TP_RST_RTCRST_N</t>
  </si>
  <si>
    <t xml:space="preserve">J9G1.2, </t>
  </si>
  <si>
    <t>TP_IE_DEBUG_MODE</t>
  </si>
  <si>
    <t xml:space="preserve">J9G1.7, </t>
  </si>
  <si>
    <t>TP_FAN_1</t>
  </si>
  <si>
    <t xml:space="preserve">J1B2.6, </t>
  </si>
  <si>
    <t>TP_FAN_0</t>
  </si>
  <si>
    <t xml:space="preserve">J1F2.6, </t>
  </si>
  <si>
    <t>20.00,71.00</t>
  </si>
  <si>
    <t>TP_CH_A_DIMM_A1_RFU_2</t>
  </si>
  <si>
    <t xml:space="preserve">J6T1.144, </t>
  </si>
  <si>
    <t>TP_CH_B_DIMM_B1_RFU_2</t>
  </si>
  <si>
    <t xml:space="preserve">J6U1.144, </t>
  </si>
  <si>
    <t>TP_CH_B_DIMM_B1_RFU_0</t>
  </si>
  <si>
    <t xml:space="preserve">J6U1.205, </t>
  </si>
  <si>
    <t>TP_CH_B_DIMM_B1_RFU_1</t>
  </si>
  <si>
    <t xml:space="preserve">J6U1.227, </t>
  </si>
  <si>
    <t>TP_CH_C_DIMM_C1_RFU_2</t>
  </si>
  <si>
    <t xml:space="preserve">J6U2.144, </t>
  </si>
  <si>
    <t>TP_CH_C_DIMM_C1_RFU_0</t>
  </si>
  <si>
    <t xml:space="preserve">J6U2.205, </t>
  </si>
  <si>
    <t>TP_CH_C_DIMM_C1_RFU_1</t>
  </si>
  <si>
    <t xml:space="preserve">J6U2.227, </t>
  </si>
  <si>
    <t>TP_CH_E_DIMM_E1_RFU_2</t>
  </si>
  <si>
    <t xml:space="preserve">J6L2.144, </t>
  </si>
  <si>
    <t>TP_CH_E_DIMM_E1_RFU_0</t>
  </si>
  <si>
    <t xml:space="preserve">J6L2.205, </t>
  </si>
  <si>
    <t>TP_CH_E_DIMM_E1_RFU_1</t>
  </si>
  <si>
    <t xml:space="preserve">J6L2.227, </t>
  </si>
  <si>
    <t>TP_CH_F_DIMM_F1_RFU_0</t>
  </si>
  <si>
    <t xml:space="preserve">J6L1.205, </t>
  </si>
  <si>
    <t>TP_CH_F_DIMM_F1_RFU_1</t>
  </si>
  <si>
    <t xml:space="preserve">J6L1.227, </t>
  </si>
  <si>
    <t>TP_CH_G_DIMM0_RFU_2</t>
  </si>
  <si>
    <t xml:space="preserve">J9T1.144, </t>
  </si>
  <si>
    <t>TP_CH_G_DIMM0_RFU_0</t>
  </si>
  <si>
    <t xml:space="preserve">J9T1.205, </t>
  </si>
  <si>
    <t>TP_CH_G_DIMM0_RFU_1</t>
  </si>
  <si>
    <t xml:space="preserve">J9T1.227, </t>
  </si>
  <si>
    <t>TP_CH_H_DIMM0_RFU_2</t>
  </si>
  <si>
    <t xml:space="preserve">J9U1.144, </t>
  </si>
  <si>
    <t>TP_CH_H_DIMM0_RFU_0</t>
  </si>
  <si>
    <t xml:space="preserve">J9U1.205, </t>
  </si>
  <si>
    <t>TP_CH_H_DIMM0_RFU_1</t>
  </si>
  <si>
    <t xml:space="preserve">J9U1.227, </t>
  </si>
  <si>
    <t>TP_CH_J_DIMM_J1_RFU_2</t>
  </si>
  <si>
    <t xml:space="preserve">J9U2.144, </t>
  </si>
  <si>
    <t>TP_CH_J_DIMM_J1_RFU_0</t>
  </si>
  <si>
    <t xml:space="preserve">J9U2.205, </t>
  </si>
  <si>
    <t>TP_CH_J_DIMM_J1_RFU_1</t>
  </si>
  <si>
    <t xml:space="preserve">J9U2.227, </t>
  </si>
  <si>
    <t>TP_CH_K_DIMM0_RFU_2</t>
  </si>
  <si>
    <t xml:space="preserve">J9M1.144, </t>
  </si>
  <si>
    <t>TP_CH_K_DIMM0_RFU_0</t>
  </si>
  <si>
    <t xml:space="preserve">J9M1.205, </t>
  </si>
  <si>
    <t>TP_CH_K_DIMM0_RFU_1</t>
  </si>
  <si>
    <t xml:space="preserve">J9M1.227, </t>
  </si>
  <si>
    <t>TP_CH_L_DIMM0_RFU_2</t>
  </si>
  <si>
    <t xml:space="preserve">J9L2.144, </t>
  </si>
  <si>
    <t>TP_CH_L_DIMM0_RFU_0</t>
  </si>
  <si>
    <t xml:space="preserve">J9L2.205, </t>
  </si>
  <si>
    <t>TP_CH_M_DIMM_M1_RFU_2</t>
  </si>
  <si>
    <t xml:space="preserve">J9L1.144, </t>
  </si>
  <si>
    <t>TP_CH_M_DIMM_M1_RFU_0</t>
  </si>
  <si>
    <t xml:space="preserve">J9L1.205, </t>
  </si>
  <si>
    <t>TP_FM_QAT_CBL_PRSNT2_N</t>
  </si>
  <si>
    <t xml:space="preserve">J8A2.1, </t>
  </si>
  <si>
    <t>31.00,31.00</t>
  </si>
  <si>
    <t>TP_FM_QAT_CBL_PRSNT0_R_N</t>
  </si>
  <si>
    <t xml:space="preserve">J8A1.48, </t>
  </si>
  <si>
    <t>TP_SGPIO_SATA_CLOCK1_R</t>
  </si>
  <si>
    <t xml:space="preserve">J8A1.49, </t>
  </si>
  <si>
    <t>TP_SGPIO_SATA_LOAD1_R</t>
  </si>
  <si>
    <t xml:space="preserve">J8A1.50, </t>
  </si>
  <si>
    <t>TP_SGPIO_SATA_DATA1_R</t>
  </si>
  <si>
    <t xml:space="preserve">J8A1.53, </t>
  </si>
  <si>
    <t>TP_FM_QAT_CBL_PRSNT1_N_R</t>
  </si>
  <si>
    <t xml:space="preserve">J8A1.56, </t>
  </si>
  <si>
    <t>NC_6174</t>
  </si>
  <si>
    <t xml:space="preserve">EU1G2.3, </t>
  </si>
  <si>
    <t>24.00,24.00</t>
  </si>
  <si>
    <t>NC_6179</t>
  </si>
  <si>
    <t xml:space="preserve">EU3P1.28, </t>
  </si>
  <si>
    <t>NC_6180</t>
  </si>
  <si>
    <t xml:space="preserve">EU4D5.1, </t>
  </si>
  <si>
    <t>NC_6181</t>
  </si>
  <si>
    <t xml:space="preserve">EU4D2.3, </t>
  </si>
  <si>
    <t>NC_6184</t>
  </si>
  <si>
    <t xml:space="preserve">EU7A5.28, </t>
  </si>
  <si>
    <t>NC_6189</t>
  </si>
  <si>
    <t xml:space="preserve">U7C1.2616, </t>
  </si>
  <si>
    <t>NC_6192</t>
  </si>
  <si>
    <t xml:space="preserve">U7C1.2623, </t>
  </si>
  <si>
    <t>NC_6199</t>
  </si>
  <si>
    <t xml:space="preserve">U7C1.2123, </t>
  </si>
  <si>
    <t>NC_6203</t>
  </si>
  <si>
    <t xml:space="preserve">U7C1.1593, </t>
  </si>
  <si>
    <t>NC_6204</t>
  </si>
  <si>
    <t xml:space="preserve">U7C1.1447, </t>
  </si>
  <si>
    <t>NC_6207</t>
  </si>
  <si>
    <t xml:space="preserve">U7C1.1604, </t>
  </si>
  <si>
    <t>NC_6208</t>
  </si>
  <si>
    <t xml:space="preserve">U7C1.1883, </t>
  </si>
  <si>
    <t>TP_TPM_SPI_4</t>
  </si>
  <si>
    <t xml:space="preserve">UN8F2.6, </t>
  </si>
  <si>
    <t>TP_TPM_SPI_3</t>
  </si>
  <si>
    <t xml:space="preserve">UN8F2.11, </t>
  </si>
  <si>
    <t>TP_TPM_SPI_2</t>
  </si>
  <si>
    <t xml:space="preserve">UN8F2.12, </t>
  </si>
  <si>
    <t>TP_TPM_SPI_1</t>
  </si>
  <si>
    <t xml:space="preserve">UN8F2.13, </t>
  </si>
  <si>
    <t>TP_TPM_SPI_0</t>
  </si>
  <si>
    <t xml:space="preserve">UN8F2.14, </t>
  </si>
  <si>
    <t>TP_CPLD1_PL11A</t>
  </si>
  <si>
    <t xml:space="preserve">U8D7.163, </t>
  </si>
  <si>
    <t>TP_CPU1_RSVD_TEST_4</t>
  </si>
  <si>
    <t xml:space="preserve">U2D1.579, </t>
  </si>
  <si>
    <t>TP_CPU1_RSVD_TEST_3</t>
  </si>
  <si>
    <t xml:space="preserve">U2D1.549, </t>
  </si>
  <si>
    <t>TP_CPU0_RSVD_TEST_4</t>
  </si>
  <si>
    <t xml:space="preserve">U5D1.579, </t>
  </si>
  <si>
    <t>TP_CPU0_RSVD_TEST_3</t>
  </si>
  <si>
    <t xml:space="preserve">U5D1.549, </t>
  </si>
  <si>
    <t>TP_CPLD1_PT24B</t>
  </si>
  <si>
    <t xml:space="preserve">U8D7.15, </t>
  </si>
  <si>
    <t>TP_VR_PVCCIO_CPU0_MP3</t>
  </si>
  <si>
    <t xml:space="preserve">EU3P1.31, </t>
  </si>
  <si>
    <t>19.00,19.00</t>
  </si>
  <si>
    <t>TP_USB3_P06_TXP</t>
  </si>
  <si>
    <t xml:space="preserve">U7C1.2437, </t>
  </si>
  <si>
    <t>TP_USB3_P06_TXN</t>
  </si>
  <si>
    <t xml:space="preserve">U7C1.2363, </t>
  </si>
  <si>
    <t>TP_USB3_P05_TXP</t>
  </si>
  <si>
    <t xml:space="preserve">U7C1.2219, </t>
  </si>
  <si>
    <t>TP_USB3_P05_TXN</t>
  </si>
  <si>
    <t xml:space="preserve">U7C1.2290, </t>
  </si>
  <si>
    <t>NC_PVCCIN_CPU1_PH3_P31</t>
  </si>
  <si>
    <t xml:space="preserve">EU1D3.31, </t>
  </si>
  <si>
    <t>TP_CPU1_RSVD_304</t>
  </si>
  <si>
    <t xml:space="preserve">U2D1.96, </t>
  </si>
  <si>
    <t>TP_CPU1_RSVD_298</t>
  </si>
  <si>
    <t xml:space="preserve">U2D1.833, </t>
  </si>
  <si>
    <t>TP_CPU1_RSVD_287</t>
  </si>
  <si>
    <t xml:space="preserve">U2D1.2006, </t>
  </si>
  <si>
    <t>TP_CPU1_RSVD_283</t>
  </si>
  <si>
    <t xml:space="preserve">U2D1.2821, </t>
  </si>
  <si>
    <t>TP_CPU0_RSVD_303</t>
  </si>
  <si>
    <t xml:space="preserve">U5D1.99, </t>
  </si>
  <si>
    <t>TP_CPU0_RSVD_299</t>
  </si>
  <si>
    <t xml:space="preserve">U5D1.815, </t>
  </si>
  <si>
    <t>TP_CPU0_RSVD_282</t>
  </si>
  <si>
    <t xml:space="preserve">U5D1.2832, </t>
  </si>
  <si>
    <t>TP_CPU0_RSVD_275</t>
  </si>
  <si>
    <t xml:space="preserve">U5D1.3101, </t>
  </si>
  <si>
    <t>TP_CPU1_RSVD_64</t>
  </si>
  <si>
    <t xml:space="preserve">U2D1.1895, </t>
  </si>
  <si>
    <t>TP_CPU0_RSVD_64</t>
  </si>
  <si>
    <t xml:space="preserve">U5D1.1895, </t>
  </si>
  <si>
    <t>TP_CPU1_RSVD_9</t>
  </si>
  <si>
    <t xml:space="preserve">U2D1.3003, </t>
  </si>
  <si>
    <t>TP_CPU1_RSVD_8</t>
  </si>
  <si>
    <t xml:space="preserve">U2D1.3008, </t>
  </si>
  <si>
    <t>TP_CPU1_RSVD_73</t>
  </si>
  <si>
    <t xml:space="preserve">U2D1.1746, </t>
  </si>
  <si>
    <t>TP_CPU1_RSVD_72</t>
  </si>
  <si>
    <t xml:space="preserve">U2D1.1784, </t>
  </si>
  <si>
    <t>TP_CPU1_RSVD_70</t>
  </si>
  <si>
    <t xml:space="preserve">U2D1.1813, </t>
  </si>
  <si>
    <t>TP_CPU1_RSVD_7</t>
  </si>
  <si>
    <t xml:space="preserve">U2D1.3019, </t>
  </si>
  <si>
    <t>TP_CPU1_RSVD_69</t>
  </si>
  <si>
    <t xml:space="preserve">U2D1.1822, </t>
  </si>
  <si>
    <t>TP_CPU1_RSVD_67</t>
  </si>
  <si>
    <t xml:space="preserve">U2D1.1854, </t>
  </si>
  <si>
    <t>TP_CPU1_RSVD_66</t>
  </si>
  <si>
    <t xml:space="preserve">U2D1.1855, </t>
  </si>
  <si>
    <t>TP_CPU1_RSVD_61</t>
  </si>
  <si>
    <t xml:space="preserve">U2D1.1932, </t>
  </si>
  <si>
    <t>TP_CPU1_RSVD_5</t>
  </si>
  <si>
    <t xml:space="preserve">U2D1.3036, </t>
  </si>
  <si>
    <t>TP_CPU1_RSVD_46</t>
  </si>
  <si>
    <t xml:space="preserve">U2D1.2132, </t>
  </si>
  <si>
    <t>TP_CPU1_RSVD_45</t>
  </si>
  <si>
    <t xml:space="preserve">U2D1.2173, </t>
  </si>
  <si>
    <t>TP_CPU1_RSVD_44</t>
  </si>
  <si>
    <t xml:space="preserve">U2D1.2290, </t>
  </si>
  <si>
    <t>TP_CPU1_RSVD_43</t>
  </si>
  <si>
    <t xml:space="preserve">U2D1.2306, </t>
  </si>
  <si>
    <t>TP_CPU1_RSVD_42</t>
  </si>
  <si>
    <t xml:space="preserve">U2D1.2346, </t>
  </si>
  <si>
    <t>TP_CPU1_RSVD_41</t>
  </si>
  <si>
    <t xml:space="preserve">U2D1.2373, </t>
  </si>
  <si>
    <t>TP_CPU1_RSVD_40</t>
  </si>
  <si>
    <t xml:space="preserve">U2D1.2390, </t>
  </si>
  <si>
    <t>TP_CPU1_RSVD_4</t>
  </si>
  <si>
    <t xml:space="preserve">U2D1.3037, </t>
  </si>
  <si>
    <t>TP_CPU1_RSVD_39</t>
  </si>
  <si>
    <t xml:space="preserve">U2D1.2403, </t>
  </si>
  <si>
    <t>TP_CPU1_RSVD_38</t>
  </si>
  <si>
    <t xml:space="preserve">U2D1.2415, </t>
  </si>
  <si>
    <t>TP_CPU1_RSVD_37</t>
  </si>
  <si>
    <t xml:space="preserve">U2D1.2429, </t>
  </si>
  <si>
    <t>TP_CPU1_RSVD_36</t>
  </si>
  <si>
    <t xml:space="preserve">U2D1.2430, </t>
  </si>
  <si>
    <t>TP_CPU1_RSVD_35</t>
  </si>
  <si>
    <t xml:space="preserve">U2D1.2457, </t>
  </si>
  <si>
    <t>TP_CPU1_RSVD_34</t>
  </si>
  <si>
    <t xml:space="preserve">U2D1.2473, </t>
  </si>
  <si>
    <t>TP_CPU1_RSVD_33</t>
  </si>
  <si>
    <t xml:space="preserve">U2D1.30, </t>
  </si>
  <si>
    <t>TP_CPU1_RSVD_32</t>
  </si>
  <si>
    <t xml:space="preserve">U2D1.2513, </t>
  </si>
  <si>
    <t>TP_CPU1_RSVD_31</t>
  </si>
  <si>
    <t xml:space="preserve">U2D1.2515, </t>
  </si>
  <si>
    <t>TP_CPU1_RSVD_30</t>
  </si>
  <si>
    <t xml:space="preserve">U2D1.2529, </t>
  </si>
  <si>
    <t>TP_CPU1_RSVD_3</t>
  </si>
  <si>
    <t xml:space="preserve">U2D1.3039, </t>
  </si>
  <si>
    <t>TP_CPU1_RSVD_29</t>
  </si>
  <si>
    <t xml:space="preserve">U2D1.2554, </t>
  </si>
  <si>
    <t>TP_CPU1_RSVD_28</t>
  </si>
  <si>
    <t xml:space="preserve">U2D1.2586, </t>
  </si>
  <si>
    <t>TP_CPU1_RSVD_27</t>
  </si>
  <si>
    <t xml:space="preserve">U2D1.2641, </t>
  </si>
  <si>
    <t>TP_CPU1_RSVD_26</t>
  </si>
  <si>
    <t xml:space="preserve">U2D1.2669, </t>
  </si>
  <si>
    <t>TP_CPU1_RSVD_25</t>
  </si>
  <si>
    <t xml:space="preserve">U2D1.2718, </t>
  </si>
  <si>
    <t>TP_CPU1_RSVD_24</t>
  </si>
  <si>
    <t xml:space="preserve">U2D1.2724, </t>
  </si>
  <si>
    <t>TP_CPU1_RSVD_23</t>
  </si>
  <si>
    <t xml:space="preserve">U2D1.2752, </t>
  </si>
  <si>
    <t>TP_CPU1_RSVD_22</t>
  </si>
  <si>
    <t xml:space="preserve">U2D1.2753, </t>
  </si>
  <si>
    <t>TP_CPU1_RSVD_2</t>
  </si>
  <si>
    <t xml:space="preserve">U2D1.3051, </t>
  </si>
  <si>
    <t>TP_CPU1_RSVD_19</t>
  </si>
  <si>
    <t xml:space="preserve">U2D1.2873, </t>
  </si>
  <si>
    <t>TP_CPU1_RSVD_18</t>
  </si>
  <si>
    <t xml:space="preserve">U2D1.2904, </t>
  </si>
  <si>
    <t>TP_CPU1_RSVD_16</t>
  </si>
  <si>
    <t xml:space="preserve">U2D1.2933, </t>
  </si>
  <si>
    <t>TP_CPU1_RSVD_15</t>
  </si>
  <si>
    <t xml:space="preserve">U2D1.2938, </t>
  </si>
  <si>
    <t>TP_CPU1_RSVD_13</t>
  </si>
  <si>
    <t xml:space="preserve">U2D1.2951, </t>
  </si>
  <si>
    <t>TP_CPU1_RSVD_12</t>
  </si>
  <si>
    <t xml:space="preserve">U2D1.2970, </t>
  </si>
  <si>
    <t>TP_CPU1_RSVD_11</t>
  </si>
  <si>
    <t xml:space="preserve">U2D1.2984, </t>
  </si>
  <si>
    <t>TP_CPU1_RSVD_10</t>
  </si>
  <si>
    <t xml:space="preserve">U2D1.2987, </t>
  </si>
  <si>
    <t>TP_CPU1_RSVD_1</t>
  </si>
  <si>
    <t xml:space="preserve">U2D1.3053, </t>
  </si>
  <si>
    <t>TP_CPU1_RSVD_0</t>
  </si>
  <si>
    <t xml:space="preserve">U2D1.3054, </t>
  </si>
  <si>
    <t>TP_CPU1_KTI2_DFX_DN</t>
  </si>
  <si>
    <t xml:space="preserve">U2D1.1912, </t>
  </si>
  <si>
    <t>TP_CPU1_KTI2_AMONV</t>
  </si>
  <si>
    <t xml:space="preserve">U2D1.1712, </t>
  </si>
  <si>
    <t>TP_CPU0_RSVD_9</t>
  </si>
  <si>
    <t xml:space="preserve">U5D1.3003, </t>
  </si>
  <si>
    <t>TP_CPU0_RSVD_8</t>
  </si>
  <si>
    <t xml:space="preserve">U5D1.3008, </t>
  </si>
  <si>
    <t>TP_CPU0_RSVD_73</t>
  </si>
  <si>
    <t xml:space="preserve">U5D1.1746, </t>
  </si>
  <si>
    <t>TP_CPU0_RSVD_72</t>
  </si>
  <si>
    <t xml:space="preserve">U5D1.1784, </t>
  </si>
  <si>
    <t>TP_CPU0_RSVD_70</t>
  </si>
  <si>
    <t xml:space="preserve">U5D1.1813, </t>
  </si>
  <si>
    <t>TP_CPU0_RSVD_7</t>
  </si>
  <si>
    <t xml:space="preserve">U5D1.3019, </t>
  </si>
  <si>
    <t>TP_CPU0_RSVD_67</t>
  </si>
  <si>
    <t xml:space="preserve">U5D1.1854, </t>
  </si>
  <si>
    <t>TP_CPU0_RSVD_66</t>
  </si>
  <si>
    <t xml:space="preserve">U5D1.1855, </t>
  </si>
  <si>
    <t>TP_CPU0_RSVD_61</t>
  </si>
  <si>
    <t xml:space="preserve">U5D1.1932, </t>
  </si>
  <si>
    <t>TP_CPU0_RSVD_60</t>
  </si>
  <si>
    <t xml:space="preserve">U5D1.1933, </t>
  </si>
  <si>
    <t>TP_CPU0_RSVD_6</t>
  </si>
  <si>
    <t xml:space="preserve">U5D1.3026, </t>
  </si>
  <si>
    <t>TP_CPU0_RSVD_59</t>
  </si>
  <si>
    <t xml:space="preserve">U5D1.1953, </t>
  </si>
  <si>
    <t>TP_CPU0_RSVD_57</t>
  </si>
  <si>
    <t xml:space="preserve">U5D1.1962, </t>
  </si>
  <si>
    <t>TP_CPU0_RSVD_56</t>
  </si>
  <si>
    <t xml:space="preserve">U5D1.1969, </t>
  </si>
  <si>
    <t>TP_CPU0_RSVD_55</t>
  </si>
  <si>
    <t xml:space="preserve">U5D1.1971, </t>
  </si>
  <si>
    <t>TP_CPU0_RSVD_54</t>
  </si>
  <si>
    <t xml:space="preserve">U5D1.1974, </t>
  </si>
  <si>
    <t>TP_CPU0_RSVD_53</t>
  </si>
  <si>
    <t xml:space="preserve">U5D1.1980, </t>
  </si>
  <si>
    <t>TP_CPU0_RSVD_51</t>
  </si>
  <si>
    <t xml:space="preserve">U5D1.2041, </t>
  </si>
  <si>
    <t>TP_CPU0_RSVD_50</t>
  </si>
  <si>
    <t xml:space="preserve">U5D1.2047, </t>
  </si>
  <si>
    <t>TP_CPU0_RSVD_5</t>
  </si>
  <si>
    <t xml:space="preserve">U5D1.3036, </t>
  </si>
  <si>
    <t>TP_CPU0_RSVD_49</t>
  </si>
  <si>
    <t xml:space="preserve">U5D1.2048, </t>
  </si>
  <si>
    <t>TP_CPU0_RSVD_48</t>
  </si>
  <si>
    <t xml:space="preserve">U5D1.2049, </t>
  </si>
  <si>
    <t>TP_CPU0_RSVD_47</t>
  </si>
  <si>
    <t xml:space="preserve">U5D1.2129, </t>
  </si>
  <si>
    <t>TP_CPU0_RSVD_46</t>
  </si>
  <si>
    <t xml:space="preserve">U5D1.2132, </t>
  </si>
  <si>
    <t>TP_CPU0_RSVD_45</t>
  </si>
  <si>
    <t xml:space="preserve">U5D1.2173, </t>
  </si>
  <si>
    <t>TP_CPU0_RSVD_44</t>
  </si>
  <si>
    <t xml:space="preserve">U5D1.2290, </t>
  </si>
  <si>
    <t>TP_CPU0_RSVD_43</t>
  </si>
  <si>
    <t xml:space="preserve">U5D1.2306, </t>
  </si>
  <si>
    <t>TP_CPU0_RSVD_42</t>
  </si>
  <si>
    <t xml:space="preserve">U5D1.2346, </t>
  </si>
  <si>
    <t>TP_CPU0_RSVD_41</t>
  </si>
  <si>
    <t xml:space="preserve">U5D1.2373, </t>
  </si>
  <si>
    <t>TP_CPU0_RSVD_40</t>
  </si>
  <si>
    <t xml:space="preserve">U5D1.2390, </t>
  </si>
  <si>
    <t>TP_CPU0_RSVD_4</t>
  </si>
  <si>
    <t xml:space="preserve">U5D1.3037, </t>
  </si>
  <si>
    <t>TP_CPU0_RSVD_39</t>
  </si>
  <si>
    <t xml:space="preserve">U5D1.2403, </t>
  </si>
  <si>
    <t>TP_CPU0_RSVD_38</t>
  </si>
  <si>
    <t xml:space="preserve">U5D1.2415, </t>
  </si>
  <si>
    <t>TP_CPU0_RSVD_37</t>
  </si>
  <si>
    <t xml:space="preserve">U5D1.2429, </t>
  </si>
  <si>
    <t>TP_CPU0_RSVD_36</t>
  </si>
  <si>
    <t xml:space="preserve">U5D1.2430, </t>
  </si>
  <si>
    <t>TP_CPU0_RSVD_35</t>
  </si>
  <si>
    <t xml:space="preserve">U5D1.2457, </t>
  </si>
  <si>
    <t>TP_CPU0_RSVD_34</t>
  </si>
  <si>
    <t xml:space="preserve">U5D1.2473, </t>
  </si>
  <si>
    <t>TP_CPU0_RSVD_33</t>
  </si>
  <si>
    <t xml:space="preserve">U5D1.30, </t>
  </si>
  <si>
    <t>TP_CPU0_RSVD_32</t>
  </si>
  <si>
    <t xml:space="preserve">U5D1.2513, </t>
  </si>
  <si>
    <t>TP_CPU0_RSVD_31</t>
  </si>
  <si>
    <t xml:space="preserve">U5D1.2515, </t>
  </si>
  <si>
    <t>TP_CPU0_RSVD_30</t>
  </si>
  <si>
    <t xml:space="preserve">U5D1.2529, </t>
  </si>
  <si>
    <t>TP_CPU0_RSVD_3</t>
  </si>
  <si>
    <t xml:space="preserve">U5D1.3039, </t>
  </si>
  <si>
    <t>TP_CPU0_RSVD_29</t>
  </si>
  <si>
    <t xml:space="preserve">U5D1.2554, </t>
  </si>
  <si>
    <t>TP_CPU0_RSVD_28</t>
  </si>
  <si>
    <t xml:space="preserve">U5D1.2586, </t>
  </si>
  <si>
    <t>TP_CPU0_RSVD_27</t>
  </si>
  <si>
    <t xml:space="preserve">U5D1.2641, </t>
  </si>
  <si>
    <t>TP_CPU0_RSVD_26</t>
  </si>
  <si>
    <t xml:space="preserve">U5D1.2669, </t>
  </si>
  <si>
    <t>TP_CPU0_RSVD_25</t>
  </si>
  <si>
    <t xml:space="preserve">U5D1.2718, </t>
  </si>
  <si>
    <t>TP_CPU0_RSVD_24</t>
  </si>
  <si>
    <t xml:space="preserve">U5D1.2724, </t>
  </si>
  <si>
    <t>TP_CPU0_RSVD_23</t>
  </si>
  <si>
    <t xml:space="preserve">U5D1.2752, </t>
  </si>
  <si>
    <t>TP_CPU0_RSVD_22</t>
  </si>
  <si>
    <t xml:space="preserve">U5D1.2753, </t>
  </si>
  <si>
    <t>TP_CPU0_RSVD_2</t>
  </si>
  <si>
    <t xml:space="preserve">U5D1.3051, </t>
  </si>
  <si>
    <t>TP_CPU0_RSVD_19</t>
  </si>
  <si>
    <t xml:space="preserve">U5D1.2873, </t>
  </si>
  <si>
    <t>TP_CPU0_RSVD_16</t>
  </si>
  <si>
    <t xml:space="preserve">U5D1.2933, </t>
  </si>
  <si>
    <t>TP_CPU0_RSVD_15</t>
  </si>
  <si>
    <t xml:space="preserve">U5D1.2938, </t>
  </si>
  <si>
    <t>TP_CPU0_RSVD_13</t>
  </si>
  <si>
    <t xml:space="preserve">U5D1.2951, </t>
  </si>
  <si>
    <t>TP_CPU0_RSVD_12</t>
  </si>
  <si>
    <t xml:space="preserve">U5D1.2970, </t>
  </si>
  <si>
    <t>TP_CPU0_RSVD_11</t>
  </si>
  <si>
    <t xml:space="preserve">U5D1.2984, </t>
  </si>
  <si>
    <t>TP_CPU0_RSVD_10</t>
  </si>
  <si>
    <t xml:space="preserve">U5D1.2987, </t>
  </si>
  <si>
    <t>TP_CPU0_RSVD_1</t>
  </si>
  <si>
    <t xml:space="preserve">U5D1.3053, </t>
  </si>
  <si>
    <t>TP_CPU0_RSVD_0</t>
  </si>
  <si>
    <t xml:space="preserve">U5D1.3054, </t>
  </si>
  <si>
    <t>TP_CPU0_KTI2_DFX_DN</t>
  </si>
  <si>
    <t xml:space="preserve">U5D1.1912, </t>
  </si>
  <si>
    <t>TP_CPU0_KTI2_AMONV</t>
  </si>
  <si>
    <t xml:space="preserve">U5D1.1712, </t>
  </si>
  <si>
    <t>TP_CPU1_RSVD_60</t>
  </si>
  <si>
    <t xml:space="preserve">U2D1.1933, </t>
  </si>
  <si>
    <t>TP_CPU1_RSVD_59</t>
  </si>
  <si>
    <t xml:space="preserve">U2D1.1953, </t>
  </si>
  <si>
    <t>TP_CPU1_RSVD_57</t>
  </si>
  <si>
    <t xml:space="preserve">U2D1.1962, </t>
  </si>
  <si>
    <t>TP_CPU1_RSVD_56</t>
  </si>
  <si>
    <t xml:space="preserve">U2D1.1969, </t>
  </si>
  <si>
    <t>TP_CPU1_RSVD_55</t>
  </si>
  <si>
    <t xml:space="preserve">U2D1.1971, </t>
  </si>
  <si>
    <t>TP_CPU1_RSVD_54</t>
  </si>
  <si>
    <t xml:space="preserve">U2D1.1974, </t>
  </si>
  <si>
    <t>TP_CPU1_RSVD_53</t>
  </si>
  <si>
    <t xml:space="preserve">U2D1.1980, </t>
  </si>
  <si>
    <t>TP_CPU1_RSVD_51</t>
  </si>
  <si>
    <t xml:space="preserve">U2D1.2041, </t>
  </si>
  <si>
    <t>TP_CPU1_RSVD_50</t>
  </si>
  <si>
    <t xml:space="preserve">U2D1.2047, </t>
  </si>
  <si>
    <t>TP_CPU1_RSVD_49</t>
  </si>
  <si>
    <t xml:space="preserve">U2D1.2048, </t>
  </si>
  <si>
    <t>TP_CPU1_RSVD_48</t>
  </si>
  <si>
    <t xml:space="preserve">U2D1.2049, </t>
  </si>
  <si>
    <t>TP_CPU1_RSVD_47</t>
  </si>
  <si>
    <t xml:space="preserve">U2D1.2129, </t>
  </si>
  <si>
    <t>TP_PVCCIN_CPU1_FAULT1_20</t>
  </si>
  <si>
    <t xml:space="preserve">EU1C2.40, </t>
  </si>
  <si>
    <t>TP_CPU1_RSVD_199</t>
  </si>
  <si>
    <t xml:space="preserve">U2D1.595, </t>
  </si>
  <si>
    <t>TP_CPU1_RSVD_198</t>
  </si>
  <si>
    <t xml:space="preserve">U2D1.596, </t>
  </si>
  <si>
    <t>TP_CPU1_RSVD_194</t>
  </si>
  <si>
    <t xml:space="preserve">U2D1.624, </t>
  </si>
  <si>
    <t>TP_PVCCIN_CPU1_AISEN6</t>
  </si>
  <si>
    <t xml:space="preserve">EU1C2.34, </t>
  </si>
  <si>
    <t>TP_PVCCIN_CPU0_AISEN6</t>
  </si>
  <si>
    <t xml:space="preserve">EU4D4.34, </t>
  </si>
  <si>
    <t>TP_FET_Q56_3</t>
  </si>
  <si>
    <t xml:space="preserve">Q1L4.3, </t>
  </si>
  <si>
    <t>TP_PCH_GPP_F12</t>
  </si>
  <si>
    <t xml:space="preserve">U7C1.1015, </t>
  </si>
  <si>
    <t>TP_USB3_P03_TXP</t>
  </si>
  <si>
    <t xml:space="preserve">U7C1.2504, </t>
  </si>
  <si>
    <t>TP_USB3_P03_TXN</t>
  </si>
  <si>
    <t xml:space="preserve">U7C1.2430, </t>
  </si>
  <si>
    <t>TP_USB3_P02_TXP</t>
  </si>
  <si>
    <t xml:space="preserve">U7C1.2216, </t>
  </si>
  <si>
    <t>TP_USB3_P02_TXN</t>
  </si>
  <si>
    <t xml:space="preserve">U7C1.2360, </t>
  </si>
  <si>
    <t>TP_SLG55021_P3V3_8</t>
  </si>
  <si>
    <t xml:space="preserve">EU2T1.8, </t>
  </si>
  <si>
    <t>TP_PVNN_PCH_RESET_N</t>
  </si>
  <si>
    <t xml:space="preserve">EU8A1.8, </t>
  </si>
  <si>
    <t>TP_PVCCIO_CPU1_RESET_N</t>
  </si>
  <si>
    <t xml:space="preserve">EU4D5.8, </t>
  </si>
  <si>
    <t>TP_PVCCIN_CPU1_AIREF6</t>
  </si>
  <si>
    <t xml:space="preserve">EU1C2.33, </t>
  </si>
  <si>
    <t>TP_PVCCIN_CPU0_AIREF6</t>
  </si>
  <si>
    <t xml:space="preserve">EU4D4.33, </t>
  </si>
  <si>
    <t>NC_PVDDQ_KLM_DNC1</t>
  </si>
  <si>
    <t xml:space="preserve">EU1B1.28, </t>
  </si>
  <si>
    <t>TP_CPU0_RSVD_255</t>
  </si>
  <si>
    <t xml:space="preserve">U5D1.805, </t>
  </si>
  <si>
    <t>TP_PM_SYNC_GTL</t>
  </si>
  <si>
    <t xml:space="preserve">U7C1.4183, </t>
  </si>
  <si>
    <t>TP_CPU1_DMI_RX_DP3</t>
  </si>
  <si>
    <t xml:space="preserve">U2D1.1869, </t>
  </si>
  <si>
    <t>TP_CPU1_DMI_RX_DP2</t>
  </si>
  <si>
    <t xml:space="preserve">U2D1.1737, </t>
  </si>
  <si>
    <t>TP_CPU1_DMI_RX_DP1</t>
  </si>
  <si>
    <t xml:space="preserve">U2D1.1706, </t>
  </si>
  <si>
    <t>TP_CPU1_DMI_RX_DP0</t>
  </si>
  <si>
    <t xml:space="preserve">U2D1.1646, </t>
  </si>
  <si>
    <t>TP_CPU1_DMI_RX_DN3</t>
  </si>
  <si>
    <t xml:space="preserve">U2D1.1798, </t>
  </si>
  <si>
    <t>TP_CPU1_DMI_RX_DN2</t>
  </si>
  <si>
    <t xml:space="preserve">U2D1.1767, </t>
  </si>
  <si>
    <t>TP_CPU1_DMI_RX_DN1</t>
  </si>
  <si>
    <t xml:space="preserve">U2D1.1677, </t>
  </si>
  <si>
    <t>TP_CPU1_DMI_RX_DN0</t>
  </si>
  <si>
    <t xml:space="preserve">U2D1.1645, </t>
  </si>
  <si>
    <t>TP_HFI_IO_CONN0_RSVD_17</t>
  </si>
  <si>
    <t xml:space="preserve">J8B1.17, </t>
  </si>
  <si>
    <t>TP_XDP_OBSDATA_A3</t>
  </si>
  <si>
    <t xml:space="preserve">J9A3.17, </t>
  </si>
  <si>
    <t>TP_XDP_OBSDATA_A2</t>
  </si>
  <si>
    <t xml:space="preserve">J9A3.15, </t>
  </si>
  <si>
    <t>TP_XDP_OBSDATA_A1</t>
  </si>
  <si>
    <t xml:space="preserve">J9A3.11, </t>
  </si>
  <si>
    <t>TP_USB_ESD_OUT2</t>
  </si>
  <si>
    <t xml:space="preserve">CR1M2.7, </t>
  </si>
  <si>
    <t>TP_XDP_CPU1_OBSDATA_B3_MBP5_N</t>
  </si>
  <si>
    <t xml:space="preserve">U2D1.3606, </t>
  </si>
  <si>
    <t>TP_XDP_CPU1_OBSDATA_B2_MBP4_N</t>
  </si>
  <si>
    <t xml:space="preserve">U2D1.102, </t>
  </si>
  <si>
    <t>TP_XDP_CPU1_OBSDATA_B1_MBP3_N</t>
  </si>
  <si>
    <t xml:space="preserve">U2D1.314, </t>
  </si>
  <si>
    <t>TP_XDP_CPU1_OBSDATA_B0_MBP2_N</t>
  </si>
  <si>
    <t xml:space="preserve">U2D1.356, </t>
  </si>
  <si>
    <t>TP_XDP_CPU0_OBSDATA_A1_MBP3_N</t>
  </si>
  <si>
    <t xml:space="preserve">U5D1.314, </t>
  </si>
  <si>
    <t>TP_XDP_CPU0_OBSDATA_A0_MBP2_N</t>
  </si>
  <si>
    <t xml:space="preserve">U5D1.356, </t>
  </si>
  <si>
    <t>TP_P3E_CPU1_PE1_MP_TXP&lt;5&gt;</t>
  </si>
  <si>
    <t xml:space="preserve">U2D1.2328, </t>
  </si>
  <si>
    <t>TP_P3E_CPU1_PE1_MP_TXP&lt;3&gt;</t>
  </si>
  <si>
    <t xml:space="preserve">U2D1.2125, </t>
  </si>
  <si>
    <t>TP_P3E_CPU1_PE1_MP_TXP&lt;1&gt;</t>
  </si>
  <si>
    <t xml:space="preserve">U2D1.2067, </t>
  </si>
  <si>
    <t>TP_P3E_CPU1_PE1_MP_TXP&lt;0&gt;</t>
  </si>
  <si>
    <t xml:space="preserve">U2D1.1910, </t>
  </si>
  <si>
    <t>TP_P3E_CPU1_PE1_MP_TXN&lt;7&gt;</t>
  </si>
  <si>
    <t xml:space="preserve">U2D1.2500, </t>
  </si>
  <si>
    <t>TP_P3E_CPU1_PE1_MP_TXN&lt;6&gt;</t>
  </si>
  <si>
    <t xml:space="preserve">U2D1.11, </t>
  </si>
  <si>
    <t>TP_P3E_CPU1_PE1_MP_TXN&lt;4&gt;</t>
  </si>
  <si>
    <t xml:space="preserve">U2D1.2292, </t>
  </si>
  <si>
    <t>TP_P3E_CPU1_PE1_MP_TXN&lt;3&gt;</t>
  </si>
  <si>
    <t xml:space="preserve">U2D1.2209, </t>
  </si>
  <si>
    <t>TP_P3E_CPU1_PE1_MP_TXN&lt;2&gt;</t>
  </si>
  <si>
    <t xml:space="preserve">U2D1.2198, </t>
  </si>
  <si>
    <t>TP_P3E_CPU1_PE1_MP_RXP&lt;7&gt;</t>
  </si>
  <si>
    <t xml:space="preserve">U2D1.2442, </t>
  </si>
  <si>
    <t>TP_P3E_CPU1_PE1_MP_RXP&lt;6&gt;</t>
  </si>
  <si>
    <t xml:space="preserve">U2D1.2397, </t>
  </si>
  <si>
    <t>TP_P3E_CPU1_PE1_MP_RXP&lt;5&gt;</t>
  </si>
  <si>
    <t xml:space="preserve">U2D1.2275, </t>
  </si>
  <si>
    <t>TP_P3E_CPU1_PE1_MP_RXP&lt;4&gt;</t>
  </si>
  <si>
    <t xml:space="preserve">U2D1.2192, </t>
  </si>
  <si>
    <t>TP_P3E_CPU1_PE1_MP_RXP&lt;3&gt;</t>
  </si>
  <si>
    <t xml:space="preserve">U2D1.2024, </t>
  </si>
  <si>
    <t>TP_P3E_CPU1_PE1_MP_RXP&lt;2&gt;</t>
  </si>
  <si>
    <t xml:space="preserve">U2D1.2108, </t>
  </si>
  <si>
    <t>TP_P3E_CPU1_PE1_MP_RXP&lt;1&gt;</t>
  </si>
  <si>
    <t xml:space="preserve">U2D1.1978, </t>
  </si>
  <si>
    <t>TP_P3E_CPU1_PE1_MP_RXP&lt;0&gt;</t>
  </si>
  <si>
    <t xml:space="preserve">U2D1.1863, </t>
  </si>
  <si>
    <t>TP_P3E_CPU1_PE1_MP_RXN&lt;7&gt;</t>
  </si>
  <si>
    <t xml:space="preserve">U2D1.41, </t>
  </si>
  <si>
    <t>TP_P3E_CPU1_PE1_MP_RXN&lt;6&gt;</t>
  </si>
  <si>
    <t xml:space="preserve">U2D1.2441, </t>
  </si>
  <si>
    <t>TP_P3E_CPU1_PE1_MP_RXN&lt;5&gt;</t>
  </si>
  <si>
    <t xml:space="preserve">U2D1.2358, </t>
  </si>
  <si>
    <t>TP_P3E_CPU1_PE1_MP_RXN&lt;4&gt;</t>
  </si>
  <si>
    <t xml:space="preserve">U2D1.2193, </t>
  </si>
  <si>
    <t>TP_P3E_CPU1_PE1_MP_RXN&lt;3&gt;</t>
  </si>
  <si>
    <t xml:space="preserve">U2D1.2109, </t>
  </si>
  <si>
    <t>TP_P3E_CPU1_PE1_MP_RXN&lt;2&gt;</t>
  </si>
  <si>
    <t xml:space="preserve">U2D1.2147, </t>
  </si>
  <si>
    <t>TP_P3E_CPU1_PE1_MP_RXN&lt;1&gt;</t>
  </si>
  <si>
    <t xml:space="preserve">U2D1.2062, </t>
  </si>
  <si>
    <t>TP_P3E_CPU1_PE1_MP_RXN&lt;0&gt;</t>
  </si>
  <si>
    <t xml:space="preserve">U2D1.1941, </t>
  </si>
  <si>
    <t>TP_CPU1_SOCKET_ID_2</t>
  </si>
  <si>
    <t xml:space="preserve">U2D1.704, </t>
  </si>
  <si>
    <t>TP_CPU0_SOCKET_ID_2</t>
  </si>
  <si>
    <t xml:space="preserve">U5D1.704, </t>
  </si>
  <si>
    <t>TP_CPU0_PROCDIS_G_N</t>
  </si>
  <si>
    <t xml:space="preserve">U5D1.147, </t>
  </si>
  <si>
    <t>TP_PCH_RSVD25</t>
  </si>
  <si>
    <t xml:space="preserve">U7C1.3936, </t>
  </si>
  <si>
    <t>TP_PCH_RSVD24</t>
  </si>
  <si>
    <t xml:space="preserve">U7C1.3932, </t>
  </si>
  <si>
    <t>TP_CPLD1_PB16B_PCLKC2_1</t>
  </si>
  <si>
    <t xml:space="preserve">U8D7.217, </t>
  </si>
  <si>
    <t>TP_CPLD1_PL7D_PCLKT4_0</t>
  </si>
  <si>
    <t xml:space="preserve">U8D7.131, </t>
  </si>
  <si>
    <t>TP_CPLD1_PT22D</t>
  </si>
  <si>
    <t xml:space="preserve">U8D7.14, </t>
  </si>
  <si>
    <t>TP_CPLD1_PR7A_PCLKT1_0</t>
  </si>
  <si>
    <t xml:space="preserve">U8D7.126, </t>
  </si>
  <si>
    <t>TP_CPU1_RSVD_183</t>
  </si>
  <si>
    <t xml:space="preserve">U2D1.775, </t>
  </si>
  <si>
    <t>TP_CPU1_RSVD_181</t>
  </si>
  <si>
    <t xml:space="preserve">U2D1.796, </t>
  </si>
  <si>
    <t>TP_CPU1_RSVD_180</t>
  </si>
  <si>
    <t xml:space="preserve">U2D1.801, </t>
  </si>
  <si>
    <t>TP_CPU1_RSVD_177</t>
  </si>
  <si>
    <t xml:space="preserve">U2D1.844, </t>
  </si>
  <si>
    <t>TP_CPU1_RSVD_176</t>
  </si>
  <si>
    <t xml:space="preserve">U2D1.845, </t>
  </si>
  <si>
    <t>TP_CPU0_RSVD_177</t>
  </si>
  <si>
    <t xml:space="preserve">U5D1.844, </t>
  </si>
  <si>
    <t>TP_CPU0_RSVD_280</t>
  </si>
  <si>
    <t xml:space="preserve">U5D1.2854, </t>
  </si>
  <si>
    <t>TP_CPU0_RSVD_179</t>
  </si>
  <si>
    <t xml:space="preserve">U5D1.802, </t>
  </si>
  <si>
    <t>TP_PVNN_PCH_SVID_ALERT</t>
  </si>
  <si>
    <t xml:space="preserve">EU8A1.17, </t>
  </si>
  <si>
    <t>TP_SPI_1_4</t>
  </si>
  <si>
    <t xml:space="preserve">U3T1.6, </t>
  </si>
  <si>
    <t>TP_SPI_1_5</t>
  </si>
  <si>
    <t xml:space="preserve">U3T1.5, </t>
  </si>
  <si>
    <t>TP_SPI_1_6</t>
  </si>
  <si>
    <t xml:space="preserve">U3T1.4, </t>
  </si>
  <si>
    <t>TP_PVCCIO_CPU0_BVSEN</t>
  </si>
  <si>
    <t xml:space="preserve">EU3P1.29, </t>
  </si>
  <si>
    <t>TP_PVCCIO_CPU0_BVREF</t>
  </si>
  <si>
    <t xml:space="preserve">EU3P1.30, </t>
  </si>
  <si>
    <t>TP_PVCCIO_CPU0_BIREF1</t>
  </si>
  <si>
    <t xml:space="preserve">EU3P1.25, </t>
  </si>
  <si>
    <t>TP_PVDDQ_KLM_PH3_IMON_REF</t>
  </si>
  <si>
    <t xml:space="preserve">EU1B1.25, </t>
  </si>
  <si>
    <t>TP_PVDDQ_KLM_PH3_IMON</t>
  </si>
  <si>
    <t xml:space="preserve">EU1B1.26, </t>
  </si>
  <si>
    <t>TP_PVDDQ_DEF_PWM3</t>
  </si>
  <si>
    <t xml:space="preserve">EU7A5.3, </t>
  </si>
  <si>
    <t>TP_PVDDQ_DEF_PH3_IMON_REF</t>
  </si>
  <si>
    <t xml:space="preserve">EU7A5.25, </t>
  </si>
  <si>
    <t>TP_PVDDQ_KLM_BVSEN</t>
  </si>
  <si>
    <t xml:space="preserve">EU1B1.29, </t>
  </si>
  <si>
    <t>TP_PVDDQ_KLM_BVREF</t>
  </si>
  <si>
    <t xml:space="preserve">EU1B1.30, </t>
  </si>
  <si>
    <t>TP_PVDDQ_KLM_BREF1</t>
  </si>
  <si>
    <t xml:space="preserve">EU1B1.31, </t>
  </si>
  <si>
    <t>TP_PVDDQ_GHJ_BREF1</t>
  </si>
  <si>
    <t xml:space="preserve">EU1G2.31, </t>
  </si>
  <si>
    <t>TP_PVDDQ_DEF_BVSEN</t>
  </si>
  <si>
    <t xml:space="preserve">EU7A5.29, </t>
  </si>
  <si>
    <t>TP_PVDDQ_ABC_BVSEN</t>
  </si>
  <si>
    <t xml:space="preserve">EU7G1.29, </t>
  </si>
  <si>
    <t>TP_PVDDQ_ABC_BVREF</t>
  </si>
  <si>
    <t xml:space="preserve">EU7G1.30, </t>
  </si>
  <si>
    <t>TP_PVDDQ_ABC_BTSEN</t>
  </si>
  <si>
    <t xml:space="preserve">EU7G1.34, </t>
  </si>
  <si>
    <t>TP_PVDDQ_ABC_BREF1</t>
  </si>
  <si>
    <t xml:space="preserve">EU7G1.31, </t>
  </si>
  <si>
    <t>TP_PVDDQ_ABC_PINALRT_N</t>
  </si>
  <si>
    <t xml:space="preserve">EU7G1.12, </t>
  </si>
  <si>
    <t>TP_SMB_DDR_KLM_EN</t>
  </si>
  <si>
    <t xml:space="preserve">U3B1.5, </t>
  </si>
  <si>
    <t>TP_SMB_DDR_DEF_EN</t>
  </si>
  <si>
    <t xml:space="preserve">U7E1.5, </t>
  </si>
  <si>
    <t>TP_PCH_RSVD23</t>
  </si>
  <si>
    <t xml:space="preserve">U7C1.3928, </t>
  </si>
  <si>
    <t>TP_10GBE_KR1_MON_DN</t>
  </si>
  <si>
    <t xml:space="preserve">U7C1.2337, </t>
  </si>
  <si>
    <t>TP_PCH_RSVD42</t>
  </si>
  <si>
    <t xml:space="preserve">U7C1.2056, </t>
  </si>
  <si>
    <t>TP_PCH_RSVD41</t>
  </si>
  <si>
    <t xml:space="preserve">U7C1.2200, </t>
  </si>
  <si>
    <t>TP_PCH_RSVD3</t>
  </si>
  <si>
    <t xml:space="preserve">U7C1.4187, </t>
  </si>
  <si>
    <t>TP_10GBE_KR0_MON_DN</t>
  </si>
  <si>
    <t xml:space="preserve">U7C1.2330, </t>
  </si>
  <si>
    <t>TP_PCH_RSVD37</t>
  </si>
  <si>
    <t xml:space="preserve">U7C1.2477, </t>
  </si>
  <si>
    <t>TP_PCH_RSVD26</t>
  </si>
  <si>
    <t xml:space="preserve">U7C1.2112, </t>
  </si>
  <si>
    <t>TP_PCH_RSVD2</t>
  </si>
  <si>
    <t xml:space="preserve">U7C1.130, </t>
  </si>
  <si>
    <t>TP_PCH_RSVD1</t>
  </si>
  <si>
    <t xml:space="preserve">U7C1.272, </t>
  </si>
  <si>
    <t>TP_PCH_RSVD0</t>
  </si>
  <si>
    <t xml:space="preserve">U7C1.493, </t>
  </si>
  <si>
    <t>TP_PCH_HDA_SYNC</t>
  </si>
  <si>
    <t xml:space="preserve">U7C1.3476, </t>
  </si>
  <si>
    <t>TP_PCH_HDA_SDI_0</t>
  </si>
  <si>
    <t xml:space="preserve">U7C1.3620, </t>
  </si>
  <si>
    <t>TP_PCH_RSVD45</t>
  </si>
  <si>
    <t xml:space="preserve">U7C1.3910, </t>
  </si>
  <si>
    <t>TP_PCH_HDA_BCLK</t>
  </si>
  <si>
    <t xml:space="preserve">U7C1.3906, </t>
  </si>
  <si>
    <t>TP_PCH_HSA_RST_N</t>
  </si>
  <si>
    <t xml:space="preserve">U7C1.3762, </t>
  </si>
  <si>
    <t>TP_PCH_RSVD5</t>
  </si>
  <si>
    <t xml:space="preserve">U7C1.519, </t>
  </si>
  <si>
    <t>TP_PCH_DISPA_SDO</t>
  </si>
  <si>
    <t xml:space="preserve">U7C1.4198, </t>
  </si>
  <si>
    <t>TP_PCH_DISPA_SDI</t>
  </si>
  <si>
    <t xml:space="preserve">U7C1.3980, </t>
  </si>
  <si>
    <t>TP_PCH_DISPA_BCLK</t>
  </si>
  <si>
    <t xml:space="preserve">U7C1.4124, </t>
  </si>
  <si>
    <t>TP_P3E_CPU1_PE2_RSR_TXP&lt;8&gt;</t>
  </si>
  <si>
    <t xml:space="preserve">U2D1.1467, </t>
  </si>
  <si>
    <t>TP_P3E_CPU1_PE2_RSR_TXP&lt;7&gt;</t>
  </si>
  <si>
    <t xml:space="preserve">U2D1.1494, </t>
  </si>
  <si>
    <t>TP_P3E_CPU1_PE2_RSR_TXP&lt;6&gt;</t>
  </si>
  <si>
    <t xml:space="preserve">U2D1.1489, </t>
  </si>
  <si>
    <t>TP_P3E_CPU1_PE2_RSR_TXP&lt;5&gt;</t>
  </si>
  <si>
    <t xml:space="preserve">U2D1.1628, </t>
  </si>
  <si>
    <t>TP_P3E_CPU1_PE2_RSR_TXP&lt;4&gt;</t>
  </si>
  <si>
    <t xml:space="preserve">U2D1.1617, </t>
  </si>
  <si>
    <t>TP_P3E_CPU1_PE2_RSR_TXP&lt;3&gt;</t>
  </si>
  <si>
    <t xml:space="preserve">U2D1.1745, </t>
  </si>
  <si>
    <t>TP_P3E_CPU1_PE2_RSR_TXP&lt;1&gt;</t>
  </si>
  <si>
    <t xml:space="preserve">U2D1.1836, </t>
  </si>
  <si>
    <t>TP_P3E_CPU1_PE2_RSR_TXP&lt;15&gt;</t>
  </si>
  <si>
    <t xml:space="preserve">U2D1.1082, </t>
  </si>
  <si>
    <t>TP_P3E_CPU1_PE2_RSR_TXP&lt;14&gt;</t>
  </si>
  <si>
    <t xml:space="preserve">U2D1.1131, </t>
  </si>
  <si>
    <t>TP_P3E_CPU1_PE2_RSR_TXP&lt;13&gt;</t>
  </si>
  <si>
    <t xml:space="preserve">U2D1.1156, </t>
  </si>
  <si>
    <t>TP_P3E_CPU1_PE2_RSR_TXP&lt;12&gt;</t>
  </si>
  <si>
    <t xml:space="preserve">U2D1.1206, </t>
  </si>
  <si>
    <t>TP_P3E_CPU1_PE2_RSR_TXP&lt;11&gt;</t>
  </si>
  <si>
    <t xml:space="preserve">U2D1.1281, </t>
  </si>
  <si>
    <t>TP_P3E_CPU1_PE2_RSR_TXP&lt;10&gt;</t>
  </si>
  <si>
    <t xml:space="preserve">U2D1.1332, </t>
  </si>
  <si>
    <t>TP_P3E_CPU1_PE2_RSR_TXP&lt;0&gt;</t>
  </si>
  <si>
    <t xml:space="preserve">U2D1.1921, </t>
  </si>
  <si>
    <t>TP_P3E_CPU1_PE2_RSR_TXN&lt;9&gt;</t>
  </si>
  <si>
    <t xml:space="preserve">U2D1.1416, </t>
  </si>
  <si>
    <t>TP_P3E_CPU1_PE2_RSR_TXN&lt;8&gt;</t>
  </si>
  <si>
    <t xml:space="preserve">U2D1.1437, </t>
  </si>
  <si>
    <t>TP_P3E_CPU1_PE2_RSR_TXN&lt;7&gt;</t>
  </si>
  <si>
    <t xml:space="preserve">U2D1.1519, </t>
  </si>
  <si>
    <t>TP_P3E_CPU1_PE2_RSR_TXN&lt;5&gt;</t>
  </si>
  <si>
    <t xml:space="preserve">U2D1.1651, </t>
  </si>
  <si>
    <t>TP_P3E_CPU1_PE2_RSR_TXN&lt;4&gt;</t>
  </si>
  <si>
    <t xml:space="preserve">U2D1.1676, </t>
  </si>
  <si>
    <t>TP_P3E_CPU1_PE2_RSR_TXN&lt;3&gt;</t>
  </si>
  <si>
    <t xml:space="preserve">U2D1.1806, </t>
  </si>
  <si>
    <t>TP_P3E_CPU1_PE2_RSR_TXN&lt;1&gt;</t>
  </si>
  <si>
    <t xml:space="preserve">U2D1.1878, </t>
  </si>
  <si>
    <t>TP_P3E_CPU1_PE2_RSR_TXN&lt;15&gt;</t>
  </si>
  <si>
    <t xml:space="preserve">U2D1.1132, </t>
  </si>
  <si>
    <t>TP_P3E_CPU1_PE2_RSR_TXN&lt;14&gt;</t>
  </si>
  <si>
    <t xml:space="preserve">U2D1.1106, </t>
  </si>
  <si>
    <t>TP_P3E_CPU1_PE2_RSR_TXN&lt;13&gt;</t>
  </si>
  <si>
    <t xml:space="preserve">U2D1.1182, </t>
  </si>
  <si>
    <t>TP_P3E_CPU1_PE2_RSR_TXN&lt;12&gt;</t>
  </si>
  <si>
    <t xml:space="preserve">U2D1.1256, </t>
  </si>
  <si>
    <t>TP_P3E_CPU1_PE2_RSR_TXN&lt;11&gt;</t>
  </si>
  <si>
    <t xml:space="preserve">U2D1.1306, </t>
  </si>
  <si>
    <t>TP_P3E_CPU1_PE2_RSR_TXN&lt;10&gt;</t>
  </si>
  <si>
    <t xml:space="preserve">U2D1.1391, </t>
  </si>
  <si>
    <t>TP_P3E_CPU1_PE2_RSR_RXP&lt;9&gt;</t>
  </si>
  <si>
    <t xml:space="preserve">U2D1.1318, </t>
  </si>
  <si>
    <t>TP_P3E_CPU1_PE2_RSR_RXP&lt;8&gt;</t>
  </si>
  <si>
    <t xml:space="preserve">U2D1.1296, </t>
  </si>
  <si>
    <t>TP_P3E_CPU1_PE2_RSR_RXP&lt;7&gt;</t>
  </si>
  <si>
    <t xml:space="preserve">U2D1.1454, </t>
  </si>
  <si>
    <t>TP_P3E_CPU1_PE2_RSR_RXP&lt;6&gt;</t>
  </si>
  <si>
    <t xml:space="preserve">U2D1.1474, </t>
  </si>
  <si>
    <t>TP_P3E_CPU1_PE2_RSR_RXP&lt;5&gt;</t>
  </si>
  <si>
    <t xml:space="preserve">U2D1.1526, </t>
  </si>
  <si>
    <t>TP_P3E_CPU1_PE2_RSR_RXP&lt;4&gt;</t>
  </si>
  <si>
    <t xml:space="preserve">U2D1.1579, </t>
  </si>
  <si>
    <t>TP_P3E_CPU1_PE2_RSR_RXP&lt;3&gt;</t>
  </si>
  <si>
    <t xml:space="preserve">U2D1.1660, </t>
  </si>
  <si>
    <t>TP_P3E_CPU1_PE2_RSR_RXP&lt;2&gt;</t>
  </si>
  <si>
    <t xml:space="preserve">U2D1.1731, </t>
  </si>
  <si>
    <t>TP_P3E_CPU1_PE2_RSR_RXP&lt;1&gt;</t>
  </si>
  <si>
    <t xml:space="preserve">U2D1.1705, </t>
  </si>
  <si>
    <t>TP_P3E_CPU1_PE2_RSR_RXP&lt;15&gt;</t>
  </si>
  <si>
    <t xml:space="preserve">U2D1.1047, </t>
  </si>
  <si>
    <t>TP_P3E_CPU1_PE2_RSR_RXP&lt;14&gt;</t>
  </si>
  <si>
    <t xml:space="preserve">U2D1.1068, </t>
  </si>
  <si>
    <t>TP_P3E_CPU1_PE2_RSR_RXP&lt;13&gt;</t>
  </si>
  <si>
    <t xml:space="preserve">U2D1.1138, </t>
  </si>
  <si>
    <t>TP_P3E_CPU1_PE2_RSR_RXP&lt;12&gt;</t>
  </si>
  <si>
    <t xml:space="preserve">U2D1.1196, </t>
  </si>
  <si>
    <t>TP_P3E_CPU1_PE2_RSR_RXP&lt;11&gt;</t>
  </si>
  <si>
    <t xml:space="preserve">U2D1.1188, </t>
  </si>
  <si>
    <t>TP_P3E_CPU1_PE2_RSR_RXP&lt;10&gt;</t>
  </si>
  <si>
    <t xml:space="preserve">U2D1.1257, </t>
  </si>
  <si>
    <t>TP_P3E_CPU1_PE2_RSR_RXP&lt;0&gt;</t>
  </si>
  <si>
    <t xml:space="preserve">U2D1.1792, </t>
  </si>
  <si>
    <t>TP_P3E_CPU1_PE2_RSR_RXN&lt;9&gt;</t>
  </si>
  <si>
    <t xml:space="preserve">U2D1.1338, </t>
  </si>
  <si>
    <t>TP_P3E_CPU1_PE2_RSR_RXN&lt;8&gt;</t>
  </si>
  <si>
    <t xml:space="preserve">U2D1.1346, </t>
  </si>
  <si>
    <t>TP_P3E_CPU1_PE2_RSR_RXN&lt;7&gt;</t>
  </si>
  <si>
    <t xml:space="preserve">U2D1.1506, </t>
  </si>
  <si>
    <t>TP_P3E_CPU1_PE2_RSR_RXN&lt;6&gt;</t>
  </si>
  <si>
    <t xml:space="preserve">U2D1.1495, </t>
  </si>
  <si>
    <t>TP_P3E_CPU1_PE2_RSR_RXN&lt;5&gt;</t>
  </si>
  <si>
    <t xml:space="preserve">U2D1.1558, </t>
  </si>
  <si>
    <t>TP_P3E_CPU1_PE2_RSR_RXN&lt;4&gt;</t>
  </si>
  <si>
    <t xml:space="preserve">U2D1.1636, </t>
  </si>
  <si>
    <t>TP_P3E_CPU1_PE2_RSR_RXN&lt;3&gt;</t>
  </si>
  <si>
    <t xml:space="preserve">U2D1.1696, </t>
  </si>
  <si>
    <t>TP_P3E_CPU1_PE2_RSR_RXN&lt;2&gt;</t>
  </si>
  <si>
    <t xml:space="preserve">U2D1.1757, </t>
  </si>
  <si>
    <t>TP_P3E_CPU1_PE2_RSR_RXN&lt;1&gt;</t>
  </si>
  <si>
    <t xml:space="preserve">U2D1.1765, </t>
  </si>
  <si>
    <t>TP_P3E_CPU1_PE2_RSR_RXN&lt;15&gt;</t>
  </si>
  <si>
    <t xml:space="preserve">U2D1.1096, </t>
  </si>
  <si>
    <t>TP_P3E_CPU1_PE2_RSR_RXN&lt;14&gt;</t>
  </si>
  <si>
    <t xml:space="preserve">U2D1.1118, </t>
  </si>
  <si>
    <t>TP_P3E_CPU1_PE2_RSR_RXN&lt;13&gt;</t>
  </si>
  <si>
    <t xml:space="preserve">U2D1.1168, </t>
  </si>
  <si>
    <t>TP_P3E_CPU1_PE2_RSR_RXN&lt;12&gt;</t>
  </si>
  <si>
    <t xml:space="preserve">U2D1.1218, </t>
  </si>
  <si>
    <t>TP_P3E_CPU1_PE2_RSR_RXN&lt;11&gt;</t>
  </si>
  <si>
    <t xml:space="preserve">U2D1.1238, </t>
  </si>
  <si>
    <t>TP_P3E_CPU1_PE2_RSR_RXN&lt;10&gt;</t>
  </si>
  <si>
    <t xml:space="preserve">U2D1.1288, </t>
  </si>
  <si>
    <t>TP_P3E_CPU1_PE2_RSR_RXN&lt;0&gt;</t>
  </si>
  <si>
    <t xml:space="preserve">U2D1.1831, </t>
  </si>
  <si>
    <t>TP_P3E_CPU1_PE1_RSR3_TXP&lt;9&gt;</t>
  </si>
  <si>
    <t xml:space="preserve">U2D1.2655, </t>
  </si>
  <si>
    <t>TP_P3E_CPU1_PE1_RSR3_TXP&lt;8&gt;</t>
  </si>
  <si>
    <t xml:space="preserve">U2D1.2583, </t>
  </si>
  <si>
    <t>TP_P3E_CPU1_PE1_RSR3_TXP&lt;13&gt;</t>
  </si>
  <si>
    <t xml:space="preserve">U2D1.2760, </t>
  </si>
  <si>
    <t>TP_P3E_CPU1_PE1_RSR3_TXP&lt;12&gt;</t>
  </si>
  <si>
    <t xml:space="preserve">U2D1.2640, </t>
  </si>
  <si>
    <t>TP_P3E_CPU1_PE1_RSR3_TXN&lt;8&gt;</t>
  </si>
  <si>
    <t xml:space="preserve">U2D1.2629, </t>
  </si>
  <si>
    <t>TP_P3E_CPU1_PE1_RSR3_TXN&lt;13&gt;</t>
  </si>
  <si>
    <t xml:space="preserve">U2D1.2806, </t>
  </si>
  <si>
    <t>TP_P3E_CPU1_PE1_RSR3_TXN&lt;12&gt;</t>
  </si>
  <si>
    <t xml:space="preserve">U2D1.2723, </t>
  </si>
  <si>
    <t>TP_P3E_CPU1_PE1_RSR3_TXN&lt;11&gt;</t>
  </si>
  <si>
    <t xml:space="preserve">U2D1.2677, </t>
  </si>
  <si>
    <t>TP_P3E_CPU1_PE1_RSR3_TXN&lt;10&gt;</t>
  </si>
  <si>
    <t xml:space="preserve">U2D1.2749, </t>
  </si>
  <si>
    <t>TP_P3E_CPU1_PE1_RSR3_RXP&lt;9&gt;</t>
  </si>
  <si>
    <t xml:space="preserve">U2D1.2484, </t>
  </si>
  <si>
    <t>TP_P3E_CPU1_PE1_RSR3_RXP&lt;8&gt;</t>
  </si>
  <si>
    <t xml:space="preserve">U2D1.2401, </t>
  </si>
  <si>
    <t>TP_P3E_CPU1_PE1_RSR3_RXP&lt;15&gt;</t>
  </si>
  <si>
    <t xml:space="preserve">U2D1.2611, </t>
  </si>
  <si>
    <t>TP_P3E_CPU1_PE1_RSR3_RXP&lt;14&gt;</t>
  </si>
  <si>
    <t xml:space="preserve">U2D1.2694, </t>
  </si>
  <si>
    <t>TP_P3E_CPU1_PE1_RSR3_RXP&lt;13&gt;</t>
  </si>
  <si>
    <t xml:space="preserve">U2D1.2776, </t>
  </si>
  <si>
    <t>TP_P3E_CPU1_PE1_RSR3_RXP&lt;12&gt;</t>
  </si>
  <si>
    <t xml:space="preserve">U2D1.2651, </t>
  </si>
  <si>
    <t>TP_P3E_CPU1_PE1_RSR3_RXP&lt;11&gt;</t>
  </si>
  <si>
    <t xml:space="preserve">U2D1.2527, </t>
  </si>
  <si>
    <t>TP_P3E_CPU1_PE1_RSR3_RXP&lt;10&gt;</t>
  </si>
  <si>
    <t xml:space="preserve">U2D1.2568, </t>
  </si>
  <si>
    <t>TP_P3E_CPU1_PE1_RSR3_RXN&lt;9&gt;</t>
  </si>
  <si>
    <t xml:space="preserve">U2D1.2526, </t>
  </si>
  <si>
    <t>TP_P3E_CPU1_PE1_RSR3_RXN&lt;8&gt;</t>
  </si>
  <si>
    <t xml:space="preserve">U2D1.1, </t>
  </si>
  <si>
    <t>TP_P3E_CPU1_PE1_RSR3_RXN&lt;15&gt;</t>
  </si>
  <si>
    <t xml:space="preserve">U2D1.2653, </t>
  </si>
  <si>
    <t>TP_P3E_CPU1_PE1_RSR3_RXN&lt;14&gt;</t>
  </si>
  <si>
    <t xml:space="preserve">U2D1.2777, </t>
  </si>
  <si>
    <t>TP_P3E_CPU1_PE1_RSR3_RXN&lt;13&gt;</t>
  </si>
  <si>
    <t xml:space="preserve">U2D1.2735, </t>
  </si>
  <si>
    <t>TP_P3E_CPU1_PE1_RSR3_RXN&lt;12&gt;</t>
  </si>
  <si>
    <t xml:space="preserve">U2D1.2693, </t>
  </si>
  <si>
    <t>TP_P3E_CPU1_PE1_RSR3_RXN&lt;11&gt;</t>
  </si>
  <si>
    <t xml:space="preserve">U2D1.2610, </t>
  </si>
  <si>
    <t>TP_P3E_CPU1_PE1_RSR3_RXN&lt;10&gt;</t>
  </si>
  <si>
    <t xml:space="preserve">U2D1.2609, </t>
  </si>
  <si>
    <t>TP_CLK_96M_CKMNG_P</t>
  </si>
  <si>
    <t xml:space="preserve">EU8F2.3, </t>
  </si>
  <si>
    <t>TP_CLK_100M_R_DN</t>
  </si>
  <si>
    <t xml:space="preserve">EU8F2.8, </t>
  </si>
  <si>
    <t>TP_SPRV_SDP2</t>
  </si>
  <si>
    <t xml:space="preserve">EU9E1.62, </t>
  </si>
  <si>
    <t>TP_SPRV_SDP1</t>
  </si>
  <si>
    <t xml:space="preserve">EU9E1.61, </t>
  </si>
  <si>
    <t>TP_SPRV_SDP0</t>
  </si>
  <si>
    <t xml:space="preserve">EU9E1.63, </t>
  </si>
  <si>
    <t>TP_PVCCIN_CPU0_GP1</t>
  </si>
  <si>
    <t xml:space="preserve">EU4D4.16, </t>
  </si>
  <si>
    <t>TP_PCH_RSVD36</t>
  </si>
  <si>
    <t xml:space="preserve">U7C1.774, </t>
  </si>
  <si>
    <t>TP_USB_ESD_OUT3</t>
  </si>
  <si>
    <t xml:space="preserve">CR1M2.6, </t>
  </si>
  <si>
    <t>TP_CPU1_RSVD_182</t>
  </si>
  <si>
    <t xml:space="preserve">U2D1.795, </t>
  </si>
  <si>
    <t>TP_CPU1_RSVD_219</t>
  </si>
  <si>
    <t xml:space="preserve">U2D1.496, </t>
  </si>
  <si>
    <t>TP_CPU1_RSVD_226</t>
  </si>
  <si>
    <t xml:space="preserve">U2D1.459, </t>
  </si>
  <si>
    <t>TP_CPU1_RSVD_231</t>
  </si>
  <si>
    <t xml:space="preserve">U2D1.421, </t>
  </si>
  <si>
    <t>TP_CPU1_RSVD_235</t>
  </si>
  <si>
    <t xml:space="preserve">U2D1.380, </t>
  </si>
  <si>
    <t>TP_CPU1_RSVD_236</t>
  </si>
  <si>
    <t xml:space="preserve">U2D1.379, </t>
  </si>
  <si>
    <t>TP_CPU1_RSVD_237</t>
  </si>
  <si>
    <t xml:space="preserve">U2D1.378, </t>
  </si>
  <si>
    <t>TP_CPU1_RSVD_238</t>
  </si>
  <si>
    <t xml:space="preserve">U2D1.377, </t>
  </si>
  <si>
    <t>TP_CPU1_RSVD_239</t>
  </si>
  <si>
    <t xml:space="preserve">U2D1.376, </t>
  </si>
  <si>
    <t>TP_CPU1_RSVD_242</t>
  </si>
  <si>
    <t xml:space="preserve">U2D1.337, </t>
  </si>
  <si>
    <t>TP_CPU1_RSVD_243</t>
  </si>
  <si>
    <t xml:space="preserve">U2D1.336, </t>
  </si>
  <si>
    <t>TP_CPU1_RSVD_244</t>
  </si>
  <si>
    <t xml:space="preserve">U2D1.334, </t>
  </si>
  <si>
    <t>TP_CPU1_RSVD_248</t>
  </si>
  <si>
    <t xml:space="preserve">U2D1.293, </t>
  </si>
  <si>
    <t>TP_CPU1_RSVD_249</t>
  </si>
  <si>
    <t xml:space="preserve">U2D1.292, </t>
  </si>
  <si>
    <t>TP_CPU1_RSVD_250</t>
  </si>
  <si>
    <t xml:space="preserve">U2D1.291, </t>
  </si>
  <si>
    <t>TP_CPU1_RSVD_252</t>
  </si>
  <si>
    <t xml:space="preserve">U2D1.251, </t>
  </si>
  <si>
    <t>TP_CPU1_RSVD_253</t>
  </si>
  <si>
    <t xml:space="preserve">U2D1.249, </t>
  </si>
  <si>
    <t>TP_CPU0_RSVD_219</t>
  </si>
  <si>
    <t xml:space="preserve">U5D1.496, </t>
  </si>
  <si>
    <t>TP_CPU0_RSVD_226</t>
  </si>
  <si>
    <t xml:space="preserve">U5D1.459, </t>
  </si>
  <si>
    <t>TP_CPU0_RSVD_231</t>
  </si>
  <si>
    <t xml:space="preserve">U5D1.421, </t>
  </si>
  <si>
    <t>TP_CPU0_RSVD_235</t>
  </si>
  <si>
    <t xml:space="preserve">U5D1.380, </t>
  </si>
  <si>
    <t>TP_CPU0_RSVD_236</t>
  </si>
  <si>
    <t xml:space="preserve">U5D1.379, </t>
  </si>
  <si>
    <t>TP_CPU0_RSVD_237</t>
  </si>
  <si>
    <t xml:space="preserve">U5D1.378, </t>
  </si>
  <si>
    <t>TP_CPU0_RSVD_238</t>
  </si>
  <si>
    <t xml:space="preserve">U5D1.377, </t>
  </si>
  <si>
    <t>TP_CPU0_RSVD_239</t>
  </si>
  <si>
    <t xml:space="preserve">U5D1.376, </t>
  </si>
  <si>
    <t>TP_CPU0_RSVD_242</t>
  </si>
  <si>
    <t xml:space="preserve">U5D1.337, </t>
  </si>
  <si>
    <t>TP_CPU0_RSVD_243</t>
  </si>
  <si>
    <t xml:space="preserve">U5D1.336, </t>
  </si>
  <si>
    <t>TP_CPU0_RSVD_244</t>
  </si>
  <si>
    <t xml:space="preserve">U5D1.334, </t>
  </si>
  <si>
    <t>TP_CPU0_RSVD_248</t>
  </si>
  <si>
    <t xml:space="preserve">U5D1.293, </t>
  </si>
  <si>
    <t>TP_CPU0_RSVD_249</t>
  </si>
  <si>
    <t xml:space="preserve">U5D1.292, </t>
  </si>
  <si>
    <t>TP_CPU0_RSVD_250</t>
  </si>
  <si>
    <t xml:space="preserve">U5D1.291, </t>
  </si>
  <si>
    <t>TP_CPU0_RSVD_252</t>
  </si>
  <si>
    <t xml:space="preserve">U5D1.251, </t>
  </si>
  <si>
    <t>TP_CPU0_RSVD_253</t>
  </si>
  <si>
    <t xml:space="preserve">U5D1.249, </t>
  </si>
  <si>
    <t>TP_SPI_PCH_CS1_R1_N</t>
  </si>
  <si>
    <t xml:space="preserve">U7C1.3391, </t>
  </si>
  <si>
    <t>TP_CPU1_RSVD_267</t>
  </si>
  <si>
    <t xml:space="preserve">U2D1.3250, </t>
  </si>
  <si>
    <t>TP_CPU1_RSVD_268</t>
  </si>
  <si>
    <t xml:space="preserve">U2D1.3208, </t>
  </si>
  <si>
    <t>TP_CPU1_RSVD_269</t>
  </si>
  <si>
    <t xml:space="preserve">U2D1.3199, </t>
  </si>
  <si>
    <t>TP_CPU1_RSVD_82</t>
  </si>
  <si>
    <t xml:space="preserve">U2D1.1640, </t>
  </si>
  <si>
    <t>TP_CPU1_RSVD_90</t>
  </si>
  <si>
    <t xml:space="preserve">U2D1.1583, </t>
  </si>
  <si>
    <t>TP_CPU1_RSVD_94</t>
  </si>
  <si>
    <t xml:space="preserve">U2D1.1560, </t>
  </si>
  <si>
    <t>TP_CPU1_RSVD_95</t>
  </si>
  <si>
    <t xml:space="preserve">U2D1.1557, </t>
  </si>
  <si>
    <t>TP_CPU1_RSVD_100</t>
  </si>
  <si>
    <t xml:space="preserve">U2D1.1532, </t>
  </si>
  <si>
    <t>TP_CPU1_RSVD_271</t>
  </si>
  <si>
    <t xml:space="preserve">U2D1.3177, </t>
  </si>
  <si>
    <t>TP_CPU1_RSVD_101</t>
  </si>
  <si>
    <t xml:space="preserve">U2D1.1531, </t>
  </si>
  <si>
    <t>TP_CPU1_RSVD_105</t>
  </si>
  <si>
    <t xml:space="preserve">U2D1.1507, </t>
  </si>
  <si>
    <t>TP_CPU1_RSVD_106</t>
  </si>
  <si>
    <t xml:space="preserve">U2D1.1505, </t>
  </si>
  <si>
    <t>TP_CPU1_RSVD_150</t>
  </si>
  <si>
    <t xml:space="preserve">U2D1.935, </t>
  </si>
  <si>
    <t>TP_CPU1_RSVD_151</t>
  </si>
  <si>
    <t xml:space="preserve">U2D1.934, </t>
  </si>
  <si>
    <t>TP_CPU1_RSVD_152</t>
  </si>
  <si>
    <t xml:space="preserve">U2D1.933, </t>
  </si>
  <si>
    <t>TP_CPU1_RSVD_156</t>
  </si>
  <si>
    <t xml:space="preserve">U2D1.910, </t>
  </si>
  <si>
    <t>TP_CPU1_RSVD_157</t>
  </si>
  <si>
    <t xml:space="preserve">U2D1.909, </t>
  </si>
  <si>
    <t>TP_CPU1_RSVD_158</t>
  </si>
  <si>
    <t xml:space="preserve">U2D1.908, </t>
  </si>
  <si>
    <t>TP_CPU1_RSVD_274</t>
  </si>
  <si>
    <t xml:space="preserve">U2D1.3125, </t>
  </si>
  <si>
    <t>TP_CPU1_RSVD_163</t>
  </si>
  <si>
    <t xml:space="preserve">U2D1.882, </t>
  </si>
  <si>
    <t>TP_CPU1_RSVD_164</t>
  </si>
  <si>
    <t xml:space="preserve">U2D1.881, </t>
  </si>
  <si>
    <t>TP_CPU1_RSVD_170</t>
  </si>
  <si>
    <t xml:space="preserve">U2D1.865, </t>
  </si>
  <si>
    <t>TP_CPU1_RSVD_171</t>
  </si>
  <si>
    <t xml:space="preserve">U2D1.862, </t>
  </si>
  <si>
    <t>TP_CPU1_RSVD_172</t>
  </si>
  <si>
    <t xml:space="preserve">U2D1.861, </t>
  </si>
  <si>
    <t>TP_CPU1_RSVD_173</t>
  </si>
  <si>
    <t xml:space="preserve">U2D1.856, </t>
  </si>
  <si>
    <t>TP_CPU1_RSVD_277</t>
  </si>
  <si>
    <t xml:space="preserve">U2D1.3084, </t>
  </si>
  <si>
    <t>TP_CPU1_RSVD_184</t>
  </si>
  <si>
    <t xml:space="preserve">U2D1.769, </t>
  </si>
  <si>
    <t>TP_CPU1_RSVD_186</t>
  </si>
  <si>
    <t xml:space="preserve">U2D1.749, </t>
  </si>
  <si>
    <t>TP_CPU1_RSVD_190</t>
  </si>
  <si>
    <t xml:space="preserve">U2D1.655, </t>
  </si>
  <si>
    <t>TP_CPU1_RSVD_174</t>
  </si>
  <si>
    <t xml:space="preserve">U2D1.855, </t>
  </si>
  <si>
    <t>TP_CPU1_RSVD_178</t>
  </si>
  <si>
    <t xml:space="preserve">U2D1.843, </t>
  </si>
  <si>
    <t>TP_CPU1_RSVD_179</t>
  </si>
  <si>
    <t xml:space="preserve">U2D1.802, </t>
  </si>
  <si>
    <t>TP_CPU1_RSVD_204</t>
  </si>
  <si>
    <t xml:space="preserve">U2D1.564, </t>
  </si>
  <si>
    <t>TP_CPU1_RSVD_205</t>
  </si>
  <si>
    <t xml:space="preserve">U2D1.563, </t>
  </si>
  <si>
    <t>TP_CPU1_RSVD_210</t>
  </si>
  <si>
    <t xml:space="preserve">U2D1.535, </t>
  </si>
  <si>
    <t>TP_CPU1_RSVD_211</t>
  </si>
  <si>
    <t xml:space="preserve">U2D1.534, </t>
  </si>
  <si>
    <t>TP_CPU1_RSVD_212</t>
  </si>
  <si>
    <t xml:space="preserve">U2D1.532, </t>
  </si>
  <si>
    <t>TP_CPU1_RSVD_216</t>
  </si>
  <si>
    <t xml:space="preserve">U2D1.502, </t>
  </si>
  <si>
    <t>TP_CPU1_RSVD_217</t>
  </si>
  <si>
    <t xml:space="preserve">U2D1.498, </t>
  </si>
  <si>
    <t>TP_CPU1_RSVD_218</t>
  </si>
  <si>
    <t xml:space="preserve">U2D1.497, </t>
  </si>
  <si>
    <t>TP_CPU1_RSVD_223</t>
  </si>
  <si>
    <t xml:space="preserve">U2D1.463, </t>
  </si>
  <si>
    <t>TP_CPU1_RSVD_224</t>
  </si>
  <si>
    <t xml:space="preserve">U2D1.462, </t>
  </si>
  <si>
    <t>TP_CPU1_RSVD_225</t>
  </si>
  <si>
    <t xml:space="preserve">U2D1.460, </t>
  </si>
  <si>
    <t>TP_CPU1_RSVD_228</t>
  </si>
  <si>
    <t xml:space="preserve">U2D1.431, </t>
  </si>
  <si>
    <t>TP_CPU1_RSVD_229</t>
  </si>
  <si>
    <t xml:space="preserve">U2D1.430, </t>
  </si>
  <si>
    <t>TP_CPU1_RSVD_230</t>
  </si>
  <si>
    <t xml:space="preserve">U2D1.422, </t>
  </si>
  <si>
    <t>TP_CPU1_RSVD_234</t>
  </si>
  <si>
    <t xml:space="preserve">U2D1.389, </t>
  </si>
  <si>
    <t>TP_CPU1_RSVD_241</t>
  </si>
  <si>
    <t xml:space="preserve">U2D1.347, </t>
  </si>
  <si>
    <t>TP_CPU1_RSVD_247</t>
  </si>
  <si>
    <t xml:space="preserve">U2D1.304, </t>
  </si>
  <si>
    <t>TP_CPU1_RSVD_251</t>
  </si>
  <si>
    <t xml:space="preserve">U2D1.290, </t>
  </si>
  <si>
    <t>TP_CPU1_RSVD_255</t>
  </si>
  <si>
    <t xml:space="preserve">U2D1.805, </t>
  </si>
  <si>
    <t>TP_CPU1_RSVD_256</t>
  </si>
  <si>
    <t xml:space="preserve">U2D1.3635, </t>
  </si>
  <si>
    <t>TP_CPU1_RSVD_293</t>
  </si>
  <si>
    <t xml:space="preserve">U2D1.837, </t>
  </si>
  <si>
    <t>TP_CPU1_RSVD_258</t>
  </si>
  <si>
    <t xml:space="preserve">U2D1.3593, </t>
  </si>
  <si>
    <t>TP_CPU1_RSVD_259</t>
  </si>
  <si>
    <t xml:space="preserve">U2D1.3551, </t>
  </si>
  <si>
    <t>TP_CPU1_RSVD_260</t>
  </si>
  <si>
    <t xml:space="preserve">U2D1.3550, </t>
  </si>
  <si>
    <t>TP_CPU1_RSVD_261</t>
  </si>
  <si>
    <t xml:space="preserve">U2D1.3508, </t>
  </si>
  <si>
    <t>TP_CPU1_RSVD_262</t>
  </si>
  <si>
    <t xml:space="preserve">U2D1.3466, </t>
  </si>
  <si>
    <t>TP_CPU1_RSVD_263</t>
  </si>
  <si>
    <t xml:space="preserve">U2D1.72, </t>
  </si>
  <si>
    <t>TP_CPU1_RSVD_264</t>
  </si>
  <si>
    <t xml:space="preserve">U2D1.70, </t>
  </si>
  <si>
    <t>TP_CPU1_RSVD_280</t>
  </si>
  <si>
    <t xml:space="preserve">U2D1.2854, </t>
  </si>
  <si>
    <t>TP_CPU1_RSVD_284</t>
  </si>
  <si>
    <t xml:space="preserve">U2D1.2022, </t>
  </si>
  <si>
    <t>TP_CPU1_RSVD_288</t>
  </si>
  <si>
    <t xml:space="preserve">U2D1.1380, </t>
  </si>
  <si>
    <t>TP_CPU1_RSVD_265</t>
  </si>
  <si>
    <t xml:space="preserve">U2D1.3422, </t>
  </si>
  <si>
    <t>TP_CPU1_RSVD_270</t>
  </si>
  <si>
    <t xml:space="preserve">U2D1.3178, </t>
  </si>
  <si>
    <t>TP_CPU1_RSVD_227</t>
  </si>
  <si>
    <t xml:space="preserve">U2D1.444, </t>
  </si>
  <si>
    <t>TP_CPU1_RSVD_240</t>
  </si>
  <si>
    <t xml:space="preserve">U2D1.362, </t>
  </si>
  <si>
    <t>TP_CPU1_TEST_7</t>
  </si>
  <si>
    <t xml:space="preserve">U2D1.702, </t>
  </si>
  <si>
    <t>TP_CPU1_TEST_8</t>
  </si>
  <si>
    <t xml:space="preserve">U2D1.758, </t>
  </si>
  <si>
    <t>TP_CPU1_TEST_10</t>
  </si>
  <si>
    <t xml:space="preserve">U2D1.762, </t>
  </si>
  <si>
    <t>TP_CPU1_TEST_9</t>
  </si>
  <si>
    <t xml:space="preserve">U2D1.761, </t>
  </si>
  <si>
    <t>TP_CPU1_RSVD_TEST_11</t>
  </si>
  <si>
    <t xml:space="preserve">U2D1.783, </t>
  </si>
  <si>
    <t>TP_CPU1_RSVD_266</t>
  </si>
  <si>
    <t xml:space="preserve">U2D1.3336, </t>
  </si>
  <si>
    <t>TP_CPU0_RSVD_267</t>
  </si>
  <si>
    <t xml:space="preserve">U5D1.3250, </t>
  </si>
  <si>
    <t>TP_CPU0_RSVD_268</t>
  </si>
  <si>
    <t xml:space="preserve">U5D1.3208, </t>
  </si>
  <si>
    <t>TP_CPU0_RSVD_269</t>
  </si>
  <si>
    <t xml:space="preserve">U5D1.3199, </t>
  </si>
  <si>
    <t>TP_CPU0_RSVD_82</t>
  </si>
  <si>
    <t xml:space="preserve">U5D1.1640, </t>
  </si>
  <si>
    <t>TP_CPU0_RSVD_90</t>
  </si>
  <si>
    <t xml:space="preserve">U5D1.1583, </t>
  </si>
  <si>
    <t>TP_CPU0_RSVD_94</t>
  </si>
  <si>
    <t xml:space="preserve">U5D1.1560, </t>
  </si>
  <si>
    <t>TP_CPU0_RSVD_95</t>
  </si>
  <si>
    <t xml:space="preserve">U5D1.1557, </t>
  </si>
  <si>
    <t>TP_CPU0_RSVD_100</t>
  </si>
  <si>
    <t xml:space="preserve">U5D1.1532, </t>
  </si>
  <si>
    <t>TP_CPU0_RSVD_271</t>
  </si>
  <si>
    <t xml:space="preserve">U5D1.3177, </t>
  </si>
  <si>
    <t>TP_CPU0_RSVD_101</t>
  </si>
  <si>
    <t xml:space="preserve">U5D1.1531, </t>
  </si>
  <si>
    <t>TP_CPU0_RSVD_105</t>
  </si>
  <si>
    <t xml:space="preserve">U5D1.1507, </t>
  </si>
  <si>
    <t>TP_CPU0_RSVD_106</t>
  </si>
  <si>
    <t xml:space="preserve">U5D1.1505, </t>
  </si>
  <si>
    <t>TP_CPU0_RSVD_150</t>
  </si>
  <si>
    <t xml:space="preserve">U5D1.935, </t>
  </si>
  <si>
    <t>TP_CPU0_RSVD_151</t>
  </si>
  <si>
    <t xml:space="preserve">U5D1.934, </t>
  </si>
  <si>
    <t>TP_CPU0_RSVD_152</t>
  </si>
  <si>
    <t xml:space="preserve">U5D1.933, </t>
  </si>
  <si>
    <t>TP_CPU0_RSVD_156</t>
  </si>
  <si>
    <t xml:space="preserve">U5D1.910, </t>
  </si>
  <si>
    <t>TP_CPU0_RSVD_157</t>
  </si>
  <si>
    <t xml:space="preserve">U5D1.909, </t>
  </si>
  <si>
    <t>TP_CPU0_RSVD_158</t>
  </si>
  <si>
    <t xml:space="preserve">U5D1.908, </t>
  </si>
  <si>
    <t>TP_CPU0_RSVD_274</t>
  </si>
  <si>
    <t xml:space="preserve">U5D1.3125, </t>
  </si>
  <si>
    <t>TP_CPU0_RSVD_163</t>
  </si>
  <si>
    <t xml:space="preserve">U5D1.882, </t>
  </si>
  <si>
    <t>TP_CPU0_RSVD_164</t>
  </si>
  <si>
    <t xml:space="preserve">U5D1.881, </t>
  </si>
  <si>
    <t>TP_CPU0_RSVD_170</t>
  </si>
  <si>
    <t xml:space="preserve">U5D1.865, </t>
  </si>
  <si>
    <t>TP_CPU0_RSVD_171</t>
  </si>
  <si>
    <t xml:space="preserve">U5D1.862, </t>
  </si>
  <si>
    <t>TP_CPU0_RSVD_172</t>
  </si>
  <si>
    <t xml:space="preserve">U5D1.861, </t>
  </si>
  <si>
    <t>TP_CPU0_RSVD_173</t>
  </si>
  <si>
    <t xml:space="preserve">U5D1.856, </t>
  </si>
  <si>
    <t>TP_CPU0_RSVD_174</t>
  </si>
  <si>
    <t xml:space="preserve">U5D1.855, </t>
  </si>
  <si>
    <t>TP_CPU0_RSVD_180</t>
  </si>
  <si>
    <t xml:space="preserve">U5D1.801, </t>
  </si>
  <si>
    <t>TP_CPU0_RSVD_277</t>
  </si>
  <si>
    <t xml:space="preserve">U5D1.3084, </t>
  </si>
  <si>
    <t>TP_CPU0_RSVD_181</t>
  </si>
  <si>
    <t xml:space="preserve">U5D1.796, </t>
  </si>
  <si>
    <t>TP_CPU0_RSVD_182</t>
  </si>
  <si>
    <t xml:space="preserve">U5D1.795, </t>
  </si>
  <si>
    <t>TP_CPU0_RSVD_183</t>
  </si>
  <si>
    <t xml:space="preserve">U5D1.775, </t>
  </si>
  <si>
    <t>TP_CPU0_RSVD_184</t>
  </si>
  <si>
    <t xml:space="preserve">U5D1.769, </t>
  </si>
  <si>
    <t>TP_CPU0_RSVD_186</t>
  </si>
  <si>
    <t xml:space="preserve">U5D1.749, </t>
  </si>
  <si>
    <t>TP_CPU0_RSVD_190</t>
  </si>
  <si>
    <t xml:space="preserve">U5D1.655, </t>
  </si>
  <si>
    <t>TP_CPU0_RSVD_194</t>
  </si>
  <si>
    <t xml:space="preserve">U5D1.624, </t>
  </si>
  <si>
    <t>TP_CPU0_RSVD_198</t>
  </si>
  <si>
    <t xml:space="preserve">U5D1.596, </t>
  </si>
  <si>
    <t>TP_CPU0_RSVD_199</t>
  </si>
  <si>
    <t xml:space="preserve">U5D1.595, </t>
  </si>
  <si>
    <t>TP_CPU0_RSVD_204</t>
  </si>
  <si>
    <t xml:space="preserve">U5D1.564, </t>
  </si>
  <si>
    <t>TP_CPU0_RSVD_205</t>
  </si>
  <si>
    <t xml:space="preserve">U5D1.563, </t>
  </si>
  <si>
    <t>TP_CPU0_RSVD_210</t>
  </si>
  <si>
    <t xml:space="preserve">U5D1.535, </t>
  </si>
  <si>
    <t>TP_CPU0_RSVD_211</t>
  </si>
  <si>
    <t xml:space="preserve">U5D1.534, </t>
  </si>
  <si>
    <t>TP_CPU0_RSVD_212</t>
  </si>
  <si>
    <t xml:space="preserve">U5D1.532, </t>
  </si>
  <si>
    <t>TP_CPU0_RSVD_216</t>
  </si>
  <si>
    <t xml:space="preserve">U5D1.502, </t>
  </si>
  <si>
    <t>TP_CPU0_RSVD_217</t>
  </si>
  <si>
    <t xml:space="preserve">U5D1.498, </t>
  </si>
  <si>
    <t>TP_CPU0_RSVD_218</t>
  </si>
  <si>
    <t xml:space="preserve">U5D1.497, </t>
  </si>
  <si>
    <t>TP_CPU0_RSVD_222</t>
  </si>
  <si>
    <t xml:space="preserve">U5D1.467, </t>
  </si>
  <si>
    <t>TP_CPU0_RSVD_223</t>
  </si>
  <si>
    <t xml:space="preserve">U5D1.463, </t>
  </si>
  <si>
    <t>TP_CPU0_RSVD_224</t>
  </si>
  <si>
    <t xml:space="preserve">U5D1.462, </t>
  </si>
  <si>
    <t>TP_CPU0_RSVD_225</t>
  </si>
  <si>
    <t xml:space="preserve">U5D1.460, </t>
  </si>
  <si>
    <t>TP_CPU0_RSVD_228</t>
  </si>
  <si>
    <t xml:space="preserve">U5D1.431, </t>
  </si>
  <si>
    <t>TP_CPU0_RSVD_229</t>
  </si>
  <si>
    <t xml:space="preserve">U5D1.430, </t>
  </si>
  <si>
    <t>TP_CPU0_RSVD_230</t>
  </si>
  <si>
    <t xml:space="preserve">U5D1.422, </t>
  </si>
  <si>
    <t>TP_CPU0_RSVD_234</t>
  </si>
  <si>
    <t xml:space="preserve">U5D1.389, </t>
  </si>
  <si>
    <t>TP_CPU0_RSVD_241</t>
  </si>
  <si>
    <t xml:space="preserve">U5D1.347, </t>
  </si>
  <si>
    <t>TP_CPU0_RSVD_247</t>
  </si>
  <si>
    <t xml:space="preserve">U5D1.304, </t>
  </si>
  <si>
    <t>TP_CPU0_RSVD_251</t>
  </si>
  <si>
    <t xml:space="preserve">U5D1.290, </t>
  </si>
  <si>
    <t>TP_CPU0_RSVD_256</t>
  </si>
  <si>
    <t xml:space="preserve">U5D1.3635, </t>
  </si>
  <si>
    <t>TP_CPU0_RSVD_293</t>
  </si>
  <si>
    <t xml:space="preserve">U5D1.837, </t>
  </si>
  <si>
    <t>TP_CPU0_RSVD_258</t>
  </si>
  <si>
    <t xml:space="preserve">U5D1.3593, </t>
  </si>
  <si>
    <t>TP_CPU0_RSVD_259</t>
  </si>
  <si>
    <t xml:space="preserve">U5D1.3551, </t>
  </si>
  <si>
    <t>TP_CPU0_RSVD_260</t>
  </si>
  <si>
    <t xml:space="preserve">U5D1.3550, </t>
  </si>
  <si>
    <t>TP_CPU0_RSVD_261</t>
  </si>
  <si>
    <t xml:space="preserve">U5D1.3508, </t>
  </si>
  <si>
    <t>TP_CPU0_RSVD_262</t>
  </si>
  <si>
    <t xml:space="preserve">U5D1.3466, </t>
  </si>
  <si>
    <t>TP_CPU0_RSVD_263</t>
  </si>
  <si>
    <t xml:space="preserve">U5D1.72, </t>
  </si>
  <si>
    <t>TP_CPU0_RSVD_264</t>
  </si>
  <si>
    <t xml:space="preserve">U5D1.70, </t>
  </si>
  <si>
    <t>TP_CPU0_RSVD_284</t>
  </si>
  <si>
    <t xml:space="preserve">U5D1.2022, </t>
  </si>
  <si>
    <t>TP_CPU0_RSVD_288</t>
  </si>
  <si>
    <t xml:space="preserve">U5D1.1380, </t>
  </si>
  <si>
    <t>TP_CPU0_RSVD_265</t>
  </si>
  <si>
    <t xml:space="preserve">U5D1.3422, </t>
  </si>
  <si>
    <t>TP_CPU0_RSVD_270</t>
  </si>
  <si>
    <t xml:space="preserve">U5D1.3178, </t>
  </si>
  <si>
    <t>TP_CPU0_RSVD_227</t>
  </si>
  <si>
    <t xml:space="preserve">U5D1.444, </t>
  </si>
  <si>
    <t>TP_CPU0_RSVD_240</t>
  </si>
  <si>
    <t xml:space="preserve">U5D1.362, </t>
  </si>
  <si>
    <t>TP_CPU0_TEST_7</t>
  </si>
  <si>
    <t xml:space="preserve">U5D1.702, </t>
  </si>
  <si>
    <t>TP_CPU0_TEST_8</t>
  </si>
  <si>
    <t xml:space="preserve">U5D1.758, </t>
  </si>
  <si>
    <t>TP_CPU0_TEST_10</t>
  </si>
  <si>
    <t xml:space="preserve">U5D1.762, </t>
  </si>
  <si>
    <t>TP_CPU0_TEST_9</t>
  </si>
  <si>
    <t xml:space="preserve">U5D1.761, </t>
  </si>
  <si>
    <t>TP_CPU0_RSVD_TEST_11</t>
  </si>
  <si>
    <t xml:space="preserve">U5D1.783, </t>
  </si>
  <si>
    <t>TP_CPU0_RSVD_266</t>
  </si>
  <si>
    <t xml:space="preserve">U5D1.3336, </t>
  </si>
  <si>
    <t>TP_XDP_OBSDATA_B0</t>
  </si>
  <si>
    <t xml:space="preserve">J9A3.27, </t>
  </si>
  <si>
    <t>TP_XDP_CPU0_OBSDATA_A3_MBP5_N</t>
  </si>
  <si>
    <t xml:space="preserve">U5D1.3606, </t>
  </si>
  <si>
    <t>TP_XDP_CPU0_OBSDATA_A2_MBP4_N</t>
  </si>
  <si>
    <t xml:space="preserve">U5D1.102, </t>
  </si>
  <si>
    <t>TP_XDP_CPU_OBSDATA_D1</t>
  </si>
  <si>
    <t xml:space="preserve">J9A3.30, </t>
  </si>
  <si>
    <t>TP_XDP_CPU_OBSDATA_D0</t>
  </si>
  <si>
    <t xml:space="preserve">J9A3.28, </t>
  </si>
  <si>
    <t>TP_CPU_PCH_TRIGGER_OUT</t>
  </si>
  <si>
    <t xml:space="preserve">U7C1.3973, </t>
  </si>
  <si>
    <t>TP_PLTRST_CPU_N</t>
  </si>
  <si>
    <t xml:space="preserve">U7C1.4121, </t>
  </si>
  <si>
    <t>TP_PCH_RSVD31</t>
  </si>
  <si>
    <t xml:space="preserve">U7C1.3917, </t>
  </si>
  <si>
    <t>TP_PCH_RSVD30</t>
  </si>
  <si>
    <t xml:space="preserve">U7C1.3991, </t>
  </si>
  <si>
    <t>TP_PCH_RSVD35</t>
  </si>
  <si>
    <t xml:space="preserve">U7C1.4302, </t>
  </si>
  <si>
    <t>TP_PCH_RSVD33</t>
  </si>
  <si>
    <t xml:space="preserve">U7C1.4232, </t>
  </si>
  <si>
    <t>TP_PCH_RSVD34</t>
  </si>
  <si>
    <t xml:space="preserve">U7C1.4376, </t>
  </si>
  <si>
    <t>TP_PCH_RSVD32</t>
  </si>
  <si>
    <t xml:space="preserve">U7C1.126, </t>
  </si>
  <si>
    <t>TP_CPU1_NMI</t>
  </si>
  <si>
    <t xml:space="preserve">U2D1.609, </t>
  </si>
  <si>
    <t>TP_CPU1_UPI2_RSVD_CF11</t>
  </si>
  <si>
    <t xml:space="preserve">U2D1.2365, </t>
  </si>
  <si>
    <t>TP_CPU1_UPI2_RSVD_CH11</t>
  </si>
  <si>
    <t xml:space="preserve">U2D1.2282, </t>
  </si>
  <si>
    <t>TP_CPU0_UPI2_RSVD_CF11</t>
  </si>
  <si>
    <t xml:space="preserve">U5D1.2365, </t>
  </si>
  <si>
    <t>TP_CPU0_UPI2_RSVD_CH11</t>
  </si>
  <si>
    <t xml:space="preserve">U5D1.2282, </t>
  </si>
  <si>
    <t>TP_CPU1_RSVD_278</t>
  </si>
  <si>
    <t xml:space="preserve">U2D1.3061, </t>
  </si>
  <si>
    <t>TP_CPU1_RSVD_281</t>
  </si>
  <si>
    <t xml:space="preserve">U2D1.2824, </t>
  </si>
  <si>
    <t>TP_CPU0_RSVD_278</t>
  </si>
  <si>
    <t xml:space="preserve">U5D1.3061, </t>
  </si>
  <si>
    <t>TP_CPU0_RSVD_281</t>
  </si>
  <si>
    <t xml:space="preserve">U5D1.2824, </t>
  </si>
  <si>
    <t>TP_USB3_P04_TXP</t>
  </si>
  <si>
    <t xml:space="preserve">U7C1.2072, </t>
  </si>
  <si>
    <t>TP_USB3_P04_TXN</t>
  </si>
  <si>
    <t xml:space="preserve">U7C1.2146, </t>
  </si>
  <si>
    <t>TP_CPU1_PROC_DIS_G_N</t>
  </si>
  <si>
    <t xml:space="preserve">U2D1.147, </t>
  </si>
  <si>
    <t>TP_HSC_MCLK</t>
  </si>
  <si>
    <t xml:space="preserve">EU1D2.10, </t>
  </si>
  <si>
    <t>TP_NMI_CPU0</t>
  </si>
  <si>
    <t xml:space="preserve">U5D1.609, </t>
  </si>
  <si>
    <t>TP_CPU1_UPI2_RSVD_DB15</t>
  </si>
  <si>
    <t xml:space="preserve">U2D1.1908, </t>
  </si>
  <si>
    <t>TP_CPU1_UPI2_RSVD_DD15</t>
  </si>
  <si>
    <t xml:space="preserve">U2D1.1870, </t>
  </si>
  <si>
    <t>TP_CPU1_UPI2_RSVD_DE16</t>
  </si>
  <si>
    <t xml:space="preserve">U2D1.1768, </t>
  </si>
  <si>
    <t>TP_CPU1_UPI2_RSVD_DF17</t>
  </si>
  <si>
    <t xml:space="preserve">U2D1.1619, </t>
  </si>
  <si>
    <t>TP_CPU1_UPI2_RSVD_DH17</t>
  </si>
  <si>
    <t xml:space="preserve">U2D1.1564, </t>
  </si>
  <si>
    <t>TP_CPU1_UPI2_RSVD_DJ18</t>
  </si>
  <si>
    <t xml:space="preserve">U2D1.1537, </t>
  </si>
  <si>
    <t>TP_CPU1_UPI2_RSVD_DJ20</t>
  </si>
  <si>
    <t xml:space="preserve">U2D1.1510, </t>
  </si>
  <si>
    <t>TP_CPU1_UPI2_RSVD_DK19</t>
  </si>
  <si>
    <t xml:space="preserve">U2D1.1458, </t>
  </si>
  <si>
    <t>TP_CPU1_UPI2_RSVD_CA12</t>
  </si>
  <si>
    <t xml:space="preserve">U2D1.2531, </t>
  </si>
  <si>
    <t>TP_CPU1_UPI2_RSVD_CB11</t>
  </si>
  <si>
    <t xml:space="preserve">U2D1.2490, </t>
  </si>
  <si>
    <t>TP_CPU1_UPI2_RSVD_CD11</t>
  </si>
  <si>
    <t xml:space="preserve">U2D1.2405, </t>
  </si>
  <si>
    <t>TP_CPU1_UPI2_RSVD_CG12</t>
  </si>
  <si>
    <t xml:space="preserve">U2D1.2363, </t>
  </si>
  <si>
    <t>TP_CPU1_UPI2_RSVD_CH13</t>
  </si>
  <si>
    <t xml:space="preserve">U2D1.2321, </t>
  </si>
  <si>
    <t>TP_CPU1_UPI2_RSVD_CK13</t>
  </si>
  <si>
    <t xml:space="preserve">U2D1.2238, </t>
  </si>
  <si>
    <t>TP_CPU1_UPI2_RSVD_CR14</t>
  </si>
  <si>
    <t xml:space="preserve">U2D1.2196, </t>
  </si>
  <si>
    <t>TP_CPU1_UPI2_RSVD_CV13</t>
  </si>
  <si>
    <t xml:space="preserve">U2D1.2154, </t>
  </si>
  <si>
    <t>TP_CPU1_UPI2_RSVD_CW16</t>
  </si>
  <si>
    <t xml:space="preserve">U2D1.2070, </t>
  </si>
  <si>
    <t>TP_CPU1_UPI2_RSVD_DN20</t>
  </si>
  <si>
    <t xml:space="preserve">U2D1.1407, </t>
  </si>
  <si>
    <t>TP_CPU1_UPI2_RSVD_DP21</t>
  </si>
  <si>
    <t xml:space="preserve">U2D1.1382, </t>
  </si>
  <si>
    <t>TP_CPU1_UPI2_RSVD_DC16</t>
  </si>
  <si>
    <t xml:space="preserve">U2D1.2027, </t>
  </si>
  <si>
    <t>TP_CPU1_UPI2_RSVD_DF15</t>
  </si>
  <si>
    <t xml:space="preserve">U2D1.1907, </t>
  </si>
  <si>
    <t>TP_CPU1_UPI2_RSVD_DD17</t>
  </si>
  <si>
    <t xml:space="preserve">U2D1.1834, </t>
  </si>
  <si>
    <t>TP_CPU1_UPI2_RSVD_DG18</t>
  </si>
  <si>
    <t xml:space="preserve">U2D1.1678, </t>
  </si>
  <si>
    <t>TP_CPU1_UPI2_RSVD_DK17</t>
  </si>
  <si>
    <t xml:space="preserve">U2D1.1591, </t>
  </si>
  <si>
    <t>TP_CPU1_UPI2_RSVD_DH19</t>
  </si>
  <si>
    <t xml:space="preserve">U2D1.1511, </t>
  </si>
  <si>
    <t>TP_CPU1_UPI2_RSVD_DG20</t>
  </si>
  <si>
    <t xml:space="preserve">U2D1.1563, </t>
  </si>
  <si>
    <t>TP_CPU1_UPI2_RSVD_DL20</t>
  </si>
  <si>
    <t xml:space="preserve">U2D1.1485, </t>
  </si>
  <si>
    <t>TP_CPU1_UPI2_RSVD_CC12</t>
  </si>
  <si>
    <t xml:space="preserve">U2D1.2614, </t>
  </si>
  <si>
    <t>TP_CPU1_UPI2_RSVD_CC10</t>
  </si>
  <si>
    <t xml:space="preserve">U2D1.6, </t>
  </si>
  <si>
    <t>TP_CPU1_UPI2_RSVD_CE12</t>
  </si>
  <si>
    <t xml:space="preserve">U2D1.2448, </t>
  </si>
  <si>
    <t>TP_CPU1_UPI2_RSVD_CF13</t>
  </si>
  <si>
    <t xml:space="preserve">U2D1.2322, </t>
  </si>
  <si>
    <t>TP_CPU1_UPI2_RSVD_CJ14</t>
  </si>
  <si>
    <t xml:space="preserve">U2D1.2404, </t>
  </si>
  <si>
    <t>TP_CPU1_UPI2_RSVD_CM13</t>
  </si>
  <si>
    <t xml:space="preserve">U2D1.2280, </t>
  </si>
  <si>
    <t>TP_CPU1_UPI2_RSVD_CU14</t>
  </si>
  <si>
    <t xml:space="preserve">U2D1.2155, </t>
  </si>
  <si>
    <t>TP_CPU1_UPI2_RSVD_CW14</t>
  </si>
  <si>
    <t xml:space="preserve">U2D1.2237, </t>
  </si>
  <si>
    <t>TP_CPU1_UPI2_RSVD_DA16</t>
  </si>
  <si>
    <t xml:space="preserve">U2D1.2112, </t>
  </si>
  <si>
    <t>TP_CPU1_UPI2_RSVD_DM21</t>
  </si>
  <si>
    <t xml:space="preserve">U2D1.1432, </t>
  </si>
  <si>
    <t>TP_CPU1_UPI2_RSVD_DT21</t>
  </si>
  <si>
    <t xml:space="preserve">U2D1.1433, </t>
  </si>
  <si>
    <t>TP_CPU1_DMI_TX_DP3</t>
  </si>
  <si>
    <t xml:space="preserve">U2D1.1779, </t>
  </si>
  <si>
    <t>TP_CPU1_DMI_TX_DP2</t>
  </si>
  <si>
    <t xml:space="preserve">U2D1.1686, </t>
  </si>
  <si>
    <t>TP_CPU1_DMI_TX_DP1</t>
  </si>
  <si>
    <t xml:space="preserve">U2D1.1658, </t>
  </si>
  <si>
    <t>TP_CPU1_DMI_TX_DP0</t>
  </si>
  <si>
    <t xml:space="preserve">U2D1.1573, </t>
  </si>
  <si>
    <t>TP_CPU1_DMI_TX_DN3</t>
  </si>
  <si>
    <t xml:space="preserve">U2D1.1748, </t>
  </si>
  <si>
    <t>TP_CPU1_DMI_TX_DN2</t>
  </si>
  <si>
    <t xml:space="preserve">U2D1.1718, </t>
  </si>
  <si>
    <t>TP_CPU1_DMI_TX_DN1</t>
  </si>
  <si>
    <t xml:space="preserve">U2D1.1600, </t>
  </si>
  <si>
    <t>TP_CPU1_DMI_TX_DN0</t>
  </si>
  <si>
    <t xml:space="preserve">U2D1.1546, </t>
  </si>
  <si>
    <t>TP_CPU0_UPI2_RSVD_DB15</t>
  </si>
  <si>
    <t xml:space="preserve">U5D1.1908, </t>
  </si>
  <si>
    <t>TP_CPU0_UPI2_RSVD_DD15</t>
  </si>
  <si>
    <t xml:space="preserve">U5D1.1870, </t>
  </si>
  <si>
    <t>TP_CPU0_UPI2_RSVD_DE16</t>
  </si>
  <si>
    <t xml:space="preserve">U5D1.1768, </t>
  </si>
  <si>
    <t>TP_CPU0_UPI2_RSVD_DF17</t>
  </si>
  <si>
    <t xml:space="preserve">U5D1.1619, </t>
  </si>
  <si>
    <t>TP_CPU0_UPI2_RSVD_DH17</t>
  </si>
  <si>
    <t xml:space="preserve">U5D1.1564, </t>
  </si>
  <si>
    <t>TP_CPU0_UPI2_RSVD_DJ18</t>
  </si>
  <si>
    <t xml:space="preserve">U5D1.1537, </t>
  </si>
  <si>
    <t>TP_CPU0_UPI2_RSVD_DJ20</t>
  </si>
  <si>
    <t xml:space="preserve">U5D1.1510, </t>
  </si>
  <si>
    <t>TP_CPU0_UPI2_RSVD_DK19</t>
  </si>
  <si>
    <t xml:space="preserve">U5D1.1458, </t>
  </si>
  <si>
    <t>TP_CPU0_UPI2_RSVD_CA12</t>
  </si>
  <si>
    <t xml:space="preserve">U5D1.2531, </t>
  </si>
  <si>
    <t>TP_CPU0_UPI2_RSVD_CB11</t>
  </si>
  <si>
    <t xml:space="preserve">U5D1.2490, </t>
  </si>
  <si>
    <t>TP_CPU0_UPI2_RSVD_CD11</t>
  </si>
  <si>
    <t xml:space="preserve">U5D1.2405, </t>
  </si>
  <si>
    <t>TP_CPU0_UPI2_RSVD_CG12</t>
  </si>
  <si>
    <t xml:space="preserve">U5D1.2363, </t>
  </si>
  <si>
    <t>TP_CPU0_UPI2_RSVD_CH13</t>
  </si>
  <si>
    <t xml:space="preserve">U5D1.2321, </t>
  </si>
  <si>
    <t>TP_CPU0_UPI2_RSVD_CK13</t>
  </si>
  <si>
    <t xml:space="preserve">U5D1.2238, </t>
  </si>
  <si>
    <t>TP_CPU0_UPI2_RSVD_CR14</t>
  </si>
  <si>
    <t xml:space="preserve">U5D1.2196, </t>
  </si>
  <si>
    <t>TP_CPU0_UPI2_RSVD_CV13</t>
  </si>
  <si>
    <t xml:space="preserve">U5D1.2154, </t>
  </si>
  <si>
    <t>TP_CPU0_UPI2_RSVD_CW16</t>
  </si>
  <si>
    <t xml:space="preserve">U5D1.2070, </t>
  </si>
  <si>
    <t>TP_CPU0_UPI2_RSVD_DN20</t>
  </si>
  <si>
    <t xml:space="preserve">U5D1.1407, </t>
  </si>
  <si>
    <t>TP_CPU0_UPI2_RSVD_DP21</t>
  </si>
  <si>
    <t xml:space="preserve">U5D1.1382, </t>
  </si>
  <si>
    <t>TP_CPU0_UPI2_RSVD_DC16</t>
  </si>
  <si>
    <t xml:space="preserve">U5D1.2027, </t>
  </si>
  <si>
    <t>TP_CPU0_UPI2_RSVD_DF15</t>
  </si>
  <si>
    <t xml:space="preserve">U5D1.1907, </t>
  </si>
  <si>
    <t>TP_CPU0_UPI2_RSVD_DD17</t>
  </si>
  <si>
    <t xml:space="preserve">U5D1.1834, </t>
  </si>
  <si>
    <t>TP_CPU0_UPI2_RSVD_DG18</t>
  </si>
  <si>
    <t xml:space="preserve">U5D1.1678, </t>
  </si>
  <si>
    <t>TP_CPU0_UPI2_RSVD_DK17</t>
  </si>
  <si>
    <t xml:space="preserve">U5D1.1591, </t>
  </si>
  <si>
    <t>TP_CPU0_UPI2_RSVD_DH19</t>
  </si>
  <si>
    <t xml:space="preserve">U5D1.1511, </t>
  </si>
  <si>
    <t>TP_CPU0_UPI2_RSVD_DG20</t>
  </si>
  <si>
    <t xml:space="preserve">U5D1.1563, </t>
  </si>
  <si>
    <t>TP_CPU0_UPI2_RSVD_DL20</t>
  </si>
  <si>
    <t xml:space="preserve">U5D1.1485, </t>
  </si>
  <si>
    <t>TP_CPU0_UPI2_RSVD_CC12</t>
  </si>
  <si>
    <t xml:space="preserve">U5D1.2614, </t>
  </si>
  <si>
    <t>TP_CPU0_UPI2_RSVD_CC10</t>
  </si>
  <si>
    <t xml:space="preserve">U5D1.6, </t>
  </si>
  <si>
    <t>TP_CPU0_UPI2_RSVD_CE12</t>
  </si>
  <si>
    <t xml:space="preserve">U5D1.2448, </t>
  </si>
  <si>
    <t>TP_CPU0_UPI2_RSVD_CF13</t>
  </si>
  <si>
    <t xml:space="preserve">U5D1.2322, </t>
  </si>
  <si>
    <t>TP_CPU0_UPI2_RSVD_CJ14</t>
  </si>
  <si>
    <t xml:space="preserve">U5D1.2404, </t>
  </si>
  <si>
    <t>TP_CPU0_UPI2_RSVD_CM13</t>
  </si>
  <si>
    <t xml:space="preserve">U5D1.2280, </t>
  </si>
  <si>
    <t>TP_CPU0_UPI2_RSVD_CU14</t>
  </si>
  <si>
    <t xml:space="preserve">U5D1.2155, </t>
  </si>
  <si>
    <t>TP_CPU0_UPI2_RSVD_CW14</t>
  </si>
  <si>
    <t xml:space="preserve">U5D1.2237, </t>
  </si>
  <si>
    <t>TP_CPU0_UPI2_RSVD_DA16</t>
  </si>
  <si>
    <t xml:space="preserve">U5D1.2112, </t>
  </si>
  <si>
    <t>TP_CPU0_UPI2_RSVD_DM21</t>
  </si>
  <si>
    <t xml:space="preserve">U5D1.1432, </t>
  </si>
  <si>
    <t>TP_CPU0_UPI2_RSVD_DT21</t>
  </si>
  <si>
    <t xml:space="preserve">U5D1.1433, </t>
  </si>
  <si>
    <t>TP_CD_HFI1_CPU1_RESET_N</t>
  </si>
  <si>
    <t xml:space="preserve">U2D1.1078, </t>
  </si>
  <si>
    <t>TP_CD_HFI1_CPU1_MODPRST_N</t>
  </si>
  <si>
    <t xml:space="preserve">U2D1.1226, </t>
  </si>
  <si>
    <t>TP_CD_HFI1_CPU1_LED_N</t>
  </si>
  <si>
    <t xml:space="preserve">U2D1.1128, </t>
  </si>
  <si>
    <t>TP_CD_HFI1_CPU1_INT_N</t>
  </si>
  <si>
    <t xml:space="preserve">U2D1.1127, </t>
  </si>
  <si>
    <t>TP_CD_HFI1_CPU1_I2CLK</t>
  </si>
  <si>
    <t xml:space="preserve">U2D1.1053, </t>
  </si>
  <si>
    <t>TP_CD_HFI1_CPU1_I2CDAT</t>
  </si>
  <si>
    <t xml:space="preserve">U2D1.1028, </t>
  </si>
  <si>
    <t>TP_RST_CPU1_CD_HFI0_N</t>
  </si>
  <si>
    <t xml:space="preserve">U2D1.1154, </t>
  </si>
  <si>
    <t>TP_FM_CPU1_CD_HFI0_MODPRST_N</t>
  </si>
  <si>
    <t xml:space="preserve">U2D1.1202, </t>
  </si>
  <si>
    <t>TP_LED_CPU1_CD_HFI0_N</t>
  </si>
  <si>
    <t xml:space="preserve">U2D1.1077, </t>
  </si>
  <si>
    <t>TP_IRQ_CPU1_CD_HFI0_N</t>
  </si>
  <si>
    <t xml:space="preserve">U2D1.1176, </t>
  </si>
  <si>
    <t>TP_SMB_CPU1_CD_HFI0_I2CCLK</t>
  </si>
  <si>
    <t xml:space="preserve">U2D1.1153, </t>
  </si>
  <si>
    <t>TP_SMB_CPU1_CD_HFI0_I2CDAT</t>
  </si>
  <si>
    <t xml:space="preserve">U2D1.1178, </t>
  </si>
  <si>
    <t>TP_CPU1_RSVD_208</t>
  </si>
  <si>
    <t xml:space="preserve">U2D1.552, </t>
  </si>
  <si>
    <t>TP_CPU1_RSVD_273</t>
  </si>
  <si>
    <t xml:space="preserve">U2D1.3136, </t>
  </si>
  <si>
    <t>TP_CPU1_RSVD_214</t>
  </si>
  <si>
    <t xml:space="preserve">U2D1.518, </t>
  </si>
  <si>
    <t>TP_CPU1_RSVD_276</t>
  </si>
  <si>
    <t xml:space="preserve">U2D1.3094, </t>
  </si>
  <si>
    <t>TP_CPU0_RSVD_208</t>
  </si>
  <si>
    <t xml:space="preserve">U5D1.552, </t>
  </si>
  <si>
    <t>TP_CPU0_RSVD_273</t>
  </si>
  <si>
    <t xml:space="preserve">U5D1.3136, </t>
  </si>
  <si>
    <t>TP_CPU0_RSVD_214</t>
  </si>
  <si>
    <t xml:space="preserve">U5D1.518, </t>
  </si>
  <si>
    <t>TP_CPU0_RSVD_276</t>
  </si>
  <si>
    <t xml:space="preserve">U5D1.3094, </t>
  </si>
  <si>
    <t>TP_CPU1_RSVD_254</t>
  </si>
  <si>
    <t xml:space="preserve">U2D1.248, </t>
  </si>
  <si>
    <t>TP_CPU1_RSVD_245</t>
  </si>
  <si>
    <t xml:space="preserve">U2D1.333, </t>
  </si>
  <si>
    <t>TP_CPU1_RSVD_123</t>
  </si>
  <si>
    <t xml:space="preserve">U2D1.1297, </t>
  </si>
  <si>
    <t>TP_CPU1_RSVD_111</t>
  </si>
  <si>
    <t xml:space="preserve">U2D1.1443, </t>
  </si>
  <si>
    <t>TP_CPU1_RSVD_113</t>
  </si>
  <si>
    <t xml:space="preserve">U2D1.1417, </t>
  </si>
  <si>
    <t>TP_CPU1_RSVD_175</t>
  </si>
  <si>
    <t xml:space="preserve">U2D1.848, </t>
  </si>
  <si>
    <t>TP_CPU1_RSVD_155</t>
  </si>
  <si>
    <t xml:space="preserve">U2D1.923, </t>
  </si>
  <si>
    <t>TP_CPU1_RSVD_166</t>
  </si>
  <si>
    <t xml:space="preserve">U2D1.873, </t>
  </si>
  <si>
    <t>TP_CPU1_RSVD_161</t>
  </si>
  <si>
    <t xml:space="preserve">U2D1.898, </t>
  </si>
  <si>
    <t>TP_CPU1_RSVD_149</t>
  </si>
  <si>
    <t xml:space="preserve">U2D1.950, </t>
  </si>
  <si>
    <t>TP_CPU1_RSVD_167</t>
  </si>
  <si>
    <t xml:space="preserve">U2D1.871, </t>
  </si>
  <si>
    <t>TP_CPU1_RSVD_162</t>
  </si>
  <si>
    <t xml:space="preserve">U2D1.896, </t>
  </si>
  <si>
    <t>TP_CPU1_RSVD_145</t>
  </si>
  <si>
    <t xml:space="preserve">U2D1.1001, </t>
  </si>
  <si>
    <t>TP_CPU1_RSVD_144</t>
  </si>
  <si>
    <t xml:space="preserve">U2D1.1002, </t>
  </si>
  <si>
    <t>TP_CPU1_RSVD_169</t>
  </si>
  <si>
    <t xml:space="preserve">U2D1.869, </t>
  </si>
  <si>
    <t>TP_CPU1_RSVD_146</t>
  </si>
  <si>
    <t xml:space="preserve">U2D1.976, </t>
  </si>
  <si>
    <t>TP_CPU1_RSVD_154</t>
  </si>
  <si>
    <t xml:space="preserve">U2D1.924, </t>
  </si>
  <si>
    <t>TP_CPU1_RSVD_148</t>
  </si>
  <si>
    <t xml:space="preserve">U2D1.951, </t>
  </si>
  <si>
    <t>TP_CPU1_RSVD_160</t>
  </si>
  <si>
    <t xml:space="preserve">U2D1.900, </t>
  </si>
  <si>
    <t>TP_CPU1_RSVD_159</t>
  </si>
  <si>
    <t xml:space="preserve">U2D1.901, </t>
  </si>
  <si>
    <t>TP_CPU1_RSVD_147</t>
  </si>
  <si>
    <t xml:space="preserve">U2D1.952, </t>
  </si>
  <si>
    <t>TP_CPU1_RSVD_168</t>
  </si>
  <si>
    <t xml:space="preserve">U2D1.870, </t>
  </si>
  <si>
    <t>TP_CPU1_RSVD_99</t>
  </si>
  <si>
    <t xml:space="preserve">U2D1.1536, </t>
  </si>
  <si>
    <t>TP_CPU1_RSVD_85</t>
  </si>
  <si>
    <t xml:space="preserve">U2D1.1622, </t>
  </si>
  <si>
    <t>TP_CPU1_RSVD_189</t>
  </si>
  <si>
    <t xml:space="preserve">U2D1.670, </t>
  </si>
  <si>
    <t>TP_CPU1_RSVD_246</t>
  </si>
  <si>
    <t xml:space="preserve">U2D1.318, </t>
  </si>
  <si>
    <t>TP_CPU1_RSVD_232</t>
  </si>
  <si>
    <t xml:space="preserve">U2D1.402, </t>
  </si>
  <si>
    <t>TP_CPU1_RSVD_97</t>
  </si>
  <si>
    <t xml:space="preserve">U2D1.1544, </t>
  </si>
  <si>
    <t>TP_CPU1_RSVD_91</t>
  </si>
  <si>
    <t xml:space="preserve">U2D1.1570, </t>
  </si>
  <si>
    <t>TP_CPU1_RSVD_119</t>
  </si>
  <si>
    <t xml:space="preserve">U2D1.1329, </t>
  </si>
  <si>
    <t>TP_CPU1_RSVD_117</t>
  </si>
  <si>
    <t xml:space="preserve">U2D1.1389, </t>
  </si>
  <si>
    <t>TP_CPU1_RSVD_121</t>
  </si>
  <si>
    <t xml:space="preserve">U2D1.1303, </t>
  </si>
  <si>
    <t>TP_CPU1_RSVD_108</t>
  </si>
  <si>
    <t xml:space="preserve">U2D1.1465, </t>
  </si>
  <si>
    <t>TP_CPU1_RSVD_124</t>
  </si>
  <si>
    <t xml:space="preserve">U2D1.1278, </t>
  </si>
  <si>
    <t>TP_CPU1_RSVD_114</t>
  </si>
  <si>
    <t xml:space="preserve">U2D1.1414, </t>
  </si>
  <si>
    <t>TP_CPU0_RSVD_254</t>
  </si>
  <si>
    <t xml:space="preserve">U5D1.248, </t>
  </si>
  <si>
    <t>TP_CPU0_RSVD_245</t>
  </si>
  <si>
    <t xml:space="preserve">U5D1.333, </t>
  </si>
  <si>
    <t>TP_CPU0_RSVD_123</t>
  </si>
  <si>
    <t xml:space="preserve">U5D1.1297, </t>
  </si>
  <si>
    <t>TP_CPU0_RSVD_111</t>
  </si>
  <si>
    <t xml:space="preserve">U5D1.1443, </t>
  </si>
  <si>
    <t>TP_CPU0_RSVD_113</t>
  </si>
  <si>
    <t xml:space="preserve">U5D1.1417, </t>
  </si>
  <si>
    <t>TP_CPU0_RSVD_175</t>
  </si>
  <si>
    <t xml:space="preserve">U5D1.848, </t>
  </si>
  <si>
    <t>TP_CPU0_RSVD_155</t>
  </si>
  <si>
    <t xml:space="preserve">U5D1.923, </t>
  </si>
  <si>
    <t>TP_CPU0_RSVD_166</t>
  </si>
  <si>
    <t xml:space="preserve">U5D1.873, </t>
  </si>
  <si>
    <t>TP_CPU0_RSVD_161</t>
  </si>
  <si>
    <t xml:space="preserve">U5D1.898, </t>
  </si>
  <si>
    <t>TP_CPU0_RSVD_149</t>
  </si>
  <si>
    <t xml:space="preserve">U5D1.950, </t>
  </si>
  <si>
    <t>TP_CPU0_RSVD_167</t>
  </si>
  <si>
    <t xml:space="preserve">U5D1.871, </t>
  </si>
  <si>
    <t>TP_CPU0_RSVD_162</t>
  </si>
  <si>
    <t xml:space="preserve">U5D1.896, </t>
  </si>
  <si>
    <t>TP_CPU0_RSVD_145</t>
  </si>
  <si>
    <t xml:space="preserve">U5D1.1001, </t>
  </si>
  <si>
    <t>TP_CPU0_RSVD_144</t>
  </si>
  <si>
    <t xml:space="preserve">U5D1.1002, </t>
  </si>
  <si>
    <t>TP_CPU0_RSVD_169</t>
  </si>
  <si>
    <t xml:space="preserve">U5D1.869, </t>
  </si>
  <si>
    <t>TP_CPU0_RSVD_146</t>
  </si>
  <si>
    <t xml:space="preserve">U5D1.976, </t>
  </si>
  <si>
    <t>TP_CPU0_RSVD_178</t>
  </si>
  <si>
    <t xml:space="preserve">U5D1.843, </t>
  </si>
  <si>
    <t>TP_CPU0_RSVD_154</t>
  </si>
  <si>
    <t xml:space="preserve">U5D1.924, </t>
  </si>
  <si>
    <t>TP_CPU0_RSVD_148</t>
  </si>
  <si>
    <t xml:space="preserve">U5D1.951, </t>
  </si>
  <si>
    <t>TP_CPU0_RSVD_160</t>
  </si>
  <si>
    <t xml:space="preserve">U5D1.900, </t>
  </si>
  <si>
    <t>TP_CPU0_RSVD_159</t>
  </si>
  <si>
    <t xml:space="preserve">U5D1.901, </t>
  </si>
  <si>
    <t>TP_CPU0_RSVD_147</t>
  </si>
  <si>
    <t xml:space="preserve">U5D1.952, </t>
  </si>
  <si>
    <t>TP_CPU0_RSVD_176</t>
  </si>
  <si>
    <t xml:space="preserve">U5D1.845, </t>
  </si>
  <si>
    <t>TP_CPU0_RSVD_168</t>
  </si>
  <si>
    <t xml:space="preserve">U5D1.870, </t>
  </si>
  <si>
    <t>TP_CPU0_RSVD_85</t>
  </si>
  <si>
    <t xml:space="preserve">U5D1.1622, </t>
  </si>
  <si>
    <t>TP_CPU0_RSVD_99</t>
  </si>
  <si>
    <t xml:space="preserve">U5D1.1536, </t>
  </si>
  <si>
    <t>TP_CPU0_RSVD_189</t>
  </si>
  <si>
    <t xml:space="preserve">U5D1.670, </t>
  </si>
  <si>
    <t>TP_CPU0_RSVD_246</t>
  </si>
  <si>
    <t xml:space="preserve">U5D1.318, </t>
  </si>
  <si>
    <t>TP_CPU0_RSVD_232</t>
  </si>
  <si>
    <t xml:space="preserve">U5D1.402, </t>
  </si>
  <si>
    <t>TP_CPU0_RSVD_97</t>
  </si>
  <si>
    <t xml:space="preserve">U5D1.1544, </t>
  </si>
  <si>
    <t>TP_CPU0_RSVD_91</t>
  </si>
  <si>
    <t xml:space="preserve">U5D1.1570, </t>
  </si>
  <si>
    <t>TP_CPU0_RSVD_119</t>
  </si>
  <si>
    <t xml:space="preserve">U5D1.1329, </t>
  </si>
  <si>
    <t>TP_CPU0_RSVD_117</t>
  </si>
  <si>
    <t xml:space="preserve">U5D1.1389, </t>
  </si>
  <si>
    <t>TP_CPU0_RSVD_121</t>
  </si>
  <si>
    <t xml:space="preserve">U5D1.1303, </t>
  </si>
  <si>
    <t>TP_CPU0_RSVD_108</t>
  </si>
  <si>
    <t xml:space="preserve">U5D1.1465, </t>
  </si>
  <si>
    <t>TP_CPU0_RSVD_124</t>
  </si>
  <si>
    <t xml:space="preserve">U5D1.1278, </t>
  </si>
  <si>
    <t>TP_CPU0_RSVD_114</t>
  </si>
  <si>
    <t xml:space="preserve">U5D1.1414, </t>
  </si>
  <si>
    <t>TP_SPI_0_1</t>
  </si>
  <si>
    <t xml:space="preserve">U7F1.13, </t>
  </si>
  <si>
    <t>NC_6256</t>
  </si>
  <si>
    <t xml:space="preserve">J2W1.22, </t>
  </si>
  <si>
    <t>NC_6257</t>
  </si>
  <si>
    <t xml:space="preserve">J2W1.23, </t>
  </si>
  <si>
    <t>NC_6258</t>
  </si>
  <si>
    <t xml:space="preserve">J2W2.22, </t>
  </si>
  <si>
    <t>NC_6259</t>
  </si>
  <si>
    <t xml:space="preserve">J2W2.23, </t>
  </si>
  <si>
    <t>TP_CPLD1_PB16A_PCLKT2_1</t>
  </si>
  <si>
    <t xml:space="preserve">U8D7.249, </t>
  </si>
  <si>
    <t>TP_CPLD1_PB25B_SI_SISPI</t>
  </si>
  <si>
    <t xml:space="preserve">U8D7.221, </t>
  </si>
  <si>
    <t>TP_CPLD1_PB5A_CSSPIN</t>
  </si>
  <si>
    <t xml:space="preserve">U8D7.229, </t>
  </si>
  <si>
    <t>TP_CPLD1_PB8A_MCLK_CCLK</t>
  </si>
  <si>
    <t xml:space="preserve">U8D7.214, </t>
  </si>
  <si>
    <t>TP_CPLD1_PR10C</t>
  </si>
  <si>
    <t xml:space="preserve">U8D7.139, </t>
  </si>
  <si>
    <t>TP_CPLD1_PR11B</t>
  </si>
  <si>
    <t xml:space="preserve">U8D7.174, </t>
  </si>
  <si>
    <t>TP_CPLD1_PR12D</t>
  </si>
  <si>
    <t xml:space="preserve">U8D7.173, </t>
  </si>
  <si>
    <t>TP_CPLD1_PR7B_PCLKC1_0</t>
  </si>
  <si>
    <t xml:space="preserve">U8D7.128, </t>
  </si>
  <si>
    <t>TP_CPLD1_PR7C</t>
  </si>
  <si>
    <t xml:space="preserve">U8D7.144, </t>
  </si>
  <si>
    <t>TP_CPLD1_PR7D</t>
  </si>
  <si>
    <t xml:space="preserve">U8D7.142, </t>
  </si>
  <si>
    <t>TP_CPLD1_PR9A</t>
  </si>
  <si>
    <t xml:space="preserve">U8D7.143, </t>
  </si>
  <si>
    <t>TP_CPLD1_PR9C</t>
  </si>
  <si>
    <t xml:space="preserve">U8D7.123, </t>
  </si>
  <si>
    <t>TP_CPLD1_PR9D</t>
  </si>
  <si>
    <t xml:space="preserve">U8D7.141, </t>
  </si>
  <si>
    <t>TP_CPLD1_PT11A</t>
  </si>
  <si>
    <t xml:space="preserve">U8D7.5, </t>
  </si>
  <si>
    <t>TP_CPLD1_PT11B</t>
  </si>
  <si>
    <t xml:space="preserve">U8D7.22, </t>
  </si>
  <si>
    <t>TP_CPLD1_PT13A</t>
  </si>
  <si>
    <t xml:space="preserve">U8D7.23, </t>
  </si>
  <si>
    <t>TP_CPLD1_PT16B</t>
  </si>
  <si>
    <t xml:space="preserve">U8D7.72, </t>
  </si>
  <si>
    <t>TP_CPLD1_PT17B_PCLKC0_1</t>
  </si>
  <si>
    <t xml:space="preserve">U8D7.8, </t>
  </si>
  <si>
    <t>TP_CPLD1_PT17C</t>
  </si>
  <si>
    <t xml:space="preserve">U8D7.56, </t>
  </si>
  <si>
    <t>TP_CPLD1_PT19D</t>
  </si>
  <si>
    <t xml:space="preserve">U8D7.75, </t>
  </si>
  <si>
    <t>TP_CPLD1_PT20A</t>
  </si>
  <si>
    <t xml:space="preserve">U8D7.58, </t>
  </si>
  <si>
    <t>TP_CPLD1_PT20B</t>
  </si>
  <si>
    <t xml:space="preserve">U8D7.74, </t>
  </si>
  <si>
    <t>TP_CPLD1_PT22C</t>
  </si>
  <si>
    <t xml:space="preserve">U8D7.29, </t>
  </si>
  <si>
    <t>TP_CPLD1_PT24C_INITN</t>
  </si>
  <si>
    <t xml:space="preserve">U8D7.13, </t>
  </si>
  <si>
    <t>TP_CPLD1_PT24D_DONE</t>
  </si>
  <si>
    <t xml:space="preserve">U8D7.45, </t>
  </si>
  <si>
    <t>TP_CLK_100M_NSSCC1_DN</t>
  </si>
  <si>
    <t xml:space="preserve">U7C1.1550, </t>
  </si>
  <si>
    <t>TP_CLK_100M_NSSCC1_DP</t>
  </si>
  <si>
    <t xml:space="preserve">U7C1.3206, </t>
  </si>
  <si>
    <t>TP_CLK_24M_PMSYNC2</t>
  </si>
  <si>
    <t xml:space="preserve">U7C1.2859, </t>
  </si>
  <si>
    <t>TP_USB3_P05_RXN</t>
  </si>
  <si>
    <t xml:space="preserve">U7C1.1943, </t>
  </si>
  <si>
    <t>TP_USB3_P05_RXP</t>
  </si>
  <si>
    <t xml:space="preserve">U7C1.1941, </t>
  </si>
  <si>
    <t>TP_USB3_P06_RXN</t>
  </si>
  <si>
    <t xml:space="preserve">U7C1.1872, </t>
  </si>
  <si>
    <t>TP_USB3_P06_RXP</t>
  </si>
  <si>
    <t xml:space="preserve">U7C1.1870, </t>
  </si>
  <si>
    <t>TP_PCH_RSVD38</t>
  </si>
  <si>
    <t xml:space="preserve">U7C1.2333, </t>
  </si>
  <si>
    <t>TP_10GBE_KR0_MON_DP</t>
  </si>
  <si>
    <t xml:space="preserve">U7C1.2474, </t>
  </si>
  <si>
    <t>TP_10GBE_KR1_MON_DP</t>
  </si>
  <si>
    <t xml:space="preserve">U7C1.2481, </t>
  </si>
  <si>
    <t>TP_PCH_RSVD53</t>
  </si>
  <si>
    <t xml:space="preserve">U7C1.3914, </t>
  </si>
  <si>
    <t>TP_PCH_RSVD54</t>
  </si>
  <si>
    <t xml:space="preserve">U7C1.3984, </t>
  </si>
  <si>
    <t>TP_SLP_LAN_N</t>
  </si>
  <si>
    <t xml:space="preserve">U7C1.3759, </t>
  </si>
  <si>
    <t>TP_CPU_PCH_TRIGGER_IN</t>
  </si>
  <si>
    <t xml:space="preserve">U7C1.3751, </t>
  </si>
  <si>
    <t>TP_PCH_GPP_L10</t>
  </si>
  <si>
    <t xml:space="preserve">U7C1.452, </t>
  </si>
  <si>
    <t>TP_PCH_GPP_L11</t>
  </si>
  <si>
    <t xml:space="preserve">U7C1.308, </t>
  </si>
  <si>
    <t>TP_PCH_RSVD27</t>
  </si>
  <si>
    <t xml:space="preserve">U7C1.2042, </t>
  </si>
  <si>
    <t>TP_PCH_RSVD28</t>
  </si>
  <si>
    <t xml:space="preserve">U7C1.3995, </t>
  </si>
  <si>
    <t>TP_PCH_RSVD29</t>
  </si>
  <si>
    <t xml:space="preserve">U7C1.3921, </t>
  </si>
  <si>
    <t>TP_PCH_RSVD58</t>
  </si>
  <si>
    <t xml:space="preserve">U7C1.1035, </t>
  </si>
  <si>
    <t>TP_PCH_RSVD59</t>
  </si>
  <si>
    <t xml:space="preserve">U7C1.1179, </t>
  </si>
  <si>
    <t>TP_PVCCIO_CPU0_BTSEN</t>
  </si>
  <si>
    <t xml:space="preserve">EU3P1.34, </t>
  </si>
  <si>
    <t>TP_VR_PVCCIO_CPU0_MP0</t>
  </si>
  <si>
    <t xml:space="preserve">EU3P1.13, </t>
  </si>
  <si>
    <t>TP_VR_PVCCIO_CPU0_MP1</t>
  </si>
  <si>
    <t xml:space="preserve">EU3P1.14, </t>
  </si>
  <si>
    <t>TP_PVCCIO_CPU0_PINALRT_N</t>
  </si>
  <si>
    <t xml:space="preserve">EU3P1.12, </t>
  </si>
  <si>
    <t>TP_VR_PVNN_PCH_AIINSEN</t>
  </si>
  <si>
    <t xml:space="preserve">EU8A1.38, </t>
  </si>
  <si>
    <t>TP_PVDDQ_DEF_RESET_N</t>
  </si>
  <si>
    <t xml:space="preserve">EU7A5.8, </t>
  </si>
  <si>
    <t>TP_XDP_OBSDATA_B2</t>
  </si>
  <si>
    <t xml:space="preserve">J9A3.33, </t>
  </si>
  <si>
    <t>TP_XDP_OBSDATA_B3</t>
  </si>
  <si>
    <t xml:space="preserve">J9A3.35, </t>
  </si>
  <si>
    <t>TP_CPU0_RSVD_TEST_5</t>
  </si>
  <si>
    <t xml:space="preserve">U5D1.580, </t>
  </si>
  <si>
    <t>TP_CPU0_TEST_6</t>
  </si>
  <si>
    <t xml:space="preserve">U5D1.641, </t>
  </si>
  <si>
    <t>TP_CPU0_RSVD_233</t>
  </si>
  <si>
    <t xml:space="preserve">U5D1.401, </t>
  </si>
  <si>
    <t>TP_CPU0_RSVD_279</t>
  </si>
  <si>
    <t xml:space="preserve">U5D1.3065, </t>
  </si>
  <si>
    <t>TP_CPU0_RSVD_287</t>
  </si>
  <si>
    <t xml:space="preserve">U5D1.2006, </t>
  </si>
  <si>
    <t>TP_CPU0_RSVD_304</t>
  </si>
  <si>
    <t xml:space="preserve">U5D1.96, </t>
  </si>
  <si>
    <t>TP_CPU0_RSVD_298</t>
  </si>
  <si>
    <t xml:space="preserve">U5D1.833, </t>
  </si>
  <si>
    <t>TP_CPU1_RSVD_TEST_5</t>
  </si>
  <si>
    <t xml:space="preserve">U2D1.580, </t>
  </si>
  <si>
    <t>TP_CPU1_TEST_6</t>
  </si>
  <si>
    <t xml:space="preserve">U2D1.641, </t>
  </si>
  <si>
    <t>TP_CPU1_RSVD_233</t>
  </si>
  <si>
    <t xml:space="preserve">U2D1.401, </t>
  </si>
  <si>
    <t>TP_CPU1_RSVD_282</t>
  </si>
  <si>
    <t xml:space="preserve">U2D1.2832, </t>
  </si>
  <si>
    <t>TP_CPU1_RSVD_299</t>
  </si>
  <si>
    <t xml:space="preserve">U2D1.815, </t>
  </si>
  <si>
    <t>TP_CPU1_RSVD_303</t>
  </si>
  <si>
    <t xml:space="preserve">U2D1.99, </t>
  </si>
  <si>
    <t>TP_CPU1_RSVD_275</t>
  </si>
  <si>
    <t xml:space="preserve">U2D1.3101, </t>
  </si>
  <si>
    <t>TP_CPU1_RSVD_222</t>
  </si>
  <si>
    <t xml:space="preserve">U2D1.467, </t>
  </si>
  <si>
    <t>TP_CH_A_DIMM_A0_RFU_0</t>
  </si>
  <si>
    <t xml:space="preserve">J4G1.205, </t>
  </si>
  <si>
    <t>TP_CH_A_DIMM_A0_RFU_1</t>
  </si>
  <si>
    <t xml:space="preserve">J4G1.227, </t>
  </si>
  <si>
    <t>TP_CH_A_DIMM_A0_RFU_2</t>
  </si>
  <si>
    <t xml:space="preserve">J4G1.144, </t>
  </si>
  <si>
    <t>TP_CH_B_DIMM_B0_RFU_0</t>
  </si>
  <si>
    <t xml:space="preserve">J4G2.205, </t>
  </si>
  <si>
    <t>TP_CH_B_DIMM_B0_RFU_1</t>
  </si>
  <si>
    <t xml:space="preserve">J4G2.227, </t>
  </si>
  <si>
    <t>TP_CH_B_DIMM_B0_RFU_2</t>
  </si>
  <si>
    <t xml:space="preserve">J4G2.144, </t>
  </si>
  <si>
    <t>TP_CH_C_DIMM_C0_RFU_0</t>
  </si>
  <si>
    <t xml:space="preserve">J4G3.205, </t>
  </si>
  <si>
    <t>TP_CH_C_DIMM_C0_RFU_1</t>
  </si>
  <si>
    <t xml:space="preserve">J4G3.227, </t>
  </si>
  <si>
    <t>TP_CH_C_DIMM_C0_RFU_2</t>
  </si>
  <si>
    <t xml:space="preserve">J4G3.144, </t>
  </si>
  <si>
    <t>TP_CH_D_DIMM_D0_RFU_0</t>
  </si>
  <si>
    <t xml:space="preserve">J4B1.205, </t>
  </si>
  <si>
    <t>TP_CH_D_DIMM_D0_RFU_1</t>
  </si>
  <si>
    <t xml:space="preserve">J4B1.227, </t>
  </si>
  <si>
    <t>TP_CH_D_DIMM_D0_RFU_2</t>
  </si>
  <si>
    <t xml:space="preserve">J4B1.144, </t>
  </si>
  <si>
    <t>TP_CH_E_DIMM_E0_RFU_0</t>
  </si>
  <si>
    <t xml:space="preserve">J4A2.205, </t>
  </si>
  <si>
    <t>TP_CH_E_DIMM_E0_RFU_1</t>
  </si>
  <si>
    <t xml:space="preserve">J4A2.227, </t>
  </si>
  <si>
    <t>TP_CH_E_DIMM_E0_RFU_2</t>
  </si>
  <si>
    <t xml:space="preserve">J4A2.144, </t>
  </si>
  <si>
    <t>TP_CH_F_DIMM_F0_RFU_0</t>
  </si>
  <si>
    <t xml:space="preserve">J4A1.205, </t>
  </si>
  <si>
    <t>TP_CH_F_DIMM_F0_RFU_1</t>
  </si>
  <si>
    <t xml:space="preserve">J4A1.227, </t>
  </si>
  <si>
    <t>TP_CH_F_DIMM_F0_RFU_2</t>
  </si>
  <si>
    <t xml:space="preserve">J4A1.144, </t>
  </si>
  <si>
    <t>TP_CH_G_DIMM_G0_RFU_0</t>
  </si>
  <si>
    <t xml:space="preserve">J1G1.205, </t>
  </si>
  <si>
    <t>TP_CH_G_DIMM_G0_RFU_1</t>
  </si>
  <si>
    <t xml:space="preserve">J1G1.227, </t>
  </si>
  <si>
    <t>TP_CH_G_DIMM_G0_RFU_2</t>
  </si>
  <si>
    <t xml:space="preserve">J1G1.144, </t>
  </si>
  <si>
    <t>TP_CH_H_DIMM_H0_RFU_0</t>
  </si>
  <si>
    <t xml:space="preserve">J1G2.205, </t>
  </si>
  <si>
    <t>TP_CH_H_DIMM_H0_RFU_1</t>
  </si>
  <si>
    <t xml:space="preserve">J1G2.227, </t>
  </si>
  <si>
    <t>TP_CH_H_DIMM_H0_RFU_2</t>
  </si>
  <si>
    <t xml:space="preserve">J1G2.144, </t>
  </si>
  <si>
    <t>TP_CH_J_DIMM_J0_RFU_0</t>
  </si>
  <si>
    <t xml:space="preserve">J1G3.205, </t>
  </si>
  <si>
    <t>TP_CH_J_DIMM_J0_RFU_1</t>
  </si>
  <si>
    <t xml:space="preserve">J1G3.227, </t>
  </si>
  <si>
    <t>TP_CH_J_DIMM_J0_RFU_2</t>
  </si>
  <si>
    <t xml:space="preserve">J1G3.144, </t>
  </si>
  <si>
    <t>TP_CH_K_DIMM_K0_RFU_0</t>
  </si>
  <si>
    <t xml:space="preserve">J1B1.205, </t>
  </si>
  <si>
    <t>TP_CH_K_DIMM_K0_RFU_1</t>
  </si>
  <si>
    <t xml:space="preserve">J1B1.227, </t>
  </si>
  <si>
    <t>TP_CH_K_DIMM_K0_RFU_2</t>
  </si>
  <si>
    <t xml:space="preserve">J1B1.144, </t>
  </si>
  <si>
    <t>TP_CH_L_DIMM_L0_RFU_0</t>
  </si>
  <si>
    <t xml:space="preserve">J1A2.205, </t>
  </si>
  <si>
    <t>TP_CH_L_DIMM_L0_RFU_1</t>
  </si>
  <si>
    <t xml:space="preserve">J1A2.227, </t>
  </si>
  <si>
    <t>TP_CH_L_DIMM_L0_RFU_2</t>
  </si>
  <si>
    <t xml:space="preserve">J1A2.144, </t>
  </si>
  <si>
    <t>TP_CH_M_DIMM_M0_RFU_0</t>
  </si>
  <si>
    <t xml:space="preserve">J1A1.205, </t>
  </si>
  <si>
    <t>TP_CH_M_DIMM_M0_RFU_1</t>
  </si>
  <si>
    <t xml:space="preserve">J1A1.227, </t>
  </si>
  <si>
    <t>TP_CH_M_DIMM_M0_RFU_2</t>
  </si>
  <si>
    <t xml:space="preserve">J1A1.144, </t>
  </si>
  <si>
    <t>TP_CH_A_DIMM_A1_RFU_0</t>
  </si>
  <si>
    <t xml:space="preserve">J6T1.205, </t>
  </si>
  <si>
    <t>TP_CH_A_DIMM_A1_RFU_1</t>
  </si>
  <si>
    <t xml:space="preserve">J6T1.227, </t>
  </si>
  <si>
    <t>TP_CH_D_DIMM_D1_RFU_0</t>
  </si>
  <si>
    <t xml:space="preserve">J6M1.205, </t>
  </si>
  <si>
    <t>TP_CH_D_DIMM_D1_RFU_1</t>
  </si>
  <si>
    <t xml:space="preserve">J6M1.227, </t>
  </si>
  <si>
    <t>TP_CH_D_DIMM_D1_RFU_2</t>
  </si>
  <si>
    <t xml:space="preserve">J6M1.144, </t>
  </si>
  <si>
    <t>TP_CH_F_DIMM_F1_RFU_2</t>
  </si>
  <si>
    <t xml:space="preserve">J6L1.144, </t>
  </si>
  <si>
    <t>TP_CH_L_DIMM0_RFU_1</t>
  </si>
  <si>
    <t xml:space="preserve">J9L2.227, </t>
  </si>
  <si>
    <t>TP_CH_M_DIMM_M1_RFU_1</t>
  </si>
  <si>
    <t xml:space="preserve">J9L1.227, </t>
  </si>
  <si>
    <t>TP_CLK5_50M_CKMNG</t>
  </si>
  <si>
    <t xml:space="preserve">EU8F2.24, </t>
  </si>
  <si>
    <t>NC_6175</t>
  </si>
  <si>
    <t xml:space="preserve">EU3P1.1, </t>
  </si>
  <si>
    <t>NC_6176</t>
  </si>
  <si>
    <t xml:space="preserve">EU3P1.2, </t>
  </si>
  <si>
    <t>NC_6183</t>
  </si>
  <si>
    <t xml:space="preserve">U8D7.2, </t>
  </si>
  <si>
    <t>NC_6185</t>
  </si>
  <si>
    <t xml:space="preserve">EU8A1.1, </t>
  </si>
  <si>
    <t>NC_6186</t>
  </si>
  <si>
    <t xml:space="preserve">EU8A1.2, </t>
  </si>
  <si>
    <t>NC_6187</t>
  </si>
  <si>
    <t xml:space="preserve">EU8A1.28, </t>
  </si>
  <si>
    <t>NC_6188</t>
  </si>
  <si>
    <t xml:space="preserve">U7C1.2400, </t>
  </si>
  <si>
    <t>NC_6190</t>
  </si>
  <si>
    <t xml:space="preserve">U7C1.2411, </t>
  </si>
  <si>
    <t>NC_6191</t>
  </si>
  <si>
    <t xml:space="preserve">U7C1.2627, </t>
  </si>
  <si>
    <t>NC_6193</t>
  </si>
  <si>
    <t xml:space="preserve">U7C1.2407, </t>
  </si>
  <si>
    <t>NC_6194</t>
  </si>
  <si>
    <t xml:space="preserve">U7C1.2045, </t>
  </si>
  <si>
    <t>NC_6195</t>
  </si>
  <si>
    <t xml:space="preserve">U7C1.2189, </t>
  </si>
  <si>
    <t>NC_6196</t>
  </si>
  <si>
    <t xml:space="preserve">U7C1.2197, </t>
  </si>
  <si>
    <t>NC_6197</t>
  </si>
  <si>
    <t xml:space="preserve">U7C1.2053, </t>
  </si>
  <si>
    <t>NC_6198</t>
  </si>
  <si>
    <t xml:space="preserve">U7C1.1979, </t>
  </si>
  <si>
    <t>NC_6200</t>
  </si>
  <si>
    <t xml:space="preserve">U7C1.1307, </t>
  </si>
  <si>
    <t>NC_6201</t>
  </si>
  <si>
    <t xml:space="preserve">U7C1.2027, </t>
  </si>
  <si>
    <t>NC_6202</t>
  </si>
  <si>
    <t xml:space="preserve">U7C1.1388, </t>
  </si>
  <si>
    <t>NC_6205</t>
  </si>
  <si>
    <t xml:space="preserve">U7C1.1894, </t>
  </si>
  <si>
    <t>NC_6206</t>
  </si>
  <si>
    <t xml:space="preserve">U7C1.1311, </t>
  </si>
  <si>
    <t>NC_6209</t>
  </si>
  <si>
    <t xml:space="preserve">U7C1.1451, </t>
  </si>
  <si>
    <t>NC_6210</t>
  </si>
  <si>
    <t xml:space="preserve">U7C1.2638, </t>
  </si>
  <si>
    <t>NC_6211</t>
  </si>
  <si>
    <t xml:space="preserve">U8D7.117, </t>
  </si>
  <si>
    <t>NC_6212</t>
  </si>
  <si>
    <t xml:space="preserve">U8D7.132, </t>
  </si>
  <si>
    <t>NC_6213</t>
  </si>
  <si>
    <t xml:space="preserve">U7C1.76, </t>
  </si>
  <si>
    <t>NC_6214</t>
  </si>
  <si>
    <t xml:space="preserve">U25W4.71, </t>
  </si>
  <si>
    <t>NC_6228</t>
  </si>
  <si>
    <t xml:space="preserve">J30W1.23, </t>
  </si>
  <si>
    <t>NC_6229</t>
  </si>
  <si>
    <t xml:space="preserve">J30W1.24, </t>
  </si>
  <si>
    <t>NC_6234</t>
  </si>
  <si>
    <t xml:space="preserve">J1D1.13, </t>
  </si>
  <si>
    <t>NC_6235</t>
  </si>
  <si>
    <t xml:space="preserve">J1E1.13, </t>
  </si>
  <si>
    <t>NC_6236</t>
  </si>
  <si>
    <t xml:space="preserve">J10W1.5, </t>
  </si>
  <si>
    <t>NC_6253</t>
  </si>
  <si>
    <t xml:space="preserve">J8F1.59, </t>
  </si>
  <si>
    <t>NC_6254</t>
  </si>
  <si>
    <t xml:space="preserve">J8F1.60, </t>
  </si>
  <si>
    <t>NC_6268</t>
  </si>
  <si>
    <t xml:space="preserve">CONX8.61, </t>
  </si>
  <si>
    <t>NC_6269</t>
  </si>
  <si>
    <t xml:space="preserve">CONX8.62, </t>
  </si>
  <si>
    <t>TP_P3E_CPU1_PE2_RSR_TXN&lt;6&gt;</t>
  </si>
  <si>
    <t xml:space="preserve">U2D1.1541, </t>
  </si>
  <si>
    <t>TP_P3E_CPU1_PE2_RSR_TXP&lt;9&gt;</t>
  </si>
  <si>
    <t xml:space="preserve">U2D1.1331, </t>
  </si>
  <si>
    <t>TP_SPRV_SDP3</t>
  </si>
  <si>
    <t xml:space="preserve">EU9E1.60, </t>
  </si>
  <si>
    <t>NC_CLK_156M_CPU1_OSC</t>
  </si>
  <si>
    <t xml:space="preserve">Y3F1.2, </t>
  </si>
  <si>
    <t>TP_CPU0_RSVD_69</t>
  </si>
  <si>
    <t xml:space="preserve">U5D1.1822, </t>
  </si>
  <si>
    <t>因VIA未開防焊並且可植針位置被元件覆蓋</t>
  </si>
  <si>
    <t>因VIA未開防焊</t>
  </si>
  <si>
    <t>因可植針位置之[測點-&gt;測點]間距不夠</t>
  </si>
  <si>
    <t>19*19mil via</t>
    <phoneticPr fontId="3" type="noConversion"/>
  </si>
  <si>
    <r>
      <t>与高度大于</t>
    </r>
    <r>
      <rPr>
        <sz val="10"/>
        <rFont val="Arial"/>
        <family val="2"/>
      </rPr>
      <t>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</si>
  <si>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5~10mm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&lt;120mil</t>
    </r>
    <phoneticPr fontId="3" type="noConversion"/>
  </si>
  <si>
    <r>
      <rPr>
        <sz val="10"/>
        <rFont val="細明體"/>
        <family val="3"/>
        <charset val="136"/>
      </rPr>
      <t>与高度为</t>
    </r>
    <r>
      <rPr>
        <sz val="10"/>
        <rFont val="Arial"/>
        <family val="2"/>
      </rPr>
      <t>2.5~5mm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&lt;38mil</t>
    </r>
    <phoneticPr fontId="3" type="noConversion"/>
  </si>
  <si>
    <r>
      <rPr>
        <sz val="10"/>
        <rFont val="細明體"/>
        <family val="3"/>
        <charset val="136"/>
      </rPr>
      <t>与高度小于</t>
    </r>
    <r>
      <rPr>
        <sz val="10"/>
        <rFont val="Arial"/>
        <family val="2"/>
      </rPr>
      <t>2.5mm</t>
    </r>
    <r>
      <rPr>
        <sz val="10"/>
        <rFont val="細明體"/>
        <family val="3"/>
        <charset val="136"/>
      </rPr>
      <t>元件间距</t>
    </r>
    <r>
      <rPr>
        <sz val="10"/>
        <rFont val="Arial"/>
        <family val="2"/>
      </rPr>
      <t>&lt;25mil</t>
    </r>
    <phoneticPr fontId="3" type="noConversion"/>
  </si>
  <si>
    <r>
      <rPr>
        <sz val="10"/>
        <rFont val="新細明體"/>
        <family val="1"/>
        <charset val="136"/>
      </rPr>
      <t>与</t>
    </r>
    <r>
      <rPr>
        <sz val="10"/>
        <rFont val="Arial"/>
        <family val="2"/>
      </rPr>
      <t>BGA</t>
    </r>
    <r>
      <rPr>
        <sz val="10"/>
        <rFont val="新細明體"/>
        <family val="1"/>
        <charset val="136"/>
      </rPr>
      <t>间距</t>
    </r>
    <r>
      <rPr>
        <sz val="10"/>
        <rFont val="Arial"/>
        <family val="2"/>
      </rPr>
      <t>&lt;45mil</t>
    </r>
    <phoneticPr fontId="3" type="noConversion"/>
  </si>
  <si>
    <t>Test Coverage Summary (AOI/AXI/OST/ICT/BST)</t>
    <phoneticPr fontId="21" type="noConversion"/>
  </si>
  <si>
    <t>1- AOI Board Coverage Summary</t>
    <phoneticPr fontId="21" type="noConversion"/>
  </si>
  <si>
    <t>Coverage Type</t>
    <phoneticPr fontId="21" type="noConversion"/>
  </si>
  <si>
    <t>Tested Totals</t>
  </si>
  <si>
    <t>Total Components</t>
    <phoneticPr fontId="21" type="noConversion"/>
  </si>
  <si>
    <t>% Tested</t>
  </si>
  <si>
    <t>% of device tested for missing  (presence)</t>
  </si>
  <si>
    <t xml:space="preserve">% of device tested for shift </t>
  </si>
  <si>
    <t>% of device tested for Polarity</t>
  </si>
  <si>
    <t>% of device tested for Up side Down</t>
  </si>
  <si>
    <t>% of device tested for Tombstone</t>
  </si>
  <si>
    <t>% of device tested for Solder short</t>
  </si>
  <si>
    <t>% of device tested for Empty solder</t>
  </si>
  <si>
    <t xml:space="preserve">% of device tested for Poor Solder </t>
  </si>
  <si>
    <t>% of device tested for Pin high up</t>
  </si>
  <si>
    <t>2- AXI Board Coverage Summary</t>
    <phoneticPr fontId="21" type="noConversion"/>
  </si>
  <si>
    <t>Top</t>
    <phoneticPr fontId="21" type="noConversion"/>
  </si>
  <si>
    <t>Bottom</t>
    <phoneticPr fontId="21" type="noConversion"/>
  </si>
  <si>
    <t>Total</t>
    <phoneticPr fontId="21" type="noConversion"/>
  </si>
  <si>
    <t>Component Count</t>
  </si>
  <si>
    <t>Pin Count</t>
  </si>
  <si>
    <t>Component Tested</t>
  </si>
  <si>
    <t xml:space="preserve">Pins Tested </t>
  </si>
  <si>
    <t>Component Coverage</t>
  </si>
  <si>
    <t xml:space="preserve"> Pins Coverage</t>
  </si>
  <si>
    <t>Device Type</t>
    <phoneticPr fontId="21" type="noConversion"/>
  </si>
  <si>
    <t>Total number 
(Parts or pins)</t>
    <phoneticPr fontId="21" type="noConversion"/>
  </si>
  <si>
    <t>BST tested</t>
    <phoneticPr fontId="21" type="noConversion"/>
  </si>
  <si>
    <t>Untested</t>
    <phoneticPr fontId="21" type="noConversion"/>
  </si>
  <si>
    <t>Testable 
Coverage</t>
    <phoneticPr fontId="21" type="noConversion"/>
  </si>
  <si>
    <t>Integrated Circuit</t>
    <phoneticPr fontId="21" type="noConversion"/>
  </si>
  <si>
    <t>Transistor</t>
    <phoneticPr fontId="21" type="noConversion"/>
  </si>
  <si>
    <t>Diode+LED</t>
    <phoneticPr fontId="21" type="noConversion"/>
  </si>
  <si>
    <t>Capacitor</t>
    <phoneticPr fontId="21" type="noConversion"/>
  </si>
  <si>
    <t>Resistor</t>
    <phoneticPr fontId="21" type="noConversion"/>
  </si>
  <si>
    <t>Fuse</t>
    <phoneticPr fontId="21" type="noConversion"/>
  </si>
  <si>
    <t>Inductor</t>
    <phoneticPr fontId="21" type="noConversion"/>
  </si>
  <si>
    <t>Crystal</t>
    <phoneticPr fontId="21" type="noConversion"/>
  </si>
  <si>
    <t>Switch</t>
    <phoneticPr fontId="21" type="noConversion"/>
  </si>
  <si>
    <t>Jumper</t>
    <phoneticPr fontId="21" type="noConversion"/>
  </si>
  <si>
    <t>Connector</t>
    <phoneticPr fontId="21" type="noConversion"/>
  </si>
  <si>
    <t>Other</t>
    <phoneticPr fontId="21" type="noConversion"/>
  </si>
  <si>
    <t>Component Type</t>
    <phoneticPr fontId="3" type="noConversion"/>
  </si>
  <si>
    <t>Total Q'ty</t>
    <phoneticPr fontId="3" type="noConversion"/>
  </si>
  <si>
    <t>Q'ty of not tested
components</t>
    <phoneticPr fontId="3" type="noConversion"/>
  </si>
  <si>
    <t>Q'ty of tested
components</t>
    <phoneticPr fontId="3" type="noConversion"/>
  </si>
  <si>
    <t xml:space="preserve">Coverage </t>
    <phoneticPr fontId="3" type="noConversion"/>
  </si>
  <si>
    <t>Resistor</t>
    <phoneticPr fontId="3" type="noConversion"/>
  </si>
  <si>
    <t>Inductor</t>
    <phoneticPr fontId="3" type="noConversion"/>
  </si>
  <si>
    <t>Capacitor</t>
    <phoneticPr fontId="3" type="noConversion"/>
  </si>
  <si>
    <t>Fuse</t>
    <phoneticPr fontId="3" type="noConversion"/>
  </si>
  <si>
    <t>Diode</t>
    <phoneticPr fontId="3" type="noConversion"/>
  </si>
  <si>
    <t>Transistor</t>
    <phoneticPr fontId="3" type="noConversion"/>
  </si>
  <si>
    <t>FET</t>
    <phoneticPr fontId="3" type="noConversion"/>
  </si>
  <si>
    <t>Crystal/Oscilator</t>
    <phoneticPr fontId="3" type="noConversion"/>
  </si>
  <si>
    <t>Connector</t>
    <phoneticPr fontId="3" type="noConversion"/>
  </si>
  <si>
    <t>IC</t>
    <phoneticPr fontId="3" type="noConversion"/>
  </si>
  <si>
    <t>Other</t>
    <phoneticPr fontId="3" type="noConversion"/>
  </si>
  <si>
    <t>Total (Including Bypass Capacictors)</t>
    <phoneticPr fontId="3" type="noConversion"/>
  </si>
  <si>
    <t>Bypass Capacitors</t>
    <phoneticPr fontId="3" type="noConversion"/>
  </si>
  <si>
    <t>/</t>
    <phoneticPr fontId="3" type="noConversion"/>
  </si>
  <si>
    <t>Total (Excluding Bypass Capacictors)</t>
    <phoneticPr fontId="3" type="noConversion"/>
  </si>
  <si>
    <t>Remark:</t>
    <phoneticPr fontId="3" type="noConversion"/>
  </si>
  <si>
    <t xml:space="preserve">Metric 1: % of Nets tested for shorts = # of Nets tested for Shorts *100 / (Total # of Nets – Total # of ‘True’ No Connects) </t>
    <phoneticPr fontId="3" type="noConversion"/>
  </si>
  <si>
    <t>Metric 2: % of Accessible Nets tested for shorts  = # of Nets Tested for Shorts x100 / # of Nets accessed</t>
    <phoneticPr fontId="3" type="noConversion"/>
  </si>
  <si>
    <t>Metric 3: % of Discreet Components Tested = # of Discreet Components Tested x100 / Total # of Discreet Components</t>
    <phoneticPr fontId="3" type="noConversion"/>
  </si>
  <si>
    <t>Metric 4: % of Digital Pins Tested = # of Digital Pins Tested x100 / Total # of Digital Pins</t>
    <phoneticPr fontId="3" type="noConversion"/>
  </si>
  <si>
    <t>Metric 5: % of Elec Tested Components =  (Total # of Comps on the Board -  # of Comps on the NTL) *100 / Total # of Components on the Board</t>
    <phoneticPr fontId="3" type="noConversion"/>
  </si>
  <si>
    <t>Metric 6: % of Tested Components  =  (Total # of Comps on the Board -  # of Comps on the NTL not inspected by AOI/AXI) *100 / Total # of Components on the Board</t>
    <phoneticPr fontId="3" type="noConversion"/>
  </si>
  <si>
    <t>Location</t>
  </si>
  <si>
    <t>Part Number</t>
  </si>
  <si>
    <t>Description</t>
  </si>
  <si>
    <t>Mark</t>
    <phoneticPr fontId="3" type="noConversion"/>
  </si>
  <si>
    <t>NO.</t>
  </si>
  <si>
    <t>VCC NET:</t>
  </si>
  <si>
    <t>Resistance Test:</t>
  </si>
  <si>
    <t>Value (ohm)</t>
    <phoneticPr fontId="3" type="noConversion"/>
  </si>
  <si>
    <t>MDA Component Test Coverage Summary Report</t>
    <phoneticPr fontId="3" type="noConversion"/>
  </si>
  <si>
    <t>MDA COVER</t>
    <phoneticPr fontId="36" type="noConversion"/>
  </si>
  <si>
    <t>3- MDA Components (Device Level Coverage Summary)</t>
    <phoneticPr fontId="21" type="noConversion"/>
  </si>
  <si>
    <t>N/A</t>
    <phoneticPr fontId="3" type="noConversion"/>
  </si>
  <si>
    <t>MDA tested</t>
    <phoneticPr fontId="21" type="noConversion"/>
  </si>
  <si>
    <t>Connector - General Purpose - DIP/WTB</t>
  </si>
  <si>
    <t>Resistor - SMD/Resistor(Tolerance &gt; 1% and Jumper)</t>
  </si>
  <si>
    <t>Resistor - SMD/Precision Resistor (Tolerance &lt;=1%)</t>
  </si>
  <si>
    <t>Inductors - SMD/Ferrite Bead</t>
  </si>
  <si>
    <t>Digital IC(Interface-IC) - SMD/I2C</t>
  </si>
  <si>
    <t>Digital IC(Logic IC) - SMD</t>
  </si>
  <si>
    <t>Power IC - SMD/Others</t>
  </si>
  <si>
    <t>Analog IC - SMD/Others</t>
  </si>
  <si>
    <t>Capacitors - MLCC</t>
  </si>
  <si>
    <t>Discretes(Diode, TVS, ESD) - SMD/DIODE</t>
  </si>
  <si>
    <t>Discretes(MOSFET,TRANSISTOR) - SMD/MOSFET(Small Signal)</t>
  </si>
  <si>
    <t>Memory/Flash IC - SMD/EEPROM-I2C</t>
  </si>
  <si>
    <t>Inductors - SMD/Choke/Others</t>
  </si>
  <si>
    <t>Capacitors Polymer/Hybrid - SMD</t>
  </si>
  <si>
    <t>Screw/Thumb Screw &amp; Plunger</t>
  </si>
  <si>
    <t>Connector - General Purpose - SMD/WTB</t>
  </si>
  <si>
    <t>Connector - General Purpose - SMD/Others</t>
  </si>
  <si>
    <t>Connector - General Purpose - SMD/HEADER</t>
  </si>
  <si>
    <t>Connector - General Purpose - DIP/HEADER</t>
  </si>
  <si>
    <t>Connector - General Purpose - DIP/Others</t>
  </si>
  <si>
    <t>Connector - High Speed - SMD/USB</t>
  </si>
  <si>
    <t>Connector - General Purpose - DIP/SWITCH</t>
  </si>
  <si>
    <t>Inductors - DIP/Others</t>
  </si>
  <si>
    <t>Inductors - SMD/Choke/Common Mode Choke</t>
  </si>
  <si>
    <t>Digital IC(Strategic IC) - SMD/Others</t>
  </si>
  <si>
    <t>Digital IC(Interface-IC) - SMD/USB</t>
  </si>
  <si>
    <t>Digital IC(Interface-IC) - SMD/Others</t>
  </si>
  <si>
    <t>Power IC - SMD/DC-DC Converter</t>
  </si>
  <si>
    <t>Composite(Diode, TVS, ESD) - SMD/Others</t>
  </si>
  <si>
    <t>Composite MOSFET - SMD</t>
  </si>
  <si>
    <t>Capacitors MISC - SMD</t>
  </si>
  <si>
    <t>XTAL/OSC -SMD/Oscillator</t>
  </si>
  <si>
    <t>XTAL/OSC -SMD/Crystal</t>
  </si>
  <si>
    <t>Digital IC(Interface-IC) - SMD/Bus Switch</t>
  </si>
  <si>
    <t>Analog IC - SMD/Sensor IC</t>
  </si>
  <si>
    <t>Connector - Power - DIP/Power+Signal</t>
  </si>
  <si>
    <t>Connector - High Speed - SMD/DDR</t>
  </si>
  <si>
    <t>Resistor - SMD/Low Resistance Resistor (Resistance &lt;1ohm)</t>
  </si>
  <si>
    <t>Digital IC(Interface-IC) - SMD/I3C</t>
  </si>
  <si>
    <t>Composite(Diode, TVS, ESD) - SMD/DIODE</t>
  </si>
  <si>
    <t>LED - SMD/LED</t>
  </si>
  <si>
    <t>Screw/Stand-off</t>
  </si>
  <si>
    <t>Screw/Nut</t>
  </si>
  <si>
    <t>Connector - High Speed - SMD/Others</t>
    <phoneticPr fontId="3" type="noConversion"/>
  </si>
  <si>
    <t>YV4 MB (23W11-1A)</t>
    <phoneticPr fontId="3" type="noConversion"/>
  </si>
  <si>
    <t>P12V_STBY</t>
  </si>
  <si>
    <t>N</t>
    <phoneticPr fontId="36" type="noConversion"/>
  </si>
  <si>
    <t>NA</t>
    <phoneticPr fontId="3" type="noConversion"/>
  </si>
  <si>
    <t>Level</t>
  </si>
  <si>
    <t>Part Classification</t>
  </si>
  <si>
    <t>Status</t>
  </si>
  <si>
    <t>Rev</t>
  </si>
  <si>
    <t>Rev Release Date</t>
  </si>
  <si>
    <t>Thumbnail</t>
  </si>
  <si>
    <t>Sites</t>
  </si>
  <si>
    <t>BOM.# Position</t>
  </si>
  <si>
    <t>BOM.# (ECR) Redline Type</t>
  </si>
  <si>
    <t>BOM.(ECR) Group ID</t>
  </si>
  <si>
    <t>BOM.Primary / Alternate</t>
  </si>
  <si>
    <t>BOM.Alternate Group</t>
  </si>
  <si>
    <t>BOM.Classification</t>
  </si>
  <si>
    <t>BOM.# Material Category</t>
  </si>
  <si>
    <t>BOM.Description</t>
  </si>
  <si>
    <t>BOM.General Description</t>
  </si>
  <si>
    <t>BOM.Status</t>
  </si>
  <si>
    <t>BOM.Unit</t>
  </si>
  <si>
    <t>BOM.Quantity</t>
  </si>
  <si>
    <t>BOM.Location</t>
  </si>
  <si>
    <t>BOM.# Project Name</t>
  </si>
  <si>
    <t>BOM.# Part Plant Code</t>
  </si>
  <si>
    <t>BOM.# BOM Plant Code</t>
  </si>
  <si>
    <t>BOM.# Customer Part Number</t>
  </si>
  <si>
    <t>BOM.# Outsourcing Vendor</t>
  </si>
  <si>
    <t>BOM.# COO</t>
  </si>
  <si>
    <t>BOM.# Contact Sourcer</t>
  </si>
  <si>
    <t>BOM.# ME Approval Sheet exist?</t>
  </si>
  <si>
    <t>BOM.# Source</t>
  </si>
  <si>
    <t>BOM.# Approved Green Factor</t>
  </si>
  <si>
    <t xml:space="preserve">BOM.# Block </t>
  </si>
  <si>
    <t>BOM.# BOM Dispatch Complete</t>
  </si>
  <si>
    <t>BOM.# PSL-Seq ID</t>
  </si>
  <si>
    <t>BOM.# Primary PN - Relative Alternativ PN</t>
  </si>
  <si>
    <t>BOM.# Alternativ PN - Correspond Primary PN</t>
  </si>
  <si>
    <t>BOM.# Part Type</t>
  </si>
  <si>
    <t>BOM.Thumbnail</t>
  </si>
  <si>
    <t>BOM.Rev</t>
  </si>
  <si>
    <t>BOM.Customer Item Description</t>
  </si>
  <si>
    <t>Manufacturers.Manufacturer Name</t>
  </si>
  <si>
    <t>Manufacturers.MPN</t>
  </si>
  <si>
    <t>Manufacturers.# Released MAS No</t>
  </si>
  <si>
    <t>Manufacturers.# MPN Status</t>
  </si>
  <si>
    <t>Manufacturers.# Outsourcing Vendor</t>
  </si>
  <si>
    <t>Manufacturers.# MPN Priority</t>
  </si>
  <si>
    <t>Manufacturers.Reference Notes</t>
  </si>
  <si>
    <t>Manufacturers.#COO</t>
  </si>
  <si>
    <t>0</t>
  </si>
  <si>
    <t>B55.10H0J.M00C</t>
  </si>
  <si>
    <t>EE Assembly(SMT)</t>
  </si>
  <si>
    <t>BOARD YV4 MP 25Q2 MEDUSA FLEX ADM1272 MP</t>
  </si>
  <si>
    <t>M-BOM</t>
  </si>
  <si>
    <t>6        DM008866</t>
  </si>
  <si>
    <t>2025/06/06 08:21:19 PM CST</t>
  </si>
  <si>
    <t>1</t>
  </si>
  <si>
    <t>B68.00001.003K</t>
  </si>
  <si>
    <t>CHIP BEAD 330OHM 3A</t>
  </si>
  <si>
    <t>Part Released</t>
  </si>
  <si>
    <t>5        DM006941</t>
  </si>
  <si>
    <t>00010</t>
  </si>
  <si>
    <t>Primary</t>
  </si>
  <si>
    <t>0014</t>
  </si>
  <si>
    <t>JB</t>
  </si>
  <si>
    <t>CHIP BEAD 330OHM 3A SMD HCB2012KF-331T30</t>
  </si>
  <si>
    <t>PCS</t>
  </si>
  <si>
    <t>2</t>
  </si>
  <si>
    <t>L1,L2</t>
  </si>
  <si>
    <t>TETON2</t>
  </si>
  <si>
    <t>9C1-WYTN;912-WYUDE at MX;900-WYHQ;9A1-WYMY;9D1-WYMTN</t>
  </si>
  <si>
    <t>WISTRON</t>
  </si>
  <si>
    <t>shirley_wei@wiwynn.com</t>
  </si>
  <si>
    <t>Purchase</t>
  </si>
  <si>
    <t>R2_SA;HF_SA</t>
  </si>
  <si>
    <t>B68.00001.004S</t>
  </si>
  <si>
    <t>EE Parts</t>
  </si>
  <si>
    <t>TAITECH</t>
  </si>
  <si>
    <t>HCB2012KF-331T30</t>
  </si>
  <si>
    <t>2024/06/05 06:03:44.927</t>
  </si>
  <si>
    <t>China</t>
  </si>
  <si>
    <t xml:space="preserve">CHIP BEAD 330OHM </t>
  </si>
  <si>
    <t>7        DM006943</t>
  </si>
  <si>
    <t>Alternate</t>
  </si>
  <si>
    <t>CHIP BEAD 330OHM 3A SMD BBUP00201209331Y00</t>
  </si>
  <si>
    <t>YOSEMITE V4</t>
  </si>
  <si>
    <t>9C1-WYTN;912-WYUDE at MX;9A1-WYMY;9D1-WYMTN</t>
  </si>
  <si>
    <t>R2_SA;HF_SA;EF_SA</t>
  </si>
  <si>
    <t>CHILISIN</t>
  </si>
  <si>
    <t>BBUP00201209331Y00</t>
  </si>
  <si>
    <t>2024/10/08 06:17:09.349</t>
  </si>
  <si>
    <t>Vietnam</t>
  </si>
  <si>
    <t>B68.02U20.000E</t>
  </si>
  <si>
    <t>CHIP IND 2.2 UH M 2P</t>
  </si>
  <si>
    <t>4        DM006953</t>
  </si>
  <si>
    <t>00020</t>
  </si>
  <si>
    <t>0002</t>
  </si>
  <si>
    <t>CHIP INDUCTOR 2.2 UH M 2P  ZPWM-5018ML-2R2M</t>
  </si>
  <si>
    <t>9C1-WYTN;9A1-WYMY;9D1-WYMTN</t>
  </si>
  <si>
    <t>B68.02U20.0013</t>
  </si>
  <si>
    <t>ZENITHTEK</t>
  </si>
  <si>
    <t>ZPWM-5018ML-2R2M</t>
  </si>
  <si>
    <t>2023/11/10 08:20:05.066</t>
  </si>
  <si>
    <t>6        UGF000000170</t>
  </si>
  <si>
    <t>CHIP INDUCTOR 2.2 UH M 2P  CMMB051H-2R2MS</t>
  </si>
  <si>
    <t>PL2</t>
  </si>
  <si>
    <t>9C1-WYTN;912-WYUDE at MX;910-WYUDE;900-WYHQ;9A1-WYMY;9D1-WYMTN</t>
  </si>
  <si>
    <t>CYNTEC</t>
  </si>
  <si>
    <t>CMMB051H-2R2MS</t>
  </si>
  <si>
    <t>2024/09/13 06:34:00.544</t>
  </si>
  <si>
    <t>B69.00001.000Z</t>
  </si>
  <si>
    <t>FUSE - SMD</t>
  </si>
  <si>
    <t>FUSE 7A 125V CP6125L7A</t>
  </si>
  <si>
    <t>4        DM006966</t>
  </si>
  <si>
    <t>00030</t>
  </si>
  <si>
    <t>0003</t>
  </si>
  <si>
    <t>JF</t>
  </si>
  <si>
    <t xml:space="preserve">FUSE 7A 125V CP6125L7A </t>
  </si>
  <si>
    <t>PF1,PF2</t>
  </si>
  <si>
    <t>B69.00001.001A</t>
  </si>
  <si>
    <t>EATON</t>
  </si>
  <si>
    <t>CP6125L7A</t>
  </si>
  <si>
    <t>2024/09/13 01:52:14.119</t>
  </si>
  <si>
    <t>FUSE 7A 125V AF2-7.00V125TM</t>
  </si>
  <si>
    <t>6        DM006968</t>
  </si>
  <si>
    <t xml:space="preserve">FUSE 7A 125V AF2-7.00V125TM </t>
  </si>
  <si>
    <t>YOSEMITEV3.5</t>
  </si>
  <si>
    <t>AEM</t>
  </si>
  <si>
    <t>AF2-7.00V125TM</t>
  </si>
  <si>
    <t>2025/01/16 09:07:01.223</t>
  </si>
  <si>
    <t>B73.74107.0005</t>
  </si>
  <si>
    <t>IC IO BUF 1 PORT TSSOP 5P</t>
  </si>
  <si>
    <t>3        DM007005</t>
  </si>
  <si>
    <t>00040</t>
  </si>
  <si>
    <t>0024</t>
  </si>
  <si>
    <t>IL</t>
  </si>
  <si>
    <t>IC IO BUFFER 1 PORT TSSOP 5P  74AUP1G07GW,125</t>
  </si>
  <si>
    <t>16</t>
  </si>
  <si>
    <t>PU27,PU30,PU33,PU36,PU39,PU42,PU45,PU48,U26,U27,U28,U29,U30,U31,U32,U33</t>
  </si>
  <si>
    <t>Olympic 2.0</t>
  </si>
  <si>
    <t>stanley_tsui@wiwynn.com</t>
  </si>
  <si>
    <t>B73.74107.000C</t>
  </si>
  <si>
    <t>NEXPERIA</t>
  </si>
  <si>
    <t>74AUP1G07GW,125</t>
  </si>
  <si>
    <t>2024/03/28 02:23:31.382</t>
  </si>
  <si>
    <t>Malaysia;Thailand</t>
  </si>
  <si>
    <t>IC IO BUF 1 PORT SOT-353 5P</t>
  </si>
  <si>
    <t>4        DM007005</t>
  </si>
  <si>
    <t>IC IO BUFFER 1 PORT SOT-353 5P  U74AUP1G07G-AL5-R</t>
  </si>
  <si>
    <t>YosemiteV3.5 EMR T3</t>
  </si>
  <si>
    <t>UTC</t>
  </si>
  <si>
    <t>U74AUP1G07G-AL5-R</t>
  </si>
  <si>
    <t>2025/02/12 09:19:13.905</t>
  </si>
  <si>
    <t>B73.07108.0001</t>
  </si>
  <si>
    <t>IC SINGLE GATE AND 1 PORT SOT353 5P</t>
  </si>
  <si>
    <t>6        DM008958</t>
  </si>
  <si>
    <t>00050</t>
  </si>
  <si>
    <t>0004</t>
  </si>
  <si>
    <t>IC SINGLE GATE AND 1 PORT SOT353 5P  7UL1T08FU</t>
  </si>
  <si>
    <t>U73</t>
  </si>
  <si>
    <t>ORCA</t>
  </si>
  <si>
    <t>B73.74108.000A</t>
  </si>
  <si>
    <t>TOSHIBA</t>
  </si>
  <si>
    <t>7UL1T08FU</t>
  </si>
  <si>
    <t>2024/04/18 05:48:35.307</t>
  </si>
  <si>
    <t>Thailand</t>
  </si>
  <si>
    <t>IC SINGLE GATE AND SOT-353 5P</t>
  </si>
  <si>
    <t>5        DM007005</t>
  </si>
  <si>
    <t>IC SINGLE GATE AND SOT-353 5P  U74LVC1G08G-AL5-R</t>
  </si>
  <si>
    <t>Artemis</t>
  </si>
  <si>
    <t>U74LVC1G08G-AL5-R</t>
  </si>
  <si>
    <t>2024/08/28 06:05:55.819</t>
  </si>
  <si>
    <t>B73.00709.0001</t>
  </si>
  <si>
    <t>5        DM008958</t>
  </si>
  <si>
    <t>00060</t>
  </si>
  <si>
    <t>0017</t>
  </si>
  <si>
    <t>IC SINGLE GATE AND SOT-353 5P  TC7SH09FU</t>
  </si>
  <si>
    <t>Nanaka</t>
  </si>
  <si>
    <t>B73.74109.0003</t>
  </si>
  <si>
    <t>TC7SH09FU</t>
  </si>
  <si>
    <t>2024/08/26 03:06:59.372</t>
  </si>
  <si>
    <t>IC SINGLE GATE AND TSSOP 5P</t>
  </si>
  <si>
    <t>6        DM007005</t>
  </si>
  <si>
    <t>IC SINGLE GATE AND TSSOP 5P  74AHC1G09GW,125</t>
  </si>
  <si>
    <t>U47,U48,U49,U50,U51,U52,U53,U54,U55,U56,U57,U58,U59,U60,U61,U62</t>
  </si>
  <si>
    <t>GRAND CANYON</t>
  </si>
  <si>
    <t>74AHC1G09GW,125</t>
  </si>
  <si>
    <t>2024/09/10 00:59:12.316</t>
  </si>
  <si>
    <t>Malaysia</t>
  </si>
  <si>
    <t>B74.00238.0001</t>
  </si>
  <si>
    <t>IC MONITOR FW:NA VSSOP 10P</t>
  </si>
  <si>
    <t>5        DM008960</t>
  </si>
  <si>
    <t>00080</t>
  </si>
  <si>
    <t>ID</t>
  </si>
  <si>
    <t>IC MONITOR FW:NA VSSOP 10P SMD INA238AIDGSR</t>
  </si>
  <si>
    <t>U71</t>
  </si>
  <si>
    <t>YV4 Immersion</t>
  </si>
  <si>
    <t>johnson_chang@wiwynn.com</t>
  </si>
  <si>
    <t>TI</t>
  </si>
  <si>
    <t>INA238AIDGSR</t>
  </si>
  <si>
    <t>2024/09/12 06:51:12.003</t>
  </si>
  <si>
    <t>B74.02932.0001</t>
  </si>
  <si>
    <t>IC VC 8P SOIC</t>
  </si>
  <si>
    <t>7        DM007011</t>
  </si>
  <si>
    <t>00090</t>
  </si>
  <si>
    <t>0006</t>
  </si>
  <si>
    <t>IC VOLTAGE COMPARATOR 8P SOIC LM293DR2G</t>
  </si>
  <si>
    <t>U64</t>
  </si>
  <si>
    <t>mira_lu@wiwynn.com</t>
  </si>
  <si>
    <t>B74.39308.0001</t>
  </si>
  <si>
    <t>ONSEMI</t>
  </si>
  <si>
    <t>LM293DR2G</t>
  </si>
  <si>
    <t>2024/09/09 09:22:41.579</t>
  </si>
  <si>
    <t>China;Philippines</t>
  </si>
  <si>
    <t>IC VC 8P SOP</t>
  </si>
  <si>
    <t>5        PDR0010317</t>
  </si>
  <si>
    <t>IC VOLTAGE COMPARATOR 8P SOP LM393G-S08-R</t>
  </si>
  <si>
    <t>LM393G-S08-R</t>
  </si>
  <si>
    <t>2025/02/04 03:36:08.176</t>
  </si>
  <si>
    <t>B74.00075.0001</t>
  </si>
  <si>
    <t>IC SEN TEMP VSSOP 8P</t>
  </si>
  <si>
    <t>38        PDR0011653</t>
  </si>
  <si>
    <t>00100</t>
  </si>
  <si>
    <t>0025</t>
  </si>
  <si>
    <t>IC SENSOR TEMPERATURE VSSOP 8P SMD</t>
  </si>
  <si>
    <t>U5,U6</t>
  </si>
  <si>
    <t>BLACKFOOT21</t>
  </si>
  <si>
    <t>912-WYUDE at MX;900-WYHQ;9A1-WYMY;915-WYMUS;9D1-WYMTN</t>
  </si>
  <si>
    <t>B74.00752.0002</t>
  </si>
  <si>
    <t>TMP75AIDGKR</t>
  </si>
  <si>
    <t>2023/11/02 09:01:40.181</t>
  </si>
  <si>
    <t>China;Malaysia;Thailand</t>
  </si>
  <si>
    <t>IC SEN TEMP MSOP 8P</t>
  </si>
  <si>
    <t>Obsolete</t>
  </si>
  <si>
    <t>22        IDC0024663</t>
  </si>
  <si>
    <t>IC SENSOR TEMPERATURE MSOP 8P SMD</t>
  </si>
  <si>
    <t>ST</t>
  </si>
  <si>
    <t>STTS75DS2F</t>
  </si>
  <si>
    <t>2024/05/28 11:01:43.665</t>
  </si>
  <si>
    <t>B74.02431.0002</t>
  </si>
  <si>
    <t>IC LDO SOT23 3P</t>
  </si>
  <si>
    <t>33        IDC0025550</t>
  </si>
  <si>
    <t>00110</t>
  </si>
  <si>
    <t>0027</t>
  </si>
  <si>
    <t>IC LDO REGULATOR SOT23 3P SMD TS2431BILT</t>
  </si>
  <si>
    <t>C3010A</t>
  </si>
  <si>
    <t>B74.04321.0001</t>
  </si>
  <si>
    <t>TS2431BILT</t>
  </si>
  <si>
    <t>2024/08/02 02:05:52.332</t>
  </si>
  <si>
    <t>IC LDO SOT-23 3P</t>
  </si>
  <si>
    <t>17        DM007011</t>
  </si>
  <si>
    <t>IC LDO REGULATOR SOT-23 3P SMD NCP432BVSNT1G</t>
  </si>
  <si>
    <t>D22</t>
  </si>
  <si>
    <t>M1120 DC SCM V1.2</t>
  </si>
  <si>
    <t>NCP432BVSNT1G</t>
  </si>
  <si>
    <t>2024/02/16 02:39:09.464</t>
  </si>
  <si>
    <t>B74.05991.0001</t>
  </si>
  <si>
    <t>IC HOT SWAP FW:0 LGA 33P</t>
  </si>
  <si>
    <t>3        DM007012</t>
  </si>
  <si>
    <t>00120</t>
  </si>
  <si>
    <t>IC HOT SWAP FW:0 LGA 33P SMD MP5991GLU-Z</t>
  </si>
  <si>
    <t>8</t>
  </si>
  <si>
    <t>PU26,PU29,PU32,PU35,PU38,PU41,PU44,PU47</t>
  </si>
  <si>
    <t>MPS</t>
  </si>
  <si>
    <t>MP5991GLU-Z</t>
  </si>
  <si>
    <t>2024/04/30 07:10:06.612</t>
  </si>
  <si>
    <t>B74.03897.0001</t>
  </si>
  <si>
    <t>IC RESET 6P SON</t>
  </si>
  <si>
    <t>7        DM009755</t>
  </si>
  <si>
    <t>00130</t>
  </si>
  <si>
    <t>0026</t>
  </si>
  <si>
    <t>IC RESET 6P SON TPS3897ADRYR</t>
  </si>
  <si>
    <t>10</t>
  </si>
  <si>
    <t>U74,U75,U76,U77,U78,U79,U80,U81,U89,U90</t>
  </si>
  <si>
    <t>9C1-WYTN;912-WYUDE at MX;960-WYKS;900-WYHQ;9A1-WYMY;9D1-WYMTN</t>
  </si>
  <si>
    <t>B74.06897.0001</t>
  </si>
  <si>
    <t>TPS3897ADRYR</t>
  </si>
  <si>
    <t>2024/04/19 02:49:56.270</t>
  </si>
  <si>
    <t>China;Philippines;Thailand</t>
  </si>
  <si>
    <t>IC RESET 6P UDFN</t>
  </si>
  <si>
    <t>4        DM007012</t>
  </si>
  <si>
    <t>IC RESET 6P UDFN MAX6897AALT+T</t>
  </si>
  <si>
    <t>MAXIM</t>
  </si>
  <si>
    <t>MAX6897AALT+T</t>
  </si>
  <si>
    <t>2025/01/24 05:22:53.746</t>
  </si>
  <si>
    <t>Taiwan;Thailand</t>
  </si>
  <si>
    <t>B74.08623.0001</t>
  </si>
  <si>
    <t>IC DC-DC QFN 14P</t>
  </si>
  <si>
    <t>20        PDR0011587</t>
  </si>
  <si>
    <t>00140</t>
  </si>
  <si>
    <t>0008</t>
  </si>
  <si>
    <t>IC DC-DC CONVERTER QFN 14P  MPQ8623GD-Z</t>
  </si>
  <si>
    <t>PU51</t>
  </si>
  <si>
    <t>912-WYUDE at MX;910-WYUDE;900-WYHQ;9A1-WYMY;915-WYMUS;9D1-WYMTN</t>
  </si>
  <si>
    <t>B74.54060.0002</t>
  </si>
  <si>
    <t>MPQ8623GD-Z</t>
  </si>
  <si>
    <t>2024/02/01 05:38:24.311</t>
  </si>
  <si>
    <t>China;Malaysia</t>
  </si>
  <si>
    <t>14        PDR0011587</t>
  </si>
  <si>
    <t>IC DC-DC CONVERTER VQFN 14P  TPS54J060RPGR</t>
  </si>
  <si>
    <t>912-WYUDE at MX;910-WYUDE;930-WYJP;940-WYKR;950-WYHK;960-WYKS;900-WYHQ;9A1-WYMY;915-WYMUS;9D1-WYMTN</t>
  </si>
  <si>
    <t>TPS54J060RPGR</t>
  </si>
  <si>
    <t>2023/11/14 03:10:44.717</t>
  </si>
  <si>
    <t>Philippines</t>
  </si>
  <si>
    <t>B75.07002.0002</t>
  </si>
  <si>
    <t>IC MOS DUAL NC 6P</t>
  </si>
  <si>
    <t>5        DM008969</t>
  </si>
  <si>
    <t>00150</t>
  </si>
  <si>
    <t>0033</t>
  </si>
  <si>
    <t>IZ</t>
  </si>
  <si>
    <t>IC MOSFET DUAL N CHANNEL 6P SMD NX7002BKS</t>
  </si>
  <si>
    <t>B75.67002.0001</t>
  </si>
  <si>
    <t>NX7002BKS</t>
  </si>
  <si>
    <t>2025/02/04 02:57:13.155</t>
  </si>
  <si>
    <t>6        DM008970</t>
  </si>
  <si>
    <t>IC MOSFET DUAL N CHANNEL 6P SMD SSM6N7002KFU</t>
  </si>
  <si>
    <t>18</t>
  </si>
  <si>
    <t>Q90,Q91,Q93,Q94,Q96,Q97,Q99,Q100,Q102,Q103,Q105,Q106,Q108,Q109,Q111,Q112,Q131,Q132</t>
  </si>
  <si>
    <t>SSM6N7002KFU</t>
  </si>
  <si>
    <t>2023/12/11 09:38:01.184</t>
  </si>
  <si>
    <t>B79.047UL.0001</t>
  </si>
  <si>
    <t>CAP OS-CON 47 UF 80V M 10*12.6 ESR:28</t>
  </si>
  <si>
    <t>3        DM007092</t>
  </si>
  <si>
    <t>00160</t>
  </si>
  <si>
    <t>0009</t>
  </si>
  <si>
    <t>JC</t>
  </si>
  <si>
    <t>CAPACITOR OS-CON 47 UF 80V M 10*12.6 ESR:28 SMD</t>
  </si>
  <si>
    <t>G3010N</t>
  </si>
  <si>
    <t>morgan_yun@wiwynn.com</t>
  </si>
  <si>
    <t>B79.047UL.0002</t>
  </si>
  <si>
    <t>PANASONIC</t>
  </si>
  <si>
    <t>80SXV47M</t>
  </si>
  <si>
    <t>2024/04/26 07:13:52.033</t>
  </si>
  <si>
    <t>CAP OS-CON 47 UF 80V M 10*12.3 ESR:28</t>
  </si>
  <si>
    <t>6        DM007092</t>
  </si>
  <si>
    <t>CAPACITOR OS-CON 47 UF 80V M 10*12.3 ESR:28 SMD</t>
  </si>
  <si>
    <t>PTC5,PTC6,PTC7,PTC8,PTC21,PTC22,PTC23,PTC24,PTC29,PTC30,PTC31,PTC32,PTC45,PTC46,PTC47,PTC48</t>
  </si>
  <si>
    <t>Cupid</t>
  </si>
  <si>
    <t>9C1-WYTN;900-WYHQ;9A1-WYMY;9D1-WYMTN</t>
  </si>
  <si>
    <t>APAQ</t>
  </si>
  <si>
    <t>800AVTS470M1012CL05</t>
  </si>
  <si>
    <t>2024/07/03 00:23:24.059</t>
  </si>
  <si>
    <t>B79.0C56C.0001</t>
  </si>
  <si>
    <t>CAP OS-CON 560 UF 16V M 8*10 ESR:18</t>
  </si>
  <si>
    <t>6        DM009828</t>
  </si>
  <si>
    <t>00170</t>
  </si>
  <si>
    <t>0010</t>
  </si>
  <si>
    <t>CAPACITOR OS-CON 560 UF 16V M 8*10 ESR:18 SMD</t>
  </si>
  <si>
    <t>B79.0C56C.0005</t>
  </si>
  <si>
    <t>16SVPF560MX</t>
  </si>
  <si>
    <t>2023/10/30 09:29:39.092</t>
  </si>
  <si>
    <t>CAP OS-CON 560 UF 16V M 8*9.7 ESR:18</t>
  </si>
  <si>
    <t>4        DM008983</t>
  </si>
  <si>
    <t>CAPACITOR OS-CON 560 UF 16V M 8*9.7 ESR:18 SMD</t>
  </si>
  <si>
    <t>20</t>
  </si>
  <si>
    <t>PTC1,PTC2,PTC3,PTC4,PTC17,PTC18,PTC19,PTC20,PTC25,PTC26,PTC27,PTC28,PTC41,PTC42,PTC43,PTC44,PTC49,PTC50,PTC51,PTC52</t>
  </si>
  <si>
    <t>160AV5S561M0810C</t>
  </si>
  <si>
    <t>2024/12/03 02:20:16.521</t>
  </si>
  <si>
    <t>B83.14448.0002</t>
  </si>
  <si>
    <t>DISCRETE SW SOD323 2P</t>
  </si>
  <si>
    <t>6        DM009141</t>
  </si>
  <si>
    <t>00180</t>
  </si>
  <si>
    <t>0011</t>
  </si>
  <si>
    <t>JD</t>
  </si>
  <si>
    <t>DISCRETE SW SOD323 2P SMD</t>
  </si>
  <si>
    <t>4</t>
  </si>
  <si>
    <t>D1,D2,D35,D36</t>
  </si>
  <si>
    <t>B83.31611.0001</t>
  </si>
  <si>
    <t>DIODES</t>
  </si>
  <si>
    <t>1N4448WS-7-F</t>
  </si>
  <si>
    <t>2024/09/11 02:18:42.956</t>
  </si>
  <si>
    <t>6        DM007300</t>
  </si>
  <si>
    <t xml:space="preserve">DISCRETE SW SOD323 2P SMD </t>
  </si>
  <si>
    <t>BAS316,115</t>
  </si>
  <si>
    <t>2025/02/03 02:27:24.144</t>
  </si>
  <si>
    <t>B83.03407.0001</t>
  </si>
  <si>
    <t>DISCRETE S.B SOD323 2P</t>
  </si>
  <si>
    <t>4        DM007295</t>
  </si>
  <si>
    <t>00190</t>
  </si>
  <si>
    <t>0035</t>
  </si>
  <si>
    <t xml:space="preserve">DISCRETE S.B SOD323 2P SMD </t>
  </si>
  <si>
    <t>6</t>
  </si>
  <si>
    <t>D8,D9,D10,D11,D12,D13</t>
  </si>
  <si>
    <t>B83.75140.0003</t>
  </si>
  <si>
    <t>SDMK0340L-7-F</t>
  </si>
  <si>
    <t>2024/04/23 03:23:29.882</t>
  </si>
  <si>
    <t>DISCRETE S.B SOD-323 2P</t>
  </si>
  <si>
    <t>4        DM009142</t>
  </si>
  <si>
    <t xml:space="preserve">DISCRETE S.B SOD-323 2P SMD </t>
  </si>
  <si>
    <t>PANJIT</t>
  </si>
  <si>
    <t>RB751V-40X</t>
  </si>
  <si>
    <t>2024/12/02 06:11:45.710</t>
  </si>
  <si>
    <t>Taiwan</t>
  </si>
  <si>
    <t>B84.00352.0001</t>
  </si>
  <si>
    <t>DISCRETE MOS PC SOT23 3P</t>
  </si>
  <si>
    <t>5        IDC0024000</t>
  </si>
  <si>
    <t>00200</t>
  </si>
  <si>
    <t>0012</t>
  </si>
  <si>
    <t>JM</t>
  </si>
  <si>
    <t>DISCRETE MOSFET P CHANNEL SOT23 3P SMD FDN352AP</t>
  </si>
  <si>
    <t>Q76,Q78,Q80,Q82,Q84,Q86</t>
  </si>
  <si>
    <t>B84.03334.0001</t>
  </si>
  <si>
    <t>FDN352AP</t>
  </si>
  <si>
    <t>2025/02/27 00:38:30.023</t>
  </si>
  <si>
    <t>DISCRETE MOS PC SOT-23F 3P</t>
  </si>
  <si>
    <t>4        DM009143</t>
  </si>
  <si>
    <t>DISCRETE MOSFET P CHANNEL SOT-23F 3P SMD SSM3J334R</t>
  </si>
  <si>
    <t>SSM3J334R</t>
  </si>
  <si>
    <t>2023/10/12 01:54:58.784</t>
  </si>
  <si>
    <t>B84.03904.0002</t>
  </si>
  <si>
    <t>Discretes(MOSFET,TRANSISTOR) - SMD/TRANSISTOR</t>
  </si>
  <si>
    <t>DISCRETE XTOR NPN SOT23 3P</t>
  </si>
  <si>
    <t>8        IDC0025512</t>
  </si>
  <si>
    <t>00210</t>
  </si>
  <si>
    <t>0007</t>
  </si>
  <si>
    <t>DISCRETE TRANSISTOR NPN SOT23 3P SMD</t>
  </si>
  <si>
    <t>C41A8</t>
  </si>
  <si>
    <t>9C1-WYTN;912-WYUDE at MX;910-WYUDE;930-WYJP;940-WYKR;950-WYHK;960-WYKS;900-WYHQ;9A1-WYMY;9D1-WYMTN</t>
  </si>
  <si>
    <t>B84.39041.0002</t>
  </si>
  <si>
    <t>MMBT3904</t>
  </si>
  <si>
    <t>2024/08/14 07:01:01.467</t>
  </si>
  <si>
    <t>DISCRETE XTOR NPN SOT-23 3P</t>
  </si>
  <si>
    <t>20        PDR0011684</t>
  </si>
  <si>
    <t>DISCRETE TRANSISTOR NPN SOT-23 3P SMD</t>
  </si>
  <si>
    <t>PQ1,PQ10</t>
  </si>
  <si>
    <t>912-WYUDE at MX;9A1-WYMY;915-WYMUS;9D1-WYMTN</t>
  </si>
  <si>
    <t>LRC</t>
  </si>
  <si>
    <t>LMBT3904LT1G</t>
  </si>
  <si>
    <t>2024/04/16 09:15:53.555</t>
  </si>
  <si>
    <t>B84.00410.0001</t>
  </si>
  <si>
    <t>Discretes(MOSFET,TRANSISTOR) - SMD/POWER MOSFET</t>
  </si>
  <si>
    <t>DISCRETE PWR MOS NC D2PAK 3P</t>
  </si>
  <si>
    <t>3        DM009143</t>
  </si>
  <si>
    <t>00220</t>
  </si>
  <si>
    <t>0013</t>
  </si>
  <si>
    <t>DISCRETE POWER MOSFET N CHANNEL D2PAK 3P SMD NTB004N10G</t>
  </si>
  <si>
    <t>B84.37100.0001</t>
  </si>
  <si>
    <t>NTB004N10G</t>
  </si>
  <si>
    <t>2024/11/19 03:34:18.733</t>
  </si>
  <si>
    <t>DISCRETE PWR MOS NC D2PAK 4P</t>
  </si>
  <si>
    <t>4        DM007308</t>
  </si>
  <si>
    <t>DISCRETE POWER MOSFET N CHANNEL D2PAK 4P SMD PSMN3R7-100BSEJ</t>
  </si>
  <si>
    <t>12</t>
  </si>
  <si>
    <t>PQ4,PQ5,PQ6,PQ7,PQ8,PQ9,PQ13,PQ14,PQ15,PQ16,PQ17,PQ18</t>
  </si>
  <si>
    <t>R2_SA</t>
  </si>
  <si>
    <t>PSMN3R7-100BSEJ</t>
  </si>
  <si>
    <t>2024/09/12 06:05:14.157</t>
  </si>
  <si>
    <t>B84.27002.0003</t>
  </si>
  <si>
    <t>DISCRETE MOS NC SOT-323 3P</t>
  </si>
  <si>
    <t>27        PDR0011677</t>
  </si>
  <si>
    <t>00230</t>
  </si>
  <si>
    <t>0039</t>
  </si>
  <si>
    <t>DISCRETE MOSFET N CHANNEL SOT-323 3P SMD 2N7002KW</t>
  </si>
  <si>
    <t>Q14,Q15</t>
  </si>
  <si>
    <t>B84.27002.0009</t>
  </si>
  <si>
    <t>2N7002KW</t>
  </si>
  <si>
    <t>2023/11/09 07:04:36.407</t>
  </si>
  <si>
    <t>China;Taiwan</t>
  </si>
  <si>
    <t>DISCRETE MOS NC SOT323 3P</t>
  </si>
  <si>
    <t>5        DM007308</t>
  </si>
  <si>
    <t>DISCRETE MOSFET N CHANNEL SOT323 3P SMD L2N7002SWT1G</t>
  </si>
  <si>
    <t>L2N7002SWT1G</t>
  </si>
  <si>
    <t>2024/08/14 09:59:46.861</t>
  </si>
  <si>
    <t>China;Thailand</t>
  </si>
  <si>
    <t>B64.14K34.0531</t>
  </si>
  <si>
    <t>CHIP RES PERC 14.3K 1/10W F 0603 (EF)</t>
  </si>
  <si>
    <t>8        DM006869</t>
  </si>
  <si>
    <t>00240</t>
  </si>
  <si>
    <t>JR</t>
  </si>
  <si>
    <t>CHIP RESISTOR PERCISION 14.3K 1/10W F 0603 CERAMIC (EF)</t>
  </si>
  <si>
    <t>R1556,R1557</t>
  </si>
  <si>
    <t>doris_lin@wiwynn.com</t>
  </si>
  <si>
    <t>YAGEO</t>
  </si>
  <si>
    <t>RC0603FR-0714K3P</t>
  </si>
  <si>
    <t>2024/11/27 01:20:35.335</t>
  </si>
  <si>
    <t>TAI</t>
  </si>
  <si>
    <t>RM06FTW1432</t>
  </si>
  <si>
    <t>2024/11/27 01:20:35.293</t>
  </si>
  <si>
    <t>RALEC</t>
  </si>
  <si>
    <t>FTT031432FTP</t>
  </si>
  <si>
    <t>2024/11/27 01:20:35.203</t>
  </si>
  <si>
    <t>WALSIN</t>
  </si>
  <si>
    <t>WR06X1432FTR</t>
  </si>
  <si>
    <t>2024/11/27 01:20:35.312</t>
  </si>
  <si>
    <t>B71.09535.0001</t>
  </si>
  <si>
    <t>IC I2C I/O EXPANDER TSSOP 24P</t>
  </si>
  <si>
    <t>12        IDC0024824</t>
  </si>
  <si>
    <t>00250</t>
  </si>
  <si>
    <t>0022</t>
  </si>
  <si>
    <t>IC</t>
  </si>
  <si>
    <t>IC I2C I/O EXPANDER TSSOP 24P NCA9535PWJ</t>
  </si>
  <si>
    <t>U1,U2,U3,U4</t>
  </si>
  <si>
    <t>B71.95351.0001</t>
  </si>
  <si>
    <t>NCA9535PWJ</t>
  </si>
  <si>
    <t>2023/10/13 03:19:23.729</t>
  </si>
  <si>
    <t>5        DM006992</t>
  </si>
  <si>
    <t>IC I2C I/O EXPANDER TSSOP 24P PCA9535PW,118</t>
  </si>
  <si>
    <t>NXP</t>
  </si>
  <si>
    <t>PCA9535PW,118</t>
  </si>
  <si>
    <t>2025/02/27 00:44:36.293</t>
  </si>
  <si>
    <t>B72.24128.0005</t>
  </si>
  <si>
    <t>IC EEPRM 128 KBIT SOIC 8P</t>
  </si>
  <si>
    <t>5        DM007000</t>
  </si>
  <si>
    <t>00260</t>
  </si>
  <si>
    <t>0015</t>
  </si>
  <si>
    <t>MP</t>
  </si>
  <si>
    <t>IC EEPRM I2C 128 KBIT SOIC 8P SMD GT24C128D-2GLI-TR</t>
  </si>
  <si>
    <t>B72.24128.0009</t>
  </si>
  <si>
    <t>GIANTEC</t>
  </si>
  <si>
    <t>GT24C128D-2GLI-TR</t>
  </si>
  <si>
    <t>2023/11/17 01:27:41.995</t>
  </si>
  <si>
    <t>IC EEPRM 128 KBIT SO8 8P</t>
  </si>
  <si>
    <t>IC EEPRM I2C 128 KBIT SO8 8P SMD M24128-BWMN6TP</t>
  </si>
  <si>
    <t>U7</t>
  </si>
  <si>
    <t>GB200</t>
  </si>
  <si>
    <t>M24128-BWMN6TP</t>
  </si>
  <si>
    <t>2024/04/16 05:42:28.404</t>
  </si>
  <si>
    <t>B73.74108.000E</t>
  </si>
  <si>
    <t>IC SINGLE GATE AND GATE 1 SC70 5P</t>
  </si>
  <si>
    <t>00270</t>
  </si>
  <si>
    <t>0016</t>
  </si>
  <si>
    <t>IC SINGLE GATE AND SC70 5P  SN74AHC1G08DCKR</t>
  </si>
  <si>
    <t>U19</t>
  </si>
  <si>
    <t>B73.74108.000F</t>
  </si>
  <si>
    <t>SN74AHC1G08DCKR</t>
  </si>
  <si>
    <t>2025/02/26 00:57:15.257</t>
  </si>
  <si>
    <t>IC SINGLE GATE AND TSSOP  5P</t>
  </si>
  <si>
    <t>IC SINGLE GATE AND TSSOP 5P  74AHC1G08GW,125</t>
  </si>
  <si>
    <t>74AHC1G08GW,125</t>
  </si>
  <si>
    <t>2025/02/27 06:52:51.903</t>
  </si>
  <si>
    <t>B73.74132.0003</t>
  </si>
  <si>
    <t>IC SINGLE GATE OR SOT353 5P</t>
  </si>
  <si>
    <t>4        DM008959</t>
  </si>
  <si>
    <t>00280</t>
  </si>
  <si>
    <t>0018</t>
  </si>
  <si>
    <t>IC SINGLE GATE OR SOT353 5P 74LVC1G32SE-7</t>
  </si>
  <si>
    <t>B73.74132.0006</t>
  </si>
  <si>
    <t>74LVC1G32SE-7</t>
  </si>
  <si>
    <t>2024/03/01 02:40:07.322</t>
  </si>
  <si>
    <t>IC SINGLE GATE OR SOT353-1 5P</t>
  </si>
  <si>
    <t>6        DM008959</t>
  </si>
  <si>
    <t>IC SINGLE GATE OR SOT353-1 5P  74LVC1G32GW,125</t>
  </si>
  <si>
    <t>U18,U72</t>
  </si>
  <si>
    <t>74LVC1G32GW,125</t>
  </si>
  <si>
    <t>2024/05/23 09:07:03.251</t>
  </si>
  <si>
    <t>B74.74166.0001</t>
  </si>
  <si>
    <t>IC ANALOG SW 5P SC-74A</t>
  </si>
  <si>
    <t>10        PDR0010318</t>
  </si>
  <si>
    <t>00290</t>
  </si>
  <si>
    <t>0030</t>
  </si>
  <si>
    <t>IC ANALOG SWITCH 5P SC-74A 74LVC1G66GV,125</t>
  </si>
  <si>
    <t>U91,U92,U97,U98</t>
  </si>
  <si>
    <t>B74.74166.0002</t>
  </si>
  <si>
    <t>74LVC1G66GV,125</t>
  </si>
  <si>
    <t>2024/05/02 02:51:13.464</t>
  </si>
  <si>
    <t>IC ANALOG SW 5P SOT-23</t>
  </si>
  <si>
    <t>IC ANALOG SWITCH 5P SOT-23 SN74LVC1G66DBVR</t>
  </si>
  <si>
    <t>SN74LVC1G66DBVR</t>
  </si>
  <si>
    <t>2025/02/12 07:54:20.501</t>
  </si>
  <si>
    <t>China;Malaysia;Philippines;Thailand</t>
  </si>
  <si>
    <t>B83.00054.0005</t>
  </si>
  <si>
    <t>4        DM007291</t>
  </si>
  <si>
    <t>00300</t>
  </si>
  <si>
    <t>0019</t>
  </si>
  <si>
    <t>PD55,PD56</t>
  </si>
  <si>
    <t>Naberrie</t>
  </si>
  <si>
    <t>9C1-WYTN;912-WYUDE at MX;960-WYKS;9A1-WYMY;9D1-WYMTN</t>
  </si>
  <si>
    <t>B83.00547.0002</t>
  </si>
  <si>
    <t>BAT54WS</t>
  </si>
  <si>
    <t>2025/02/12 08:53:41.771</t>
  </si>
  <si>
    <t>4        DM007293</t>
  </si>
  <si>
    <t>BAT54WS-7-F</t>
  </si>
  <si>
    <t>2025/02/26 02:17:02.459</t>
  </si>
  <si>
    <t>B04.35042.0002</t>
  </si>
  <si>
    <t>Power IC - DIP</t>
  </si>
  <si>
    <t>IC PWR MODULE 14P</t>
  </si>
  <si>
    <t>5        DM007778</t>
  </si>
  <si>
    <t>00310</t>
  </si>
  <si>
    <t>IC POWER MODULE 14 DIP BMR3504250/832H</t>
  </si>
  <si>
    <t>PU6,PU10,PU12,PU16</t>
  </si>
  <si>
    <t>FLEX</t>
  </si>
  <si>
    <t>BMR3504250/832H</t>
  </si>
  <si>
    <t>2024/07/17 10:11:19.271</t>
  </si>
  <si>
    <t>B48.10HX2.471M</t>
  </si>
  <si>
    <t>PCB</t>
  </si>
  <si>
    <t>PCB 22X047-1M YV4_MEDUSA 10L GCE</t>
  </si>
  <si>
    <t>4        DM007962</t>
  </si>
  <si>
    <t>00320</t>
  </si>
  <si>
    <t>0042</t>
  </si>
  <si>
    <t>QB</t>
  </si>
  <si>
    <t>PCB 22X047-1M YV4_Medusa 10L GCE</t>
  </si>
  <si>
    <t>janelle_kuo@wiwynn.com</t>
  </si>
  <si>
    <t>B48.10HX4.471M;B48.10HX5.471M</t>
  </si>
  <si>
    <t>GCE</t>
  </si>
  <si>
    <t>B48.10HX2.471MGCE</t>
  </si>
  <si>
    <t>2024/08/14 02:36:32.748</t>
  </si>
  <si>
    <t>B48.10HX4.471M</t>
  </si>
  <si>
    <t>PCB 22X047-1M YV4_MEDUSA 10L TRI</t>
  </si>
  <si>
    <t>5        DM007962</t>
  </si>
  <si>
    <t>PCB 22X047-1M YV4_Medusa 10L TRIPOD</t>
  </si>
  <si>
    <t>TRIPOD</t>
  </si>
  <si>
    <t>B48.10HX4.471MTRIPOD</t>
  </si>
  <si>
    <t>2024/08/14 23:51:04.454</t>
  </si>
  <si>
    <t>B48.10HX5.471M</t>
  </si>
  <si>
    <t>PCB 22X047-1M YV4_MEDUSA 10L WUS</t>
  </si>
  <si>
    <t>4        DM007963</t>
  </si>
  <si>
    <t>PCB 22X047-1M YV4_Medusa 10L WUSHK</t>
  </si>
  <si>
    <t>WUSHK</t>
  </si>
  <si>
    <t>B48.10HX5.471MWUSHK</t>
  </si>
  <si>
    <t>2024/08/14 23:51:04.475</t>
  </si>
  <si>
    <t>B62.10001.001L</t>
  </si>
  <si>
    <t>Connector - High Speed - SMD/Others</t>
  </si>
  <si>
    <t>CONN MULTI-TRAK FML ST 94P LCP G03V27322</t>
  </si>
  <si>
    <t>7        DM006842</t>
  </si>
  <si>
    <t>00330</t>
  </si>
  <si>
    <t>0001</t>
  </si>
  <si>
    <t>NC</t>
  </si>
  <si>
    <t>CONNECTOR MULTI-TRAK FML ST 94P LCP SMD G03V27322HR</t>
  </si>
  <si>
    <t>CN6</t>
  </si>
  <si>
    <t>paul_ho@wiwynn.com</t>
  </si>
  <si>
    <t>B62.10001.0026</t>
  </si>
  <si>
    <t>AMPHENOL</t>
  </si>
  <si>
    <t>G03V27322HR</t>
  </si>
  <si>
    <t>2023/09/06 01:32:50.468</t>
  </si>
  <si>
    <t>CONN MULTI-TRAK FML ST 94P LCP 70414-500</t>
  </si>
  <si>
    <t>5        DM006842</t>
  </si>
  <si>
    <t>CONNECTOR MULTI-TRAK FML ST 94P LCP SMD 70414-5005</t>
  </si>
  <si>
    <t>BELLWETHER</t>
  </si>
  <si>
    <t>70414-5005</t>
  </si>
  <si>
    <t>2023/11/28 07:52:41.697</t>
  </si>
  <si>
    <t>B63.030KJ.0261</t>
  </si>
  <si>
    <t>CHIP RES 30K 1/4W J 1206</t>
  </si>
  <si>
    <t>6        DM006853</t>
  </si>
  <si>
    <t>00340</t>
  </si>
  <si>
    <t>CHIP RESISTOR 30K 1/4W J CERAMIC (EF)</t>
  </si>
  <si>
    <t>R1329</t>
  </si>
  <si>
    <t>RM12JTW303</t>
  </si>
  <si>
    <t>2024/03/05 03:06:30.167</t>
  </si>
  <si>
    <t>FTT06303JTP</t>
  </si>
  <si>
    <t>2024/03/05 03:06:30.141</t>
  </si>
  <si>
    <t>RC1206JR-0730KP</t>
  </si>
  <si>
    <t>2024/03/05 03:06:30.209</t>
  </si>
  <si>
    <t>WR12X303 JTR</t>
  </si>
  <si>
    <t>2024/03/05 03:06:30.191</t>
  </si>
  <si>
    <t>B63.033DJ.0621</t>
  </si>
  <si>
    <t>CHIP RES 33 1/16W J 0402 (EF)</t>
  </si>
  <si>
    <t>9        DM006853</t>
  </si>
  <si>
    <t>00350</t>
  </si>
  <si>
    <t>CHIP RESISTOR 33 1/16W J 0402 CERAMIC (EF)</t>
  </si>
  <si>
    <t>PR1004,PR1005</t>
  </si>
  <si>
    <t>FTT02330JTH</t>
  </si>
  <si>
    <t>2023/11/01 01:51:03.636</t>
  </si>
  <si>
    <t>WR04X330 JTR</t>
  </si>
  <si>
    <t>2023/11/01 01:51:03.733</t>
  </si>
  <si>
    <t>RM04JTW330</t>
  </si>
  <si>
    <t>2023/11/01 01:51:03.669</t>
  </si>
  <si>
    <t>RC0402JR-0733RP</t>
  </si>
  <si>
    <t>2023/11/01 01:51:03.769</t>
  </si>
  <si>
    <t>B64.000D4.0531</t>
  </si>
  <si>
    <t>CHIP RES PERC 0 1/10W F 0603 (EF)</t>
  </si>
  <si>
    <t>29        PDR0011677</t>
  </si>
  <si>
    <t>00360</t>
  </si>
  <si>
    <t>CHIP RESISTOR PERCISION 0 1/10W F 0603 CERAMIC (EF)</t>
  </si>
  <si>
    <t>PR86,PR189,PR632,PR678,PR724,PR770,PR816,PR862,PR908,PR954,PR1015,PR1018</t>
  </si>
  <si>
    <t>RM06FTW0</t>
  </si>
  <si>
    <t>2024/02/05 03:33:56.467</t>
  </si>
  <si>
    <t>FTT030000FTP</t>
  </si>
  <si>
    <t>2024/02/05 03:33:56.448</t>
  </si>
  <si>
    <t>B64.000D4.0622</t>
  </si>
  <si>
    <t>CHIP RES PERC 0 1/16W F 0402 (EF)</t>
  </si>
  <si>
    <t>28        PDR0011677</t>
  </si>
  <si>
    <t>00370</t>
  </si>
  <si>
    <t>CHIP RESISTOR PERCISION 0 1/16W F 0402 CERAMIC (EF)</t>
  </si>
  <si>
    <t>137</t>
  </si>
  <si>
    <t>PR11,PR12,PR16,PR17,PR20,PR26,PR112,PR118,PR119,PR121,PR132,PR205,PR240,PR627,PR633,PR643,PR644,PR645,PR650,PR653,PR655,PR656,PR660,PR662,PR663,PR669,PR672,PR673,PR679,PR689,PR690,PR691,PR696,PR699,PR701,PR702,PR706,PR708,PR709,PR715,PR718,PR719,PR725,PR735,PR736,PR737,PR742,PR744,PR747,PR748,PR752,PR754,PR755,PR761,PR764,PR765,PR771,PR781,PR782,PR783,PR788,PR789,PR793,PR794,PR799,PR800,PR801,PR807,PR810,PR811,PR817,PR827,PR828,PR829,PR834,PR836,PR839,PR840,PR845,PR846,PR847,PR853,PR856,PR857,PR863,PR873,PR874,PR875,PR880,PR882,PR885,PR886,PR890,PR891,PR893,PR899,PR902,PR903,PR909,PR919,PR920,PR921,PR926,PR927,PR931,PR932,PR936,PR937,PR939,PR945,PR948,PR949,PR955,PR965,PR966,PR967,PR972,PR974,PR977,PR978,PR982,PR984,PR985,PR991,PR994,PR1007,PR1009,PR1010,PR1012,PR1024,R44,R285,R286,R296,R318,R1554,R1555</t>
  </si>
  <si>
    <t>RM04FTW0</t>
  </si>
  <si>
    <t>2023/11/22 07:25:52.396</t>
  </si>
  <si>
    <t>FTT020000FTH</t>
  </si>
  <si>
    <t>2023/11/22 07:25:52.375</t>
  </si>
  <si>
    <t>B64.001K4.0621</t>
  </si>
  <si>
    <t>CHIP RES PERC 1K 1/16W F 0402 (EF)</t>
  </si>
  <si>
    <t>38        PDR0011677</t>
  </si>
  <si>
    <t>00380</t>
  </si>
  <si>
    <t>CHIP RESISTOR PERCISION 1K 1/16W F 0402 CERAMIC (EF)</t>
  </si>
  <si>
    <t>24</t>
  </si>
  <si>
    <t>PR1027,R45,R64,R66,R67,R84,R90,R91,R112,R117,R119,R125,R126,R131,R164,R165,R166,R173,R174,R281,R646,R648,R650,R1459</t>
  </si>
  <si>
    <t>Great Lakes</t>
  </si>
  <si>
    <t>418</t>
  </si>
  <si>
    <t>WR04X1001FTR</t>
  </si>
  <si>
    <t>2022/10/28 09:42:22.363</t>
  </si>
  <si>
    <t>RC0402FR-071KP</t>
  </si>
  <si>
    <t>2022/10/28 09:42:22.391</t>
  </si>
  <si>
    <t>FTT021001FTH</t>
  </si>
  <si>
    <t>2022/10/28 09:42:22.302</t>
  </si>
  <si>
    <t>RM04FTW1001</t>
  </si>
  <si>
    <t>2022/10/28 09:42:22.338</t>
  </si>
  <si>
    <t>B64.001M4.0621</t>
  </si>
  <si>
    <t>CHIP RES PERC 1M 1/16W F 0402 (EF)</t>
  </si>
  <si>
    <t>13        DM006857</t>
  </si>
  <si>
    <t>00390</t>
  </si>
  <si>
    <t>CHIP RESISTOR PERCISION 1M 1/16W F 0402 CERAMIC (EF)</t>
  </si>
  <si>
    <t>R563</t>
  </si>
  <si>
    <t>GRAND TETON</t>
  </si>
  <si>
    <t>WR04X1004FTR</t>
  </si>
  <si>
    <t>2023/05/05 06:23:21.779</t>
  </si>
  <si>
    <t>RC0402FR-071MP</t>
  </si>
  <si>
    <t>2023/05/05 06:23:21.804</t>
  </si>
  <si>
    <t>FTT021004FTH</t>
  </si>
  <si>
    <t>2023/05/05 06:23:21.709</t>
  </si>
  <si>
    <t>RM04FTW1004</t>
  </si>
  <si>
    <t>2023/05/05 06:23:21.749</t>
  </si>
  <si>
    <t>B64.002K4.0621</t>
  </si>
  <si>
    <t>CHIP RES PERC 2K 1/16W F 0402 (EF)</t>
  </si>
  <si>
    <t>31        PDR0011587</t>
  </si>
  <si>
    <t>00400</t>
  </si>
  <si>
    <t>CHIP RESISTOR PERCISION 2K 1/16W F 0402 CERAMIC (EF)</t>
  </si>
  <si>
    <t>PR628,PR661,PR674,PR707,PR720,PR753,PR766,PR798,PR812,PR844,PR858,PR892,PR904,PR938,PR950,PR983</t>
  </si>
  <si>
    <t>RC0402FR-072KP</t>
  </si>
  <si>
    <t>2022/10/28 08:03:32.723</t>
  </si>
  <si>
    <t>FTT022001FTH</t>
  </si>
  <si>
    <t>2022/10/28 08:03:32.641</t>
  </si>
  <si>
    <t>RM04FTW2001</t>
  </si>
  <si>
    <t>2022/10/28 08:03:32.667</t>
  </si>
  <si>
    <t>WR04X2001FTR</t>
  </si>
  <si>
    <t>2022/10/28 08:03:32.696</t>
  </si>
  <si>
    <t>B64.010D4.0531</t>
  </si>
  <si>
    <t>CHIP RES PERC 10 1/10W F 0603 (EF)</t>
  </si>
  <si>
    <t>25        PDR0011595</t>
  </si>
  <si>
    <t>00410</t>
  </si>
  <si>
    <t>CHIP RESISTOR PERCISION 10 1/10W F 0603 CERAMIC (EF)</t>
  </si>
  <si>
    <t>PR85,PR89,PR90,PR91,PR93,PR94,PR95,PR99,PR101,PR102,PR187,PR188,PR192,PR193,PR195,PR196,PR197,PR198,PR203,PR204</t>
  </si>
  <si>
    <t>WR06X10R0FTR</t>
  </si>
  <si>
    <t>2022/10/28 09:09:53.612</t>
  </si>
  <si>
    <t>RC0603FR-0710RP</t>
  </si>
  <si>
    <t>2022/10/28 09:09:53.638</t>
  </si>
  <si>
    <t>FTT0310R0FTP</t>
  </si>
  <si>
    <t>2022/10/28 09:09:53.547</t>
  </si>
  <si>
    <t>RM06FTW10R0</t>
  </si>
  <si>
    <t>2022/10/28 09:09:53.593</t>
  </si>
  <si>
    <t>B64.010D4.0621</t>
  </si>
  <si>
    <t>CHIP RES PERC 10 1/16W F 0402 (EF)</t>
  </si>
  <si>
    <t>36        PDR0011677</t>
  </si>
  <si>
    <t>00420</t>
  </si>
  <si>
    <t>CHIP RESISTOR PERCISION 10 1/16W F 0402 CERAMIC (EF)</t>
  </si>
  <si>
    <t>3</t>
  </si>
  <si>
    <t>PR1029,PR1229,PR1253</t>
  </si>
  <si>
    <t>Teton Prime</t>
  </si>
  <si>
    <t>RM04FTW10R0</t>
  </si>
  <si>
    <t>2023/10/31 03:26:43.074</t>
  </si>
  <si>
    <t>FTT0210R0FTH</t>
  </si>
  <si>
    <t>2023/10/31 03:26:43.042</t>
  </si>
  <si>
    <t>RC0402FR-0710RP</t>
  </si>
  <si>
    <t>2023/10/31 03:26:43.144</t>
  </si>
  <si>
    <t>WR04X10R0FTR</t>
  </si>
  <si>
    <t>2023/10/31 03:26:43.106</t>
  </si>
  <si>
    <t>B64.010K4.0531</t>
  </si>
  <si>
    <t>CHIP RES PERC 10K 1/10W F 0603 (EF)</t>
  </si>
  <si>
    <t>8        DM006858</t>
  </si>
  <si>
    <t>00430</t>
  </si>
  <si>
    <t>CHIP RESISTOR PERCISION 10K 1/10W F 0603 CERAMIC (EF)</t>
  </si>
  <si>
    <t>R1540,R1543</t>
  </si>
  <si>
    <t>RC0603FR-0710KP</t>
  </si>
  <si>
    <t>2024/02/05 08:03:14.003</t>
  </si>
  <si>
    <t>WR06X1002FTR</t>
  </si>
  <si>
    <t>2024/02/05 08:03:13.977</t>
  </si>
  <si>
    <t>RM06FTW1002</t>
  </si>
  <si>
    <t>2024/02/05 08:03:13.957</t>
  </si>
  <si>
    <t>FTT031002FTP</t>
  </si>
  <si>
    <t>2024/02/05 08:03:13.922</t>
  </si>
  <si>
    <t>B64.010K4.0621</t>
  </si>
  <si>
    <t>CHIP RES PERC 10K 1/16W F 0402 (EF)</t>
  </si>
  <si>
    <t>41        PDR0011677</t>
  </si>
  <si>
    <t>00440</t>
  </si>
  <si>
    <t>CHIP RESISTOR PERCISION 10K 1/16W F 0402 CERAMIC (EF)</t>
  </si>
  <si>
    <t>160</t>
  </si>
  <si>
    <t>PR8,PR9,PR29,PR110,PR111,PR130,PR634,PR638,PR680,PR683,PR726,PR727,PR772,PR773,PR818,PR820,PR864,PR866,PR910,PR912,PR956,PR958,PR998,PR1141,PR1143,PR1144,PR1147,PR1149,PR1151,PR1152,PR1158,PR1159,PR1160,PR1162,PR1163,PR1169,PR1170,PR1171,PR1173,PR1174,PR1179,PR1180,PR1181,PR1184,PR1185,PR1190,PR1191,PR1192,PR1194,PR1195,PR1201,PR1202,PR1203,PR1205,PR1206,PR1212,PR1213,PR1214,PR1216,PR1217,PR1223,PR1224,PR1225,R100,R102,R107,R109,R110,R169,R280,R291,R293,R295,R345,R346,R392,R393,R515,R516,R517,R520,R521,R522,R525,R526,R527,R530,R531,R532,R535,R536,R537,R540,R541,R542,R545,R546,R547,R550,R551,R552,R564,R654,R677,R678,R1335,R1340,R1343,R1346,R1353,R1356,R1359,R1361,R1362,R1363,R1364,R1365,R1366,R1367,R1368,R1369,R1370,R1371,R1372,R1373,R1374,R1375,R1376,R1377,R1378,R1379,R1380,R1382,R1387,R1392,R1393,R1402,R1403,R1412,R1413,R1432,R1434,R1438,R1440,R1442,R1444,R1446,R1448,R1450,R1452,R1454,R1461,R1501,R1512,R1518,R1520,R1550,R1551,R1552,R1553</t>
  </si>
  <si>
    <t>RC0402FR-0710KP</t>
  </si>
  <si>
    <t>2022/10/31 06:13:57.542</t>
  </si>
  <si>
    <t>FTT021002FTH</t>
  </si>
  <si>
    <t>2022/10/31 06:13:57.472</t>
  </si>
  <si>
    <t>RM04FTW1002</t>
  </si>
  <si>
    <t>2022/10/31 06:13:57.492</t>
  </si>
  <si>
    <t>WR04X1002FTR</t>
  </si>
  <si>
    <t>2022/10/31 06:13:57.515</t>
  </si>
  <si>
    <t>B64.018K4.0621</t>
  </si>
  <si>
    <t>CHIP RES PERC 18K 1/16W F 0402</t>
  </si>
  <si>
    <t>8        DM006860</t>
  </si>
  <si>
    <t>00450</t>
  </si>
  <si>
    <t>CHIP RESISTOR PERCISION 18K 1/16W F 0402 CERAMIC (EF)</t>
  </si>
  <si>
    <t>R607</t>
  </si>
  <si>
    <t>ES200G2</t>
  </si>
  <si>
    <t>9C1-WYTN;960-WYKS;900-WYHQ;9A1-WYMY;9D1-WYMTN</t>
  </si>
  <si>
    <t>RM04FTW1802</t>
  </si>
  <si>
    <t>OK</t>
  </si>
  <si>
    <t>2023/11/08 01:32:07.670</t>
  </si>
  <si>
    <t>WR04X1802FTR</t>
  </si>
  <si>
    <t>2023/11/08 01:32:07.684</t>
  </si>
  <si>
    <t>RC0402FR-0718KP</t>
  </si>
  <si>
    <t>2023/11/08 01:32:07.705</t>
  </si>
  <si>
    <t>FTT021802FTH</t>
  </si>
  <si>
    <t>2023/11/08 01:32:07.659</t>
  </si>
  <si>
    <t>B64.020K4.0261</t>
  </si>
  <si>
    <t>CHIP RES PERC 20K 1/4W F 1206 (EF)</t>
  </si>
  <si>
    <t>8        DM006861</t>
  </si>
  <si>
    <t>00460</t>
  </si>
  <si>
    <t>CHIP RESISTOR PERCISION 20K 1/4W F 1206 CERAMIC (EF)</t>
  </si>
  <si>
    <t>13</t>
  </si>
  <si>
    <t>R605,R614,R615,R616,R617,R629,R630,R631,R632,R1325,R1326,R1327,R1328</t>
  </si>
  <si>
    <t>FTT062002FTP</t>
  </si>
  <si>
    <t>2023/08/28 02:21:07.690</t>
  </si>
  <si>
    <t>WR12X2002FTR</t>
  </si>
  <si>
    <t>2023/08/28 02:21:07.750</t>
  </si>
  <si>
    <t>RM12FTW2002</t>
  </si>
  <si>
    <t>2023/08/28 02:21:07.731</t>
  </si>
  <si>
    <t>RC1206FR-0720KP</t>
  </si>
  <si>
    <t>2023/08/28 02:21:07.776</t>
  </si>
  <si>
    <t>B64.020K4.0621</t>
  </si>
  <si>
    <t>CHIP RES PERC 20K 1/16W F 0402 (EF)</t>
  </si>
  <si>
    <t>24        PDR0011595</t>
  </si>
  <si>
    <t>00470</t>
  </si>
  <si>
    <t>CHIP RESISTOR PERCISION 20K 1/16W F 0402 CERAMIC (EF)</t>
  </si>
  <si>
    <t>PR5,PR107,PR1254,PR1255</t>
  </si>
  <si>
    <t>912-WYUDE at MX;960-WYKS;900-WYHQ;9A1-WYMY;915-WYMUS;9D1-WYMTN</t>
  </si>
  <si>
    <t>RM04FTW2002</t>
  </si>
  <si>
    <t>2023/11/08 01:30:20.690</t>
  </si>
  <si>
    <t>WR04X2002FTR</t>
  </si>
  <si>
    <t>2023/11/08 01:30:20.710</t>
  </si>
  <si>
    <t>FTT022002FTH</t>
  </si>
  <si>
    <t>2023/11/08 01:30:20.678</t>
  </si>
  <si>
    <t>RC0402FR-0720KP</t>
  </si>
  <si>
    <t>2023/11/08 01:30:20.726</t>
  </si>
  <si>
    <t>B64.021K4.0621</t>
  </si>
  <si>
    <t>CHIP RES PERC 21K 1/16W F 0402 (EF)</t>
  </si>
  <si>
    <t>00480</t>
  </si>
  <si>
    <t>CHIP RESISTOR PERCISION 21K 1/16W F 0402 CERAMIC (EF)</t>
  </si>
  <si>
    <t>PR207</t>
  </si>
  <si>
    <t>FTT022102FTH</t>
  </si>
  <si>
    <t>2024/02/19 03:22:03.019</t>
  </si>
  <si>
    <t>RM04FTW2102</t>
  </si>
  <si>
    <t>2024/02/19 03:22:03.039</t>
  </si>
  <si>
    <t>WR04X2102FTR</t>
  </si>
  <si>
    <t>2024/02/19 03:22:03.067</t>
  </si>
  <si>
    <t>RC0402FR-0721KP</t>
  </si>
  <si>
    <t>2024/02/19 03:22:03.092</t>
  </si>
  <si>
    <t>B64.022D4.0621</t>
  </si>
  <si>
    <t>CHIP RES PERC 22 1/16W F 0402 (EF)</t>
  </si>
  <si>
    <t>35        PDR0011646</t>
  </si>
  <si>
    <t>00490</t>
  </si>
  <si>
    <t>CHIP RESISTOR PERCISION 22 1/16W F 0402 CERAMIC (EF)</t>
  </si>
  <si>
    <t>211</t>
  </si>
  <si>
    <t>PR629,PR630,PR631,PR637,PR670,PR675,PR676,PR677,PR682,PR716,PR721,PR722,PR723,PR730,PR762,PR767,PR768,PR769,PR775,PR808,PR813,PR814,PR815,PR819,PR854,PR859,PR860,PR861,PR865,PR900,PR905,PR906,PR907,PR911,PR946,PR951,PR952,PR953,PR957,PR992,PR997,PR1006,R7,R8,R12,R14,R15,R22,R25,R32,R33,R35,R60,R61,R62,R63,R65,R68,R69,R70,R71,R72,R73,R74,R75,R77,R79,R80,R81,R85,R86,R87,R89,R93,R94,R95,R96,R97,R98,R99,R114,R115,R116,R120,R121,R122,R123,R127,R128,R129,R130,R134,R135,R136,R137,R138,R139,R140,R141,R142,R143,R144,R145,R146,R147,R148,R161,R162,R163,R170,R171,R172,R180,R181,R212,R213,R223,R317,R319,R320,R321,R322,R323,R324,R325,R326,R327,R328,R329,R330,R331,R332,R333,R367,R370,R373,R376,R379,R382,R385,R388,R518,R519,R523,R524,R528,R529,R533,R534,R538,R539,R543,R544,R548,R549,R553,R554,R568,R569,R573,R574,R576,R577,R579,R580,R582,R583,R585,R586,R588,R589,R591,R592,R594,R597,R599,R600,R655,R656,R658,R660,R661,R1341,R1350,R1351,R1354,R1357,R1360,R1383,R1389,R1396,R1397,R1406,R1407,R1416,R1417,R1428,R1429,R1430,R1441,R1443,R1445,R1447,R1449,R1451,R1453,R1455,R1462,R1463,R1472,R1473</t>
  </si>
  <si>
    <t>FTT0222R0FTH</t>
  </si>
  <si>
    <t>2022/10/28 06:23:59.598</t>
  </si>
  <si>
    <t>RM04FTW22R0</t>
  </si>
  <si>
    <t>2022/10/28 06:23:59.640</t>
  </si>
  <si>
    <t>WR04X22R0FTR</t>
  </si>
  <si>
    <t>2022/10/28 06:23:59.666</t>
  </si>
  <si>
    <t>RC0402FR-0722RP</t>
  </si>
  <si>
    <t>2022/10/28 06:23:59.695</t>
  </si>
  <si>
    <t>B64.100D4.0451</t>
  </si>
  <si>
    <t>CHIP RES PERC 100 1/8W F 0805</t>
  </si>
  <si>
    <t>11        PDR0011677</t>
  </si>
  <si>
    <t>00500</t>
  </si>
  <si>
    <t>CHIP RESISTOR PERCISION 100 1/8W F 0805 CERAMIC (EF)</t>
  </si>
  <si>
    <t>R622,R633</t>
  </si>
  <si>
    <t>RC0805FR-07100RP</t>
  </si>
  <si>
    <t>2023/11/03 06:32:09.505</t>
  </si>
  <si>
    <t>RM10FTW1000</t>
  </si>
  <si>
    <t>2023/11/03 06:32:09.437</t>
  </si>
  <si>
    <t>WR08X1000FTR</t>
  </si>
  <si>
    <t>2023/11/03 06:32:09.459</t>
  </si>
  <si>
    <t>FTT051000FTP</t>
  </si>
  <si>
    <t>2023/11/03 06:32:09.413</t>
  </si>
  <si>
    <t>B64.033D4.0531</t>
  </si>
  <si>
    <t>CHIP RES PERC 33 1/10W F 0603 (EF)</t>
  </si>
  <si>
    <t>6        DM006863</t>
  </si>
  <si>
    <t>00510</t>
  </si>
  <si>
    <t>CHIP RESISTOR PERCISION 33 1/10W F 0603 METAL (EF)</t>
  </si>
  <si>
    <t>R613,R628</t>
  </si>
  <si>
    <t>WR06X33R0FTR</t>
  </si>
  <si>
    <t>2023/07/12 05:45:50.437</t>
  </si>
  <si>
    <t>RC0603FR-0733RP</t>
  </si>
  <si>
    <t>2023/07/12 05:45:50.462</t>
  </si>
  <si>
    <t>FTT0333R0FTP</t>
  </si>
  <si>
    <t>2023/07/12 05:45:50.378</t>
  </si>
  <si>
    <t>RM06FTW33R0</t>
  </si>
  <si>
    <t>2023/07/12 05:45:50.406</t>
  </si>
  <si>
    <t>B64.033D4.0621</t>
  </si>
  <si>
    <t>CHIP RES PERC 33 1/16W F 0402 (EF)</t>
  </si>
  <si>
    <t>9        PDR0011677</t>
  </si>
  <si>
    <t>00520</t>
  </si>
  <si>
    <t>CHIP RESISTOR PERCISION 33 1/16W F 0402 CERAMIC (EF)</t>
  </si>
  <si>
    <t>R5,R6,R1330</t>
  </si>
  <si>
    <t>ES100G2</t>
  </si>
  <si>
    <t>FTT0233R0FTH</t>
  </si>
  <si>
    <t>2023/10/12 09:23:03.948</t>
  </si>
  <si>
    <t>RM04FTW33R0</t>
  </si>
  <si>
    <t>2023/10/12 09:23:03.973</t>
  </si>
  <si>
    <t>WR04X33R0FTR</t>
  </si>
  <si>
    <t>2023/10/12 09:23:03.991</t>
  </si>
  <si>
    <t>RC0402FR-0733RP</t>
  </si>
  <si>
    <t>2023/10/12 09:23:04.016</t>
  </si>
  <si>
    <t>B64.047K4.0621</t>
  </si>
  <si>
    <t>CHIP RES PERC 47K 1/16W F 0402</t>
  </si>
  <si>
    <t>9        DM006864</t>
  </si>
  <si>
    <t>00530</t>
  </si>
  <si>
    <t>CHIP RESISTOR PERCISION 47K 1/16W F 0402 CERAMIC (EF)</t>
  </si>
  <si>
    <t>R334</t>
  </si>
  <si>
    <t>WR04X4702FTR</t>
  </si>
  <si>
    <t>2023/11/01 01:25:32.698</t>
  </si>
  <si>
    <t>RM04FTW4702</t>
  </si>
  <si>
    <t>2023/11/01 01:25:32.669</t>
  </si>
  <si>
    <t>FTT024702FTH</t>
  </si>
  <si>
    <t>2023/11/01 01:25:32.650</t>
  </si>
  <si>
    <t>RC0402FR-0747KP</t>
  </si>
  <si>
    <t>2023/11/01 01:25:32.716</t>
  </si>
  <si>
    <t>B64.075K4.0621</t>
  </si>
  <si>
    <t>CHIP RES PERC 75K 1/16W F 0402</t>
  </si>
  <si>
    <t>21        PDR0011587</t>
  </si>
  <si>
    <t>00540</t>
  </si>
  <si>
    <t>CHIP RESISTOR PERCISION 75K 1/16W F 0402 CERAMIC (EF)</t>
  </si>
  <si>
    <t>PR639,PR640,PR685,PR686,PR731,PR732,PR777,PR778,PR823,PR824,PR869,PR870,PR915,PR916,PR961,PR962</t>
  </si>
  <si>
    <t>FTT027502FTH</t>
  </si>
  <si>
    <t>2022/10/28 08:52:52.276</t>
  </si>
  <si>
    <t>RM04FTW7502</t>
  </si>
  <si>
    <t>2022/10/28 08:52:52.360</t>
  </si>
  <si>
    <t>WR04X7502FTR</t>
  </si>
  <si>
    <t>2022/10/28 08:52:52.388</t>
  </si>
  <si>
    <t>RC0402FR-0775KP</t>
  </si>
  <si>
    <t>2022/10/28 08:52:52.418</t>
  </si>
  <si>
    <t>B64.100D4.0261</t>
  </si>
  <si>
    <t>CHIP RES PERC 100 1/4W F 1206</t>
  </si>
  <si>
    <t>6        DM006865</t>
  </si>
  <si>
    <t>00550</t>
  </si>
  <si>
    <t>CHIP RESISTOR PERCISION 100 1/4W F 1206 CERAMIC (EF)</t>
  </si>
  <si>
    <t>PR84,PR185</t>
  </si>
  <si>
    <t>FTT061000FTP</t>
  </si>
  <si>
    <t>2024/02/05 07:11:26.205</t>
  </si>
  <si>
    <t>RM12FTW1000</t>
  </si>
  <si>
    <t>2024/02/05 07:11:26.233</t>
  </si>
  <si>
    <t>WR12X1000FTR</t>
  </si>
  <si>
    <t>2024/02/05 07:11:26.260</t>
  </si>
  <si>
    <t>RC1206FR-07100RP</t>
  </si>
  <si>
    <t>2024/02/05 07:11:26.282</t>
  </si>
  <si>
    <t>B64.100D4.0531</t>
  </si>
  <si>
    <t>CHIP RES PERC 100 1/10W F 0603</t>
  </si>
  <si>
    <t>24        PDR0011646</t>
  </si>
  <si>
    <t>00560</t>
  </si>
  <si>
    <t>CHIP RESISTOR PERCISION 100 1/10W F 0603 CERAMIC (EF)</t>
  </si>
  <si>
    <t>R610,R625</t>
  </si>
  <si>
    <t>WR06X1000FTR</t>
  </si>
  <si>
    <t>2022/10/28 09:35:21.897</t>
  </si>
  <si>
    <t>RC0603FR-07100RP</t>
  </si>
  <si>
    <t>2022/10/28 09:35:21.925</t>
  </si>
  <si>
    <t>FTT031000FTP</t>
  </si>
  <si>
    <t>2022/10/28 09:35:21.825</t>
  </si>
  <si>
    <t>RM06FTW1000</t>
  </si>
  <si>
    <t>2022/10/28 09:35:21.866</t>
  </si>
  <si>
    <t>B64.100D4.0621</t>
  </si>
  <si>
    <t>CHIP RES PERC 100 1/16W F 0402</t>
  </si>
  <si>
    <t>37        PDR0011677</t>
  </si>
  <si>
    <t>00570</t>
  </si>
  <si>
    <t>CHIP RESISTOR PERCISION 100 1/16W F 0402 CERAMIC (EF)</t>
  </si>
  <si>
    <t>R575</t>
  </si>
  <si>
    <t>FTT021000FTH</t>
  </si>
  <si>
    <t>2023/10/27 05:19:01.135</t>
  </si>
  <si>
    <t>RM04FTW1000</t>
  </si>
  <si>
    <t>2023/10/27 05:19:01.180</t>
  </si>
  <si>
    <t>WR04X1000FTR</t>
  </si>
  <si>
    <t>2023/10/27 05:19:01.223</t>
  </si>
  <si>
    <t>RC0402FR-07100RP</t>
  </si>
  <si>
    <t>2023/10/27 05:19:01.249</t>
  </si>
  <si>
    <t>B64.100K4.0451</t>
  </si>
  <si>
    <t>CHIP RES PERC 100K 1/8W F 0805</t>
  </si>
  <si>
    <t>00580</t>
  </si>
  <si>
    <t>CHIP RESISTOR PERCISION 100K 1/8W F 0805 CERAMIC (EF)</t>
  </si>
  <si>
    <t>PR87,PR190</t>
  </si>
  <si>
    <t>RC0805FR-07100KP</t>
  </si>
  <si>
    <t>2024/02/05 07:28:44.302</t>
  </si>
  <si>
    <t>WR08X1003FTR</t>
  </si>
  <si>
    <t>2024/02/05 07:28:44.285</t>
  </si>
  <si>
    <t>RM10FTW1003</t>
  </si>
  <si>
    <t>2024/02/05 07:28:44.252</t>
  </si>
  <si>
    <t>FTT051003FTP</t>
  </si>
  <si>
    <t>2024/02/05 07:28:44.211</t>
  </si>
  <si>
    <t>B64.100K4.0531</t>
  </si>
  <si>
    <t>CHIP RES PERC 100K 1/10W F 0603</t>
  </si>
  <si>
    <t>8        DM006865</t>
  </si>
  <si>
    <t>00590</t>
  </si>
  <si>
    <t>CHIP RESISTOR PERCISION 100K 1/10W F 0603 CERAMIC (EF)</t>
  </si>
  <si>
    <t>PR24,PR25,PR27,PR96,PR97,PR98,PR123,PR128,PR129,PR199,PR200,PR201,R9,R664,R665,R666</t>
  </si>
  <si>
    <t>KOLUMBO-P</t>
  </si>
  <si>
    <t>WR06X1003FTR</t>
  </si>
  <si>
    <t>2023/11/03 07:06:23.851</t>
  </si>
  <si>
    <t>RC0603FR-07100KP</t>
  </si>
  <si>
    <t>2023/11/03 07:06:23.876</t>
  </si>
  <si>
    <t>FTT031003FTP</t>
  </si>
  <si>
    <t>2023/11/03 07:06:23.801</t>
  </si>
  <si>
    <t>RM06FTW1003</t>
  </si>
  <si>
    <t>2023/11/03 07:06:23.823</t>
  </si>
  <si>
    <t>B64.100K4.0621</t>
  </si>
  <si>
    <t>CHIP RES PERC 100K 1/16W F 0402</t>
  </si>
  <si>
    <t>32        PDR0011677</t>
  </si>
  <si>
    <t>00600</t>
  </si>
  <si>
    <t>CHIP RESISTOR PERCISION 100K 1/16W F 0402 CERAMIC (EF)</t>
  </si>
  <si>
    <t>21</t>
  </si>
  <si>
    <t>PR2,PR105,PR646,PR692,PR738,PR784,PR830,PR876,PR922,PR968,PR999,PR1002,R279,R1385,R1390,R1398,R1399,R1408,R1409,R1418,R1419</t>
  </si>
  <si>
    <t>RM04FTW1003</t>
  </si>
  <si>
    <t>2023/05/05 07:48:36.479</t>
  </si>
  <si>
    <t>FTT021003FTH</t>
  </si>
  <si>
    <t>2023/05/05 07:48:36.443</t>
  </si>
  <si>
    <t>RC0402FR-07100KP</t>
  </si>
  <si>
    <t>2023/05/05 07:48:36.721</t>
  </si>
  <si>
    <t>WR04X1003FTR</t>
  </si>
  <si>
    <t>2023/05/05 07:48:36.681</t>
  </si>
  <si>
    <t>B64.107K4.0621</t>
  </si>
  <si>
    <t>CHIP RES PERC 107K 1/16W F 0402</t>
  </si>
  <si>
    <t>4        DM006866</t>
  </si>
  <si>
    <t>00610</t>
  </si>
  <si>
    <t>CHIP RESISTOR PERCISION 107K 1/16W F 0402 CERAMIC</t>
  </si>
  <si>
    <t>PR995</t>
  </si>
  <si>
    <t>RM04FTW1073</t>
  </si>
  <si>
    <t>2023/11/02 07:06:18.556</t>
  </si>
  <si>
    <t>RC0402FR-07107KP</t>
  </si>
  <si>
    <t>2023/11/02 07:06:18.590</t>
  </si>
  <si>
    <t>FTT021073FTH</t>
  </si>
  <si>
    <t>2023/11/02 07:06:18.533</t>
  </si>
  <si>
    <t>WR04X1073FTR</t>
  </si>
  <si>
    <t>2023/11/02 07:06:18.570</t>
  </si>
  <si>
    <t>B64.120D4.0621</t>
  </si>
  <si>
    <t>CHIP RES PERC 120 1/16W F 0402</t>
  </si>
  <si>
    <t>6        DM006867</t>
  </si>
  <si>
    <t>00620</t>
  </si>
  <si>
    <t>CHIP RESISTOR PERCISION 120 1/16W F 0402 CERAMIC (EF)</t>
  </si>
  <si>
    <t>R578</t>
  </si>
  <si>
    <t>RC0402FR-07120RP</t>
  </si>
  <si>
    <t>2023/11/08 01:02:59.823</t>
  </si>
  <si>
    <t>WR04X1200FTR</t>
  </si>
  <si>
    <t>2023/11/08 01:02:59.802</t>
  </si>
  <si>
    <t>RM04FTW1200</t>
  </si>
  <si>
    <t>2023/11/08 01:02:59.779</t>
  </si>
  <si>
    <t>FTT021200FTH</t>
  </si>
  <si>
    <t>2023/11/08 01:02:59.750</t>
  </si>
  <si>
    <t>B64.120K4.0621</t>
  </si>
  <si>
    <t>CHIP RES PERC 120K 1/16W F 0402</t>
  </si>
  <si>
    <t>13        DM006868</t>
  </si>
  <si>
    <t>00630</t>
  </si>
  <si>
    <t>CHIP RESISTOR PERCISION 120K 1/16W F 0402 CERAMIC (EF)</t>
  </si>
  <si>
    <t>PR642,PR659,PR688,PR705,PR734,PR751,PR780,PR797,PR826,PR843,PR872,PR889,PR918,PR935,PR964,PR981</t>
  </si>
  <si>
    <t>RC0402FR-07120KP</t>
  </si>
  <si>
    <t>2022/10/31 06:14:32.246</t>
  </si>
  <si>
    <t>FTT021203FTH</t>
  </si>
  <si>
    <t>2022/10/31 06:14:32.166</t>
  </si>
  <si>
    <t>RM04FTW1203</t>
  </si>
  <si>
    <t>2022/10/31 06:14:32.191</t>
  </si>
  <si>
    <t>WR04X1203FTR</t>
  </si>
  <si>
    <t>2022/10/31 06:14:32.217</t>
  </si>
  <si>
    <t>B64.12K44.0621</t>
  </si>
  <si>
    <t>CHIP RES PERC 12.4K 1/16W F 0402</t>
  </si>
  <si>
    <t>6        DM006868</t>
  </si>
  <si>
    <t>00640</t>
  </si>
  <si>
    <t>CHIP RESISTOR PERCISION 12.4K 1/16W F 0402 CERAMIC (EF)</t>
  </si>
  <si>
    <t>R54</t>
  </si>
  <si>
    <t>WR04X1242FTR</t>
  </si>
  <si>
    <t>2023/11/02 06:41:41.340</t>
  </si>
  <si>
    <t>RC0402FR-0712K4P</t>
  </si>
  <si>
    <t>2023/11/02 06:41:41.360</t>
  </si>
  <si>
    <t>FTT021242FTH</t>
  </si>
  <si>
    <t>2023/11/02 06:41:41.298</t>
  </si>
  <si>
    <t>RM04FTW1242</t>
  </si>
  <si>
    <t>2023/11/02 06:41:41.320</t>
  </si>
  <si>
    <t>B64.150D4.0621</t>
  </si>
  <si>
    <t>CHIP RES PERC 150 1/16W F 0402</t>
  </si>
  <si>
    <t>20        PDR0011617</t>
  </si>
  <si>
    <t>00650</t>
  </si>
  <si>
    <t>CHIP RESISTOR PERCISION 150 1/16W F 0402 CERAMIC (EF)</t>
  </si>
  <si>
    <t>R581,R590</t>
  </si>
  <si>
    <t>RC0402FR-07150RP</t>
  </si>
  <si>
    <t>2023/11/21 01:05:10.827</t>
  </si>
  <si>
    <t>WR04X1500FTR</t>
  </si>
  <si>
    <t>2023/11/21 01:05:10.807</t>
  </si>
  <si>
    <t>RM04FTW1500</t>
  </si>
  <si>
    <t>2023/11/21 01:05:10.788</t>
  </si>
  <si>
    <t>FTT021500FTH</t>
  </si>
  <si>
    <t>2023/11/21 01:05:10.735</t>
  </si>
  <si>
    <t>B64.150K4.0621</t>
  </si>
  <si>
    <t>CHIP RES PERC 150K 1/16W F 0402</t>
  </si>
  <si>
    <t>17        PDR0011587</t>
  </si>
  <si>
    <t>00660</t>
  </si>
  <si>
    <t>CHIP RESISTOR PERCISION 150K 1/16W F 0402 CERAMIC (EF)</t>
  </si>
  <si>
    <t>R621,R637</t>
  </si>
  <si>
    <t>RC0402FR-07150KP</t>
  </si>
  <si>
    <t>2023/11/08 01:30:20.466</t>
  </si>
  <si>
    <t>RM04FTW1503</t>
  </si>
  <si>
    <t>2023/11/08 01:30:20.437</t>
  </si>
  <si>
    <t>WR04X1503FTR</t>
  </si>
  <si>
    <t>2023/11/08 01:30:20.453</t>
  </si>
  <si>
    <t>FTT021503FTH</t>
  </si>
  <si>
    <t>2023/11/08 01:30:20.419</t>
  </si>
  <si>
    <t>B64.160D4.0621</t>
  </si>
  <si>
    <t>CHIP RES PERC 160 1/16W F 0402</t>
  </si>
  <si>
    <t>4        DM006871</t>
  </si>
  <si>
    <t>00670</t>
  </si>
  <si>
    <t>CHIP RESISTOR PERCISION 160 1/16W F 0402 CERAMIC</t>
  </si>
  <si>
    <t>R313</t>
  </si>
  <si>
    <t>RM04FTW1600</t>
  </si>
  <si>
    <t>2023/09/25 05:26:49.263</t>
  </si>
  <si>
    <t>RC0402FR-07160RP</t>
  </si>
  <si>
    <t>2023/09/25 05:26:49.322</t>
  </si>
  <si>
    <t>WR04X1600FTR</t>
  </si>
  <si>
    <t>2023/09/25 05:26:49.292</t>
  </si>
  <si>
    <t>FTT021600FTH</t>
  </si>
  <si>
    <t>2023/09/25 05:26:49.238</t>
  </si>
  <si>
    <t>B64.16K94.0621</t>
  </si>
  <si>
    <t>CHIP RES PERC 16.9K 1/16W F 0402</t>
  </si>
  <si>
    <t>23        PDR0011595</t>
  </si>
  <si>
    <t>00680</t>
  </si>
  <si>
    <t>CHIP RESISTOR PERCISION 16.9K 1/16W F 0402 CERAMIC</t>
  </si>
  <si>
    <t>PR208,PR230,PR243,PR265,PR636,PR681,PR729,PR774,PR822,PR868,PR914,PR960</t>
  </si>
  <si>
    <t>FTT021692FTH</t>
  </si>
  <si>
    <t>2022/10/31 06:14:45.990</t>
  </si>
  <si>
    <t>RM04FTW1692</t>
  </si>
  <si>
    <t>2022/10/31 06:14:46.013</t>
  </si>
  <si>
    <t>WR04X1692FTR</t>
  </si>
  <si>
    <t>2022/10/31 06:14:46.034</t>
  </si>
  <si>
    <t>RC0402FR-0716K9P</t>
  </si>
  <si>
    <t>2022/10/31 06:14:46.058</t>
  </si>
  <si>
    <t>B64.180K4.0621</t>
  </si>
  <si>
    <t>CHIP RES PERC 180K 1/16W F 0402</t>
  </si>
  <si>
    <t>8        DM006873</t>
  </si>
  <si>
    <t>00690</t>
  </si>
  <si>
    <t>CHIP RESISTOR PERCISION 180K 1/16W F 0402 CERAMIC (EF)</t>
  </si>
  <si>
    <t>R1339,R1352</t>
  </si>
  <si>
    <t>WR04X1803FTR</t>
  </si>
  <si>
    <t>2023/09/28 01:55:57.588</t>
  </si>
  <si>
    <t>RC0402FR-07180KP</t>
  </si>
  <si>
    <t>2023/09/28 01:55:57.606</t>
  </si>
  <si>
    <t>FTT021803FTH</t>
  </si>
  <si>
    <t>2023/09/28 01:55:57.531</t>
  </si>
  <si>
    <t>RM04FTW1803</t>
  </si>
  <si>
    <t>2023/09/28 01:55:57.558</t>
  </si>
  <si>
    <t>B64.19K64.0621</t>
  </si>
  <si>
    <t>CHIP RES PERC 19.6K 1/16W F 0402</t>
  </si>
  <si>
    <t>4        DM006875</t>
  </si>
  <si>
    <t>00700</t>
  </si>
  <si>
    <t>CHIP RESISTOR PERCISION 19.6K 1/16W F 0402 CERAMIC</t>
  </si>
  <si>
    <t>R55</t>
  </si>
  <si>
    <t>RM04FTW1962</t>
  </si>
  <si>
    <t>2024/02/05 10:40:10.133</t>
  </si>
  <si>
    <t>FTT021962FTH</t>
  </si>
  <si>
    <t>2024/02/05 10:40:10.106</t>
  </si>
  <si>
    <t>RC0402FR-0719K6P</t>
  </si>
  <si>
    <t>2024/02/05 10:40:10.182</t>
  </si>
  <si>
    <t>WR04X1962FTR</t>
  </si>
  <si>
    <t>2024/02/05 10:40:10.161</t>
  </si>
  <si>
    <t>B64.1K374.0621</t>
  </si>
  <si>
    <t>CHIP RES PERC 1.37K 1/16W F 0402</t>
  </si>
  <si>
    <t>9        DM006875</t>
  </si>
  <si>
    <t>00710</t>
  </si>
  <si>
    <t>CHIP RESISTOR PERCISION 1.37K 1/16W F 0402 CERAMIC (EF)</t>
  </si>
  <si>
    <t>R349,R350</t>
  </si>
  <si>
    <t>WR04X1371FTR</t>
  </si>
  <si>
    <t>2024/01/08 06:39:05.711</t>
  </si>
  <si>
    <t>RC0402FR-071K37P</t>
  </si>
  <si>
    <t>2024/01/08 06:39:05.750</t>
  </si>
  <si>
    <t>FTT021371FTH</t>
  </si>
  <si>
    <t>2024/01/08 06:39:05.629</t>
  </si>
  <si>
    <t>RM04FTW1371</t>
  </si>
  <si>
    <t>2024/01/08 06:39:05.665</t>
  </si>
  <si>
    <t>B64.1K504.0621</t>
  </si>
  <si>
    <t>CHIP RES PERC 1.5K 1/16W F 0402 (EF)</t>
  </si>
  <si>
    <t>8        DM006877</t>
  </si>
  <si>
    <t>00720</t>
  </si>
  <si>
    <t>CHIP RESISTOR PERCISION 1.5K 1/16W F 0402 CERAMIC (EF)</t>
  </si>
  <si>
    <t>R618,R634</t>
  </si>
  <si>
    <t>RM04FTW1501</t>
  </si>
  <si>
    <t>2023/11/01 01:16:27.850</t>
  </si>
  <si>
    <t>FTT021501FTH</t>
  </si>
  <si>
    <t>2023/11/01 01:16:27.823</t>
  </si>
  <si>
    <t>RC0402FR-071K5P</t>
  </si>
  <si>
    <t>2023/11/01 01:16:27.893</t>
  </si>
  <si>
    <t>WR04X1501FTR</t>
  </si>
  <si>
    <t>2023/11/01 01:16:27.870</t>
  </si>
  <si>
    <t>B64.1K694.0531</t>
  </si>
  <si>
    <t>CHIP RES PERC 1.69K 1/10W F 0603</t>
  </si>
  <si>
    <t>5        DM006877</t>
  </si>
  <si>
    <t>00730</t>
  </si>
  <si>
    <t>CHIP RESISTOR PERCISION 1.69K 1/10W F 0603 CERAMIC</t>
  </si>
  <si>
    <t>R353,R356</t>
  </si>
  <si>
    <t>WR06X1691FTR</t>
  </si>
  <si>
    <t>2023/12/01 08:52:51.852</t>
  </si>
  <si>
    <t>RM06FTW1691</t>
  </si>
  <si>
    <t>2023/12/01 08:52:51.831</t>
  </si>
  <si>
    <t>FTT031691FTP</t>
  </si>
  <si>
    <t>2023/12/01 08:52:51.768</t>
  </si>
  <si>
    <t>RC0603FR-071K69P</t>
  </si>
  <si>
    <t>2023/12/01 08:52:51.898</t>
  </si>
  <si>
    <t>B64.1K964.0621</t>
  </si>
  <si>
    <t>CHIP RES PERC 1.96K 1/16W F 0402 (EF)</t>
  </si>
  <si>
    <t>5        DM006879</t>
  </si>
  <si>
    <t>00740</t>
  </si>
  <si>
    <t>CHIP RESISTOR PERCISION 1.96K 1/16W F 0402 CERAMIC (EF)</t>
  </si>
  <si>
    <t>R1381</t>
  </si>
  <si>
    <t>FTT021961FTH</t>
  </si>
  <si>
    <t>2024/07/18 10:17:31.072</t>
  </si>
  <si>
    <t>RM04FTW1961</t>
  </si>
  <si>
    <t>2024/07/18 10:17:31.103</t>
  </si>
  <si>
    <t>WR04X1961FTR</t>
  </si>
  <si>
    <t>2024/07/18 10:17:31.135</t>
  </si>
  <si>
    <t>RC0402FR-071K96P</t>
  </si>
  <si>
    <t>2024/07/18 10:17:31.166</t>
  </si>
  <si>
    <t>B64.200K4.0621</t>
  </si>
  <si>
    <t>CHIP RES PERC 200K 1/16W F 0402</t>
  </si>
  <si>
    <t>23        PDR0011646</t>
  </si>
  <si>
    <t>00750</t>
  </si>
  <si>
    <t>CHIP RESISTOR PERCISION 200K 1/16W F 0402 CERAMIC (EF)</t>
  </si>
  <si>
    <t>R1499,R1519</t>
  </si>
  <si>
    <t>FTT022003FTH</t>
  </si>
  <si>
    <t>2023/04/26 08:48:58.355</t>
  </si>
  <si>
    <t>RC0402FR-07200KP</t>
  </si>
  <si>
    <t>2023/04/26 08:48:58.438</t>
  </si>
  <si>
    <t>WR04X2003FTR</t>
  </si>
  <si>
    <t>2023/04/26 08:48:58.408</t>
  </si>
  <si>
    <t>RM04FTW2003</t>
  </si>
  <si>
    <t>2023/04/26 08:48:58.378</t>
  </si>
  <si>
    <t>B64.220D4.0621</t>
  </si>
  <si>
    <t>CHIP RES PERC 220 1/16W F 0402</t>
  </si>
  <si>
    <t>9        DM006881</t>
  </si>
  <si>
    <t>00760</t>
  </si>
  <si>
    <t>CHIP RESISTOR PERCISION 220 1/16W F 0402 CERAMIC (EF)</t>
  </si>
  <si>
    <t>R182,R183,R185</t>
  </si>
  <si>
    <t>RC0402FR-07220RP</t>
  </si>
  <si>
    <t>2023/11/02 09:45:03.821</t>
  </si>
  <si>
    <t>RM04FTW2200</t>
  </si>
  <si>
    <t>2023/11/02 09:45:03.782</t>
  </si>
  <si>
    <t>WR04X2200FTR</t>
  </si>
  <si>
    <t>2023/11/02 09:45:03.802</t>
  </si>
  <si>
    <t>FTT022200FTH</t>
  </si>
  <si>
    <t>2023/11/02 09:45:03.759</t>
  </si>
  <si>
    <t>B64.240D4.0621</t>
  </si>
  <si>
    <t>CHIP RES PERC 240 1/16W F 0402</t>
  </si>
  <si>
    <t>7        DM008947</t>
  </si>
  <si>
    <t>00770</t>
  </si>
  <si>
    <t>CHIP RESISTOR PERCISION 240 1/16W F 0402 CERAMIC (EF)</t>
  </si>
  <si>
    <t>R619,R635</t>
  </si>
  <si>
    <t>Teton</t>
  </si>
  <si>
    <t>RC0402FR-07240RP</t>
  </si>
  <si>
    <t>2023/11/02 03:39:34.557</t>
  </si>
  <si>
    <t>RM04FTW2400</t>
  </si>
  <si>
    <t>2023/11/02 03:39:34.504</t>
  </si>
  <si>
    <t>WR04X2400FTR</t>
  </si>
  <si>
    <t>2023/11/02 03:39:34.533</t>
  </si>
  <si>
    <t>FTT022400FTH</t>
  </si>
  <si>
    <t>2023/11/02 03:39:34.475</t>
  </si>
  <si>
    <t>B64.27K44.0621</t>
  </si>
  <si>
    <t>CHIP RES PERC 27.4K 1/16W F 0402</t>
  </si>
  <si>
    <t>10        DM006886</t>
  </si>
  <si>
    <t>00780</t>
  </si>
  <si>
    <t>CHIP RESISTOR PERCISION 27.4K 1/16W F 0402 CERAMIC (EF)</t>
  </si>
  <si>
    <t>PR1026</t>
  </si>
  <si>
    <t>NEAH</t>
  </si>
  <si>
    <t>RM04FTW2742</t>
  </si>
  <si>
    <t>2023/12/21 00:39:14.962</t>
  </si>
  <si>
    <t>RC0402FR-0727K4P</t>
  </si>
  <si>
    <t>2023/12/21 00:39:14.990</t>
  </si>
  <si>
    <t>FTT022742FTH</t>
  </si>
  <si>
    <t>2023/12/21 00:39:14.949</t>
  </si>
  <si>
    <t>WR04X2742FTR</t>
  </si>
  <si>
    <t>2023/12/21 00:39:14.976</t>
  </si>
  <si>
    <t>B64.2D204.0621</t>
  </si>
  <si>
    <t>CHIP RES PERC 2.2 1/16W F 0402</t>
  </si>
  <si>
    <t>00790</t>
  </si>
  <si>
    <t>CHIP RESISTOR PERCISION 2.2 1/16W F 0402 CERAMIC (EF)</t>
  </si>
  <si>
    <t>PR1030</t>
  </si>
  <si>
    <t>FTT022R20FTH</t>
  </si>
  <si>
    <t>2022/10/28 08:53:54.575</t>
  </si>
  <si>
    <t>RM04FTW2R20</t>
  </si>
  <si>
    <t>2022/10/28 08:53:54.613</t>
  </si>
  <si>
    <t>WR04W2R20FTR</t>
  </si>
  <si>
    <t>2022/10/28 08:53:54.644</t>
  </si>
  <si>
    <t>RC0402FR-072R2P</t>
  </si>
  <si>
    <t>2022/10/28 08:53:54.672</t>
  </si>
  <si>
    <t>B64.2K404.0621</t>
  </si>
  <si>
    <t>CHIP RES PERC 2.4K 1/16W F 0402</t>
  </si>
  <si>
    <t>11        DM006889</t>
  </si>
  <si>
    <t>00800</t>
  </si>
  <si>
    <t>CHIP RESISTOR PERCISION 2.4K 1/16W F 0402 CERAMIC (EF)</t>
  </si>
  <si>
    <t>R46</t>
  </si>
  <si>
    <t>RC0402FR-072K4P</t>
  </si>
  <si>
    <t>2023/11/16 03:14:57.030</t>
  </si>
  <si>
    <t>FTT022401FTH</t>
  </si>
  <si>
    <t>2023/11/16 03:14:56.953</t>
  </si>
  <si>
    <t>WR04X2401FTR</t>
  </si>
  <si>
    <t>2023/11/16 03:14:57.002</t>
  </si>
  <si>
    <t>RM04FTW2401</t>
  </si>
  <si>
    <t>2023/11/16 03:14:56.985</t>
  </si>
  <si>
    <t>B64.2K494.0621</t>
  </si>
  <si>
    <t>CHIP RES PERC 2.49K 1/16W F 0402</t>
  </si>
  <si>
    <t>23        PDR0011677</t>
  </si>
  <si>
    <t>00810</t>
  </si>
  <si>
    <t>CHIP RESISTOR PERCISION 2.49K 1/16W F 0402 CERAMIC (EF)</t>
  </si>
  <si>
    <t>PR1000</t>
  </si>
  <si>
    <t>FTT022491FTH</t>
  </si>
  <si>
    <t>2022/10/31 05:52:45.208</t>
  </si>
  <si>
    <t>RM04FTW2491</t>
  </si>
  <si>
    <t>2022/10/31 05:52:45.237</t>
  </si>
  <si>
    <t>WR04X2491FTR</t>
  </si>
  <si>
    <t>2022/10/31 05:52:45.258</t>
  </si>
  <si>
    <t>RC0402FR-072K49P</t>
  </si>
  <si>
    <t>2022/10/31 05:52:45.286</t>
  </si>
  <si>
    <t>B64.2K554.0621</t>
  </si>
  <si>
    <t>CHIP RES PERC 2.55K 1/16W F 0402</t>
  </si>
  <si>
    <t>6        DM006889</t>
  </si>
  <si>
    <t>00820</t>
  </si>
  <si>
    <t>CHIP RESISTOR PERCISION 2.55K 1/16W F 0402 CERAMIC (EF)</t>
  </si>
  <si>
    <t>PR92,PR194,R351,R352,R354,R355</t>
  </si>
  <si>
    <t>RC0402FR-072K55P</t>
  </si>
  <si>
    <t>2023/10/03 07:38:10.347</t>
  </si>
  <si>
    <t>WR04X2551FTR</t>
  </si>
  <si>
    <t>2023/10/03 07:38:10.322</t>
  </si>
  <si>
    <t>RM04FTW2551</t>
  </si>
  <si>
    <t>2023/10/03 07:38:10.303</t>
  </si>
  <si>
    <t>FTT022551FTH</t>
  </si>
  <si>
    <t>2023/10/03 07:38:10.247</t>
  </si>
  <si>
    <t>B64.2K674.0621</t>
  </si>
  <si>
    <t>CHIP RES PERC 2.67K 1/16W F 0402</t>
  </si>
  <si>
    <t>9        DM006889</t>
  </si>
  <si>
    <t>00830</t>
  </si>
  <si>
    <t>CHIP RESISTOR PERCISION 2.67K 1/16W F 0402 CERAMIC (EF)</t>
  </si>
  <si>
    <t>PR1028</t>
  </si>
  <si>
    <t>RC0402FR-072K67P</t>
  </si>
  <si>
    <t>2022/10/28 07:01:33.981</t>
  </si>
  <si>
    <t>FTT022671FTH</t>
  </si>
  <si>
    <t>2022/10/28 07:01:33.892</t>
  </si>
  <si>
    <t>RM04FTW2671</t>
  </si>
  <si>
    <t>2022/10/28 07:01:33.936</t>
  </si>
  <si>
    <t>WR04X2671FTR</t>
  </si>
  <si>
    <t>2022/10/28 07:01:33.955</t>
  </si>
  <si>
    <t>B64.32K44.0621</t>
  </si>
  <si>
    <t>CHIP RES PERC 32.4K 1/16W F 0402</t>
  </si>
  <si>
    <t>11        DM006894</t>
  </si>
  <si>
    <t>00840</t>
  </si>
  <si>
    <t>CHIP RESISTOR PERCISION 32.4K 1/16W F 0402 CERAMIC (EF)</t>
  </si>
  <si>
    <t>PR1001</t>
  </si>
  <si>
    <t>FTT023242FTH</t>
  </si>
  <si>
    <t>2023/10/27 06:08:45.839</t>
  </si>
  <si>
    <t>RM04FTW3242</t>
  </si>
  <si>
    <t>2023/10/27 06:08:45.869</t>
  </si>
  <si>
    <t>WR04X3242FTR</t>
  </si>
  <si>
    <t>2023/10/27 06:08:45.894</t>
  </si>
  <si>
    <t>RC0402FR-0732K4P</t>
  </si>
  <si>
    <t>2023/10/27 06:08:45.939</t>
  </si>
  <si>
    <t>B64.332K4.0621</t>
  </si>
  <si>
    <t>CHIP RES PERC 332K 1/16W F 0402</t>
  </si>
  <si>
    <t>8        DM006894</t>
  </si>
  <si>
    <t>00850</t>
  </si>
  <si>
    <t>CHIP RESISTOR PERCISION 332K 1/16W F 0402 CERAMIC (EF)</t>
  </si>
  <si>
    <t>PR996</t>
  </si>
  <si>
    <t>RC0402FR-07332KP</t>
  </si>
  <si>
    <t>2024/03/05 08:53:03.063</t>
  </si>
  <si>
    <t>WR04X3323FTR</t>
  </si>
  <si>
    <t>2024/03/05 08:53:03.042</t>
  </si>
  <si>
    <t>RM04FTW3323</t>
  </si>
  <si>
    <t>2024/03/05 08:53:03.015</t>
  </si>
  <si>
    <t>FTT023323FTH</t>
  </si>
  <si>
    <t>2024/03/05 08:53:02.983</t>
  </si>
  <si>
    <t>B64.33K24.0621</t>
  </si>
  <si>
    <t>CHIP RES PERC 33.2K 1/16W F 0402</t>
  </si>
  <si>
    <t>10        DM006894</t>
  </si>
  <si>
    <t>00860</t>
  </si>
  <si>
    <t>CHIP RESISTOR PERCISION 33.2K 1/16W F 0402 CERAMIC (EF)</t>
  </si>
  <si>
    <t>PR1252</t>
  </si>
  <si>
    <t>FTT023322FTH</t>
  </si>
  <si>
    <t>2023/11/08 01:32:07.541</t>
  </si>
  <si>
    <t>RC0402FR-0733K2P</t>
  </si>
  <si>
    <t>2023/11/08 01:32:07.585</t>
  </si>
  <si>
    <t>RM04FTW3322</t>
  </si>
  <si>
    <t>2023/11/08 01:32:07.553</t>
  </si>
  <si>
    <t>WR04X3322FTR</t>
  </si>
  <si>
    <t>2023/11/08 01:32:07.568</t>
  </si>
  <si>
    <t>B64.35K74.0621</t>
  </si>
  <si>
    <t>CHIP RES PERC 35.7K 1/16W F 0402</t>
  </si>
  <si>
    <t>5        DM006896</t>
  </si>
  <si>
    <t>00870</t>
  </si>
  <si>
    <t>CHIP RESISTOR PERCISION 35.7K 1/16W F 0402 CERAMIC</t>
  </si>
  <si>
    <t>PR229</t>
  </si>
  <si>
    <t>FTT023572FTH</t>
  </si>
  <si>
    <t>2023/10/27 08:26:45.073</t>
  </si>
  <si>
    <t>RM04FTW3572</t>
  </si>
  <si>
    <t>2023/10/27 08:26:45.107</t>
  </si>
  <si>
    <t>RC0402FR-0735K7P</t>
  </si>
  <si>
    <t>2023/10/27 08:26:45.171</t>
  </si>
  <si>
    <t>WR04X3572FTR</t>
  </si>
  <si>
    <t>2023/10/27 08:26:45.148</t>
  </si>
  <si>
    <t>B64.36K54.0621</t>
  </si>
  <si>
    <t>CHIP RES PERC 36.5K 1/16W F 0402</t>
  </si>
  <si>
    <t>15        PDR0011587</t>
  </si>
  <si>
    <t>00880</t>
  </si>
  <si>
    <t>CHIP RESISTOR PERCISION 36.5K 1/16W F 0402 CERAMIC (EF)</t>
  </si>
  <si>
    <t>R56</t>
  </si>
  <si>
    <t>RC0402FR-0736K5P</t>
  </si>
  <si>
    <t>2024/03/05 09:48:27.940</t>
  </si>
  <si>
    <t>WR04X3652FTR</t>
  </si>
  <si>
    <t>2024/03/05 09:48:27.917</t>
  </si>
  <si>
    <t>RM04FTW3652</t>
  </si>
  <si>
    <t>2024/03/05 09:48:27.896</t>
  </si>
  <si>
    <t>FTT023652FTH</t>
  </si>
  <si>
    <t>2024/03/05 09:48:27.877</t>
  </si>
  <si>
    <t>B64.390D4.0621</t>
  </si>
  <si>
    <t>CHIP RES PERC 390 1/16W F 0402</t>
  </si>
  <si>
    <t>4        DM006896</t>
  </si>
  <si>
    <t>00890</t>
  </si>
  <si>
    <t>CHIP RESISTOR PERCISION 390 1/16W F 0402 CERAMIC (EF)</t>
  </si>
  <si>
    <t>R620,R636</t>
  </si>
  <si>
    <t>RC0402FR-07390RP</t>
  </si>
  <si>
    <t>2024/03/13 06:05:08.137</t>
  </si>
  <si>
    <t>FTT023900FTH</t>
  </si>
  <si>
    <t>2024/03/13 06:05:08.011</t>
  </si>
  <si>
    <t>WR04X3900FTR</t>
  </si>
  <si>
    <t>2024/03/13 06:05:08.097</t>
  </si>
  <si>
    <t>RM04FTW3900</t>
  </si>
  <si>
    <t>2024/03/13 06:05:08.051</t>
  </si>
  <si>
    <t>B64.45K34.0621</t>
  </si>
  <si>
    <t>CHIP RES PERC 45.3K 1/16W F 0402</t>
  </si>
  <si>
    <t>9        DM006904</t>
  </si>
  <si>
    <t>00900</t>
  </si>
  <si>
    <t>CHIP RESISTOR PERCISION 45.3K 1/16W F 0402 CERAMIC (EF)</t>
  </si>
  <si>
    <t>PR242</t>
  </si>
  <si>
    <t>RM04FTW4532</t>
  </si>
  <si>
    <t>2024/03/13 06:09:44.080</t>
  </si>
  <si>
    <t>FTT024532FTH</t>
  </si>
  <si>
    <t>2024/03/13 06:09:44.049</t>
  </si>
  <si>
    <t>RC0402FR-0745K3P</t>
  </si>
  <si>
    <t>2024/03/13 06:09:44.174</t>
  </si>
  <si>
    <t>WR04X4532FTR</t>
  </si>
  <si>
    <t>2024/03/13 06:09:44.141</t>
  </si>
  <si>
    <t>B64.499K4.0621</t>
  </si>
  <si>
    <t>CHIP RES PERC 499K 1/16W F 0402</t>
  </si>
  <si>
    <t>7        DM006906</t>
  </si>
  <si>
    <t>00910</t>
  </si>
  <si>
    <t>CHIP RESISTOR PERCISION 499K 1/16W F 0402 CERAMIC (EF)</t>
  </si>
  <si>
    <t>PR10,PR13,PR114,PR115</t>
  </si>
  <si>
    <t>FTT024993FTH</t>
  </si>
  <si>
    <t>2023/09/26 01:57:16.627</t>
  </si>
  <si>
    <t>WR04X4993FTR</t>
  </si>
  <si>
    <t>2023/09/26 01:57:16.680</t>
  </si>
  <si>
    <t>RM04FTW4993</t>
  </si>
  <si>
    <t>2023/09/26 01:57:16.662</t>
  </si>
  <si>
    <t>RC0402FR-07499KP</t>
  </si>
  <si>
    <t>2023/09/26 01:57:16.703</t>
  </si>
  <si>
    <t>B64.49D94.0621</t>
  </si>
  <si>
    <t>CHIP RES PERC 49.9 1/16W F 0402</t>
  </si>
  <si>
    <t>31        PDR0011646</t>
  </si>
  <si>
    <t>00920</t>
  </si>
  <si>
    <t>CHIP RESISTOR PERCISION 49.9 1/16W F 0402 CERAMIC (EF)</t>
  </si>
  <si>
    <t>14</t>
  </si>
  <si>
    <t>PR210,PR211,PR215,PR235,PR236,PR237,PR244,PR245,PR250,PR266,PR271,PR272,PR1250,PR1251</t>
  </si>
  <si>
    <t>RC0402FR-0749R9P</t>
  </si>
  <si>
    <t>2023/10/24 01:01:59.080</t>
  </si>
  <si>
    <t>FTT0249R9FTH</t>
  </si>
  <si>
    <t>2023/10/24 01:01:59.012</t>
  </si>
  <si>
    <t>RM04FTW49R9</t>
  </si>
  <si>
    <t>2023/10/24 01:01:59.037</t>
  </si>
  <si>
    <t>WR04X49R9FTR</t>
  </si>
  <si>
    <t>2023/10/24 01:01:59.060</t>
  </si>
  <si>
    <t>B64.49K94.0621</t>
  </si>
  <si>
    <t>CHIP RES PERC 49.9K 1/16W F 0402</t>
  </si>
  <si>
    <t>26        PDR0011677</t>
  </si>
  <si>
    <t>00930</t>
  </si>
  <si>
    <t>CHIP RESISTOR PERCISION 49.9K 1/16W F 0402 CERAMIC</t>
  </si>
  <si>
    <t>PR1,PR103</t>
  </si>
  <si>
    <t>RC0402FR-0749K9P</t>
  </si>
  <si>
    <t>2023/10/23 02:09:03.866</t>
  </si>
  <si>
    <t>WR04X4992FTR</t>
  </si>
  <si>
    <t>2023/10/23 02:09:03.851</t>
  </si>
  <si>
    <t>RM04FTW4992</t>
  </si>
  <si>
    <t>2023/10/23 02:09:03.835</t>
  </si>
  <si>
    <t>FTT024992FTH</t>
  </si>
  <si>
    <t>2023/10/23 02:09:03.820</t>
  </si>
  <si>
    <t>B64.4K304.0621</t>
  </si>
  <si>
    <t>CHIP RES PERC 4.3K 1/16W F 0402</t>
  </si>
  <si>
    <t>5        DM006909</t>
  </si>
  <si>
    <t>00940</t>
  </si>
  <si>
    <t>CHIP RESISTOR PERCISION 4.3K 1/16W F 0402 CERAMIC</t>
  </si>
  <si>
    <t>R1289,R1290</t>
  </si>
  <si>
    <t>FTT024301FTH</t>
  </si>
  <si>
    <t>2023/11/23 06:07:18.789</t>
  </si>
  <si>
    <t>WR04X4301FTR</t>
  </si>
  <si>
    <t>2023/11/23 06:07:19.010</t>
  </si>
  <si>
    <t>RM04FTW4301</t>
  </si>
  <si>
    <t>2023/11/23 06:07:18.971</t>
  </si>
  <si>
    <t>RC0402FR-074K3P</t>
  </si>
  <si>
    <t>2023/11/23 06:07:19.039</t>
  </si>
  <si>
    <t>B64.4K324.0621</t>
  </si>
  <si>
    <t>CHIP RES PERC 4.32K 1/16W F 0402</t>
  </si>
  <si>
    <t>9        DM006909</t>
  </si>
  <si>
    <t>00950</t>
  </si>
  <si>
    <t>CHIP RESISTOR PERCISION 4.32K 1/16W F 0402 CERAMIC (EF)</t>
  </si>
  <si>
    <t>R52</t>
  </si>
  <si>
    <t>EP100G2</t>
  </si>
  <si>
    <t>WR04X4321FTR</t>
  </si>
  <si>
    <t>2023/11/14 02:26:17.223</t>
  </si>
  <si>
    <t>RM04FTW4321</t>
  </si>
  <si>
    <t>2023/11/14 02:26:17.194</t>
  </si>
  <si>
    <t>FTT024321FTH</t>
  </si>
  <si>
    <t>2023/11/14 02:26:17.165</t>
  </si>
  <si>
    <t>RC0402FR-074K32P</t>
  </si>
  <si>
    <t>2023/11/14 02:26:17.255</t>
  </si>
  <si>
    <t>B64.4K534.0621</t>
  </si>
  <si>
    <t>CHIP RES PERC 4.53K 1/16W F 0402</t>
  </si>
  <si>
    <t>5        DM006911</t>
  </si>
  <si>
    <t>00960</t>
  </si>
  <si>
    <t>CHIP RESISTOR PERCISION 4.53K 1/16W F 0402 CERAMIC (EF)</t>
  </si>
  <si>
    <t>R389</t>
  </si>
  <si>
    <t>WR04X4531FTR</t>
  </si>
  <si>
    <t>2023/11/14 06:13:28.736</t>
  </si>
  <si>
    <t>RC0402FR-074K53P</t>
  </si>
  <si>
    <t>2023/11/14 06:13:28.783</t>
  </si>
  <si>
    <t>FTT024531FTH</t>
  </si>
  <si>
    <t>2023/11/14 06:13:28.680</t>
  </si>
  <si>
    <t>RM04FTW4531</t>
  </si>
  <si>
    <t>2023/11/14 06:13:28.714</t>
  </si>
  <si>
    <t>B64.4K704.0621</t>
  </si>
  <si>
    <t>CHIP RES PERC 4.7K 1/16W F 0402 (EF)</t>
  </si>
  <si>
    <t>00970</t>
  </si>
  <si>
    <t>CHIP RESISTOR PERCISION 4.7K 1/16W F 0402 CERAMIC (EF)</t>
  </si>
  <si>
    <t>PR3,PR104,PR1142,PR1153,PR1164,PR1175,PR1186,PR1196,PR1207,PR1218,R178,R283,R292,R294,R297,R298,R1384,R1388,R1394,R1395,R1404,R1405,R1414,R1415</t>
  </si>
  <si>
    <t>RM04FTW4701</t>
  </si>
  <si>
    <t>2023/10/30 12:18:49.145</t>
  </si>
  <si>
    <t>FTT024701FTH</t>
  </si>
  <si>
    <t>2023/10/30 12:18:49.115</t>
  </si>
  <si>
    <t>RC0402FR-074K7P</t>
  </si>
  <si>
    <t>2023/10/30 12:18:49.234</t>
  </si>
  <si>
    <t>WR04X4701FTR</t>
  </si>
  <si>
    <t>2023/10/30 12:18:49.187</t>
  </si>
  <si>
    <t>B64.4K994.0621</t>
  </si>
  <si>
    <t>CHIP RES PERC 4.99K 1/16W F 0402</t>
  </si>
  <si>
    <t>00980</t>
  </si>
  <si>
    <t>CHIP RESISTOR PERCISION 4.99K 1/16W F 0402 CERAMIC (EF)</t>
  </si>
  <si>
    <t>32</t>
  </si>
  <si>
    <t>PR635,PR648,PR649,PR684,PR694,PR695,PR728,PR739,PR741,PR776,PR786,PR787,PR821,PR831,PR832,PR867,PR877,PR878,PR913,PR924,PR925,PR959,PR969,PR971,PR1032,PR1033,PR1034,PR1035,PR1036,PR1037,PR1038,PR1039</t>
  </si>
  <si>
    <t>FTT024991FTH</t>
  </si>
  <si>
    <t>2022/10/31 05:57:15.552</t>
  </si>
  <si>
    <t>RM04FTW4991</t>
  </si>
  <si>
    <t>2022/10/31 05:57:15.579</t>
  </si>
  <si>
    <t>WR04X4991FTR</t>
  </si>
  <si>
    <t>2022/10/31 05:57:15.610</t>
  </si>
  <si>
    <t>RC0402FR-074K99P</t>
  </si>
  <si>
    <t>2022/10/31 05:57:15.637</t>
  </si>
  <si>
    <t>B64.54K94.0621</t>
  </si>
  <si>
    <t>CHIP RES PERC 54.9K 1/16W F 0402</t>
  </si>
  <si>
    <t>6        DM008949</t>
  </si>
  <si>
    <t>00990</t>
  </si>
  <si>
    <t>CHIP RESISTOR PERCISION 54.9K 1/16W F 0402 CERAMIC (EF)</t>
  </si>
  <si>
    <t>R609</t>
  </si>
  <si>
    <t>RC0402FR-0754K9P</t>
  </si>
  <si>
    <t>2023/12/27 01:28:33.406</t>
  </si>
  <si>
    <t>WR04X5492FTR</t>
  </si>
  <si>
    <t>2023/12/27 01:28:33.387</t>
  </si>
  <si>
    <t>FTT025492FTH</t>
  </si>
  <si>
    <t>2023/12/27 01:28:33.351</t>
  </si>
  <si>
    <t>RM04FTW5492</t>
  </si>
  <si>
    <t>2023/12/27 01:28:33.354</t>
  </si>
  <si>
    <t>B64.560D4.0621</t>
  </si>
  <si>
    <t>CHIP RES PERC 560 1/16W F 0402</t>
  </si>
  <si>
    <t>8        DM008949</t>
  </si>
  <si>
    <t>01000</t>
  </si>
  <si>
    <t>CHIP RESISTOR PERCISION 560 1/16W F 0402 CERAMIC (EF)</t>
  </si>
  <si>
    <t>PR657,PR666,PR1150,PR1154,PR1161,PR1165,PR1172,PR1182,PR1183,PR1193,PR1197,PR1204,PR1208,PR1215,PR1219,PR1226</t>
  </si>
  <si>
    <t>WR04X5600FTR</t>
  </si>
  <si>
    <t>2024/03/13 06:23:33.145</t>
  </si>
  <si>
    <t>RM04FTW5600</t>
  </si>
  <si>
    <t>2024/03/13 06:23:33.120</t>
  </si>
  <si>
    <t>RC0402FR-07560RP</t>
  </si>
  <si>
    <t>2024/03/13 06:23:33.171</t>
  </si>
  <si>
    <t>FTT025600FTH</t>
  </si>
  <si>
    <t>2024/03/13 06:23:33.102</t>
  </si>
  <si>
    <t>B64.5K104.0531</t>
  </si>
  <si>
    <t>CHIP RES PERC 5.1K 1/10W F 0603 (EF)</t>
  </si>
  <si>
    <t>7        DM008949</t>
  </si>
  <si>
    <t>01010</t>
  </si>
  <si>
    <t>CHIP RESISTOR PERCISION 5.1K 1/10W F 0603 CERAMIC (EF)</t>
  </si>
  <si>
    <t>R1541,R1544</t>
  </si>
  <si>
    <t>FTT035101FTP</t>
  </si>
  <si>
    <t>2024/08/20 08:38:50.320</t>
  </si>
  <si>
    <t>RM06FTW5101</t>
  </si>
  <si>
    <t>2024/08/20 08:38:50.327</t>
  </si>
  <si>
    <t>WR06X5101FTR</t>
  </si>
  <si>
    <t>2024/08/20 08:38:50.359</t>
  </si>
  <si>
    <t>RC0603FR-075K1P</t>
  </si>
  <si>
    <t>2024/08/20 08:38:50.378</t>
  </si>
  <si>
    <t>B64.5K904.0621</t>
  </si>
  <si>
    <t>CHIP RES PERC 5.9K 1/16W F 0402</t>
  </si>
  <si>
    <t>16        PDR0011677</t>
  </si>
  <si>
    <t>01020</t>
  </si>
  <si>
    <t>CHIP RESISTOR PERCISION 5.9K 1/16W F 0402 CERAMIC (EF)</t>
  </si>
  <si>
    <t>R624,R639</t>
  </si>
  <si>
    <t>FTT025901FTH</t>
  </si>
  <si>
    <t>2023/11/02 08:15:43.357</t>
  </si>
  <si>
    <t>WR04X5901FTR</t>
  </si>
  <si>
    <t>2023/11/02 08:15:43.394</t>
  </si>
  <si>
    <t>RC0402FR-075K9P</t>
  </si>
  <si>
    <t>2023/11/02 08:15:43.421</t>
  </si>
  <si>
    <t>RM04FTW5901</t>
  </si>
  <si>
    <t>2023/11/02 08:15:43.364</t>
  </si>
  <si>
    <t>B64.60D44.0621</t>
  </si>
  <si>
    <t>CHIP RES PERC 60.4 1/16W F 0402</t>
  </si>
  <si>
    <t>5        DM008951</t>
  </si>
  <si>
    <t>01030</t>
  </si>
  <si>
    <t>CHIP RESISTOR PERCISION 60.4 1/16W F 0402 CERAMIC (EF)</t>
  </si>
  <si>
    <t>R24,R584</t>
  </si>
  <si>
    <t>WR04X60R4FTR</t>
  </si>
  <si>
    <t>2023/11/08 01:32:07.090</t>
  </si>
  <si>
    <t>RC0402FR-0760R4P</t>
  </si>
  <si>
    <t>2023/11/08 01:32:07.106</t>
  </si>
  <si>
    <t>RM04FTW60R4</t>
  </si>
  <si>
    <t>2023/11/08 01:32:07.075</t>
  </si>
  <si>
    <t>FTT0260R4FTH</t>
  </si>
  <si>
    <t>2023/11/08 01:32:07.060</t>
  </si>
  <si>
    <t>B64.60K44.0621</t>
  </si>
  <si>
    <t>CHIP RES PERC 60.4K 1/16W F 0402</t>
  </si>
  <si>
    <t>31        PDR0011653</t>
  </si>
  <si>
    <t>01040</t>
  </si>
  <si>
    <t>CHIP RESISTOR PERCISION 60.4K 1/16W F 0402 CERAMIC (EF)</t>
  </si>
  <si>
    <t>PR1025</t>
  </si>
  <si>
    <t>FTT026042FTH</t>
  </si>
  <si>
    <t>2023/10/27 01:33:47.102</t>
  </si>
  <si>
    <t>RM04FTW6042</t>
  </si>
  <si>
    <t>2023/10/27 01:33:47.140</t>
  </si>
  <si>
    <t>WR04X6042FTR</t>
  </si>
  <si>
    <t>2023/10/27 01:33:47.169</t>
  </si>
  <si>
    <t>RC0402FR-0760K4P</t>
  </si>
  <si>
    <t>2023/10/27 01:33:47.194</t>
  </si>
  <si>
    <t>B64.665D4.0621</t>
  </si>
  <si>
    <t>CHIP RES PERC 665 1/16W F 0402</t>
  </si>
  <si>
    <t>8        DM008951</t>
  </si>
  <si>
    <t>01050</t>
  </si>
  <si>
    <t>CHIP RESISTOR PERCISION 665 1/16W F 0402 CERAMIC (EF)</t>
  </si>
  <si>
    <t>PR1145,PR1155,PR1166,PR1176,PR1187,PR1198,PR1209,PR1220</t>
  </si>
  <si>
    <t>Moai</t>
  </si>
  <si>
    <t>WR04X6650FTR</t>
  </si>
  <si>
    <t>2023/12/21 01:42:41.332</t>
  </si>
  <si>
    <t>RC0402FR-07665RP</t>
  </si>
  <si>
    <t>2023/12/21 01:42:41.352</t>
  </si>
  <si>
    <t>FTT026650FTH</t>
  </si>
  <si>
    <t>2023/12/21 01:42:41.280</t>
  </si>
  <si>
    <t>RM04FTW6650</t>
  </si>
  <si>
    <t>2023/12/21 01:42:41.312</t>
  </si>
  <si>
    <t>B64.6K194.0531</t>
  </si>
  <si>
    <t>CHIP RES PERC 6.19K 1/10W F 0603</t>
  </si>
  <si>
    <t>6        DM006921</t>
  </si>
  <si>
    <t>01060</t>
  </si>
  <si>
    <t>CHIP RESISTOR PERCISION 6.19K 1/10W F 0603 CERAMIC (EF)</t>
  </si>
  <si>
    <t>R1542,R1545</t>
  </si>
  <si>
    <t>FTT036191FTP</t>
  </si>
  <si>
    <t>2024/04/29 03:33:04.630</t>
  </si>
  <si>
    <t>RM06FTW6191</t>
  </si>
  <si>
    <t>2024/04/29 03:33:04.726</t>
  </si>
  <si>
    <t>WR06X6191FTR</t>
  </si>
  <si>
    <t>2024/04/29 03:33:04.774</t>
  </si>
  <si>
    <t>RC0603FR-076K19P</t>
  </si>
  <si>
    <t>2024/04/29 03:33:04.808</t>
  </si>
  <si>
    <t>B64.6K194.0621</t>
  </si>
  <si>
    <t>CHIP RES PERC 6.19K 1/16W F 0402</t>
  </si>
  <si>
    <t>11        DM006921</t>
  </si>
  <si>
    <t>01070</t>
  </si>
  <si>
    <t>CHIP RESISTOR PERCISION 6.19K 1/16W F 0402 CERAMIC (EF)</t>
  </si>
  <si>
    <t>PR209,PR231,PR246,PR267,PR647,PR693,PR740,PR785,PR833,PR879,PR923,PR970</t>
  </si>
  <si>
    <t>FTT026191FTH</t>
  </si>
  <si>
    <t>2022/10/28 08:32:24.853</t>
  </si>
  <si>
    <t>RM04FTW6191</t>
  </si>
  <si>
    <t>2022/10/28 08:32:24.915</t>
  </si>
  <si>
    <t>WR04X6191FTR</t>
  </si>
  <si>
    <t>2022/10/28 08:32:24.937</t>
  </si>
  <si>
    <t>RC0402FR-076K19P</t>
  </si>
  <si>
    <t>2022/10/28 08:32:24.965</t>
  </si>
  <si>
    <t>B64.6K494.0621</t>
  </si>
  <si>
    <t>CHIP RES PERC 6.49K 1/16W F 0402</t>
  </si>
  <si>
    <t>01080</t>
  </si>
  <si>
    <t>CHIP RESISTOR PERCISION 6.49K 1/16W F 0402 CERAMIC</t>
  </si>
  <si>
    <t>PR32,PR33,PR34,PR134,PR135,PR137</t>
  </si>
  <si>
    <t>FTT026491FTH</t>
  </si>
  <si>
    <t>2023/10/27 01:56:58.962</t>
  </si>
  <si>
    <t>RM04FTW6491</t>
  </si>
  <si>
    <t>2023/10/27 01:56:59.001</t>
  </si>
  <si>
    <t>WR04X6491FTR</t>
  </si>
  <si>
    <t>2023/10/27 01:56:59.030</t>
  </si>
  <si>
    <t>RC0402FR-076K49P</t>
  </si>
  <si>
    <t>2023/10/27 01:56:59.055</t>
  </si>
  <si>
    <t>B64.768D4.0621</t>
  </si>
  <si>
    <t>CHIP RES PERC 768 1/16W F 0402</t>
  </si>
  <si>
    <t>3        DM008952</t>
  </si>
  <si>
    <t>01090</t>
  </si>
  <si>
    <t>CHIP RESISTOR PERCISION 768 1/16W F 0402 CERAMIC</t>
  </si>
  <si>
    <t>PR1146,PR1156,PR1167,PR1177,PR1188,PR1199,PR1210,PR1221</t>
  </si>
  <si>
    <t>WR04X7680FTR</t>
  </si>
  <si>
    <t>2023/11/21 10:51:49.459</t>
  </si>
  <si>
    <t>RM04FTW7680</t>
  </si>
  <si>
    <t>2023/11/21 10:51:49.439</t>
  </si>
  <si>
    <t>RC0402FR-07768RP</t>
  </si>
  <si>
    <t>2023/11/21 10:51:49.483</t>
  </si>
  <si>
    <t>FTT027680FTH</t>
  </si>
  <si>
    <t>2023/11/21 10:51:49.416</t>
  </si>
  <si>
    <t>B64.7K324.0621</t>
  </si>
  <si>
    <t>CHIP RES PERC 7.32K 1/16W F 0402</t>
  </si>
  <si>
    <t>7        DM008952</t>
  </si>
  <si>
    <t>01100</t>
  </si>
  <si>
    <t>CHIP RESISTOR PERCISION 7.32K 1/16W F 0402 CERAMIC (EF)</t>
  </si>
  <si>
    <t>R53</t>
  </si>
  <si>
    <t>RM04FTW7321</t>
  </si>
  <si>
    <t>2023/12/27 01:28:33.432</t>
  </si>
  <si>
    <t>RC0402FR-077K32P</t>
  </si>
  <si>
    <t>2023/12/27 01:28:33.462</t>
  </si>
  <si>
    <t>FTT027321FTH</t>
  </si>
  <si>
    <t>2023/12/27 01:28:33.423</t>
  </si>
  <si>
    <t>WR04X7321FTR</t>
  </si>
  <si>
    <t>2023/12/27 01:28:33.460</t>
  </si>
  <si>
    <t>B64.88K74.0621</t>
  </si>
  <si>
    <t>CHIP RES PERC 88.7K 1/16W F 0402</t>
  </si>
  <si>
    <t>8        DM008953</t>
  </si>
  <si>
    <t>01110</t>
  </si>
  <si>
    <t>CHIP RESISTOR PERCISION 88.7K 1/16W F 0402 CERAMIC (EF)</t>
  </si>
  <si>
    <t>PR264</t>
  </si>
  <si>
    <t>WR04X8872FTR</t>
  </si>
  <si>
    <t>2023/11/08 01:32:07.387</t>
  </si>
  <si>
    <t>RM04FTW8872</t>
  </si>
  <si>
    <t>2023/11/08 01:32:07.372</t>
  </si>
  <si>
    <t>RC0402FR-0788K7P</t>
  </si>
  <si>
    <t>2023/11/08 01:32:07.401</t>
  </si>
  <si>
    <t>FTT028872FTH</t>
  </si>
  <si>
    <t>2023/11/08 01:32:07.358</t>
  </si>
  <si>
    <t>B64.90D94.0621</t>
  </si>
  <si>
    <t>CHIP RES PERC 90.9 1/16W F 0402</t>
  </si>
  <si>
    <t>7        DM008954</t>
  </si>
  <si>
    <t>01120</t>
  </si>
  <si>
    <t>CHIP RESISTOR PERCISION 90.9 1/16W F 0402 CERAMIC (EF)</t>
  </si>
  <si>
    <t>R17,R587</t>
  </si>
  <si>
    <t>RM04FTW90R9</t>
  </si>
  <si>
    <t>2024/03/13 06:17:54.081</t>
  </si>
  <si>
    <t>RC0402FR-0790R9P</t>
  </si>
  <si>
    <t>2024/03/13 06:17:54.131</t>
  </si>
  <si>
    <t>WR04X90R9FTR</t>
  </si>
  <si>
    <t>2024/03/13 06:17:54.103</t>
  </si>
  <si>
    <t>FTT0290R9FTH</t>
  </si>
  <si>
    <t>2024/03/13 06:17:54.038</t>
  </si>
  <si>
    <t>B64.93K14.0621</t>
  </si>
  <si>
    <t>CHIP RES PERC 93.1K 1/16W F 0402</t>
  </si>
  <si>
    <t>8        DM008954</t>
  </si>
  <si>
    <t>01130</t>
  </si>
  <si>
    <t>CHIP RESISTOR PERCISION 93.1K 1/16W F 0402 CERAMIC</t>
  </si>
  <si>
    <t>PR1022,PR1023,R1348,R1355</t>
  </si>
  <si>
    <t>R-ARTEMIS HACK</t>
  </si>
  <si>
    <t>RC0402FR-0793K1P</t>
  </si>
  <si>
    <t>2022/10/03 02:00:55.206</t>
  </si>
  <si>
    <t>WR04X9312FTR</t>
  </si>
  <si>
    <t>2022/09/26 09:25:56.313</t>
  </si>
  <si>
    <t>RM04FTW9312</t>
  </si>
  <si>
    <t>2022/09/26 09:25:56.282</t>
  </si>
  <si>
    <t>FTT029312FTH</t>
  </si>
  <si>
    <t>2022/09/26 09:25:56.241</t>
  </si>
  <si>
    <t>B65.C5004.0DA6</t>
  </si>
  <si>
    <t>CHIP RES LOW 0.5C 3W F 2512 TCR75</t>
  </si>
  <si>
    <t>11        UGF000000170</t>
  </si>
  <si>
    <t>01140</t>
  </si>
  <si>
    <t>0020</t>
  </si>
  <si>
    <t>CHIP RESISTOR LOW 0.5C 3W F 2512 TCR75 METAL CYNTEC SMD (EF)</t>
  </si>
  <si>
    <t>PR82,PR83,PR184,PR186</t>
  </si>
  <si>
    <t>HALF DOME</t>
  </si>
  <si>
    <t>417</t>
  </si>
  <si>
    <t>B65.C5004.0DA9</t>
  </si>
  <si>
    <t>SCMM2512S3-0M50F</t>
  </si>
  <si>
    <t>2023/06/14 01:59:49.479</t>
  </si>
  <si>
    <t>4        DM008955</t>
  </si>
  <si>
    <t>CHIP RESISTOR LOW  0.5C 3W F 2512 TCR75 METAL EVEROHMS SMD</t>
  </si>
  <si>
    <t>EVEROHMS</t>
  </si>
  <si>
    <t>MA251230F0M50SZ</t>
  </si>
  <si>
    <t>2023/10/27 03:34:18.462</t>
  </si>
  <si>
    <t>B68.00001.001M</t>
  </si>
  <si>
    <t>CHIP BEAD 22OHM 5A</t>
  </si>
  <si>
    <t>4        DM008956</t>
  </si>
  <si>
    <t>01150</t>
  </si>
  <si>
    <t>0021</t>
  </si>
  <si>
    <t>CHIP BEAD 22OHM 5A SMD BLM18SN220TN1D</t>
  </si>
  <si>
    <t>PL1</t>
  </si>
  <si>
    <t>AI100</t>
  </si>
  <si>
    <t>B68.00001.003L</t>
  </si>
  <si>
    <t>MURATA</t>
  </si>
  <si>
    <t>BLM18SN220TN1D</t>
  </si>
  <si>
    <t>2023/11/08 14:00:46.449</t>
  </si>
  <si>
    <t>Japan</t>
  </si>
  <si>
    <t>CHIP BEAD 26OHM 6A</t>
  </si>
  <si>
    <t>CHIP BEAD 26OHM 6A SMD BBUPWN160805260Y00</t>
  </si>
  <si>
    <t>BBUPWN160805260Y00</t>
  </si>
  <si>
    <t>2024/06/05 07:26:30.711</t>
  </si>
  <si>
    <t>B71.09517.0001</t>
  </si>
  <si>
    <t>IC I2C LEVEL SHIFT VSSOP 8P</t>
  </si>
  <si>
    <t>6        IDC0023486</t>
  </si>
  <si>
    <t>01160</t>
  </si>
  <si>
    <t>IC I2C LEVEL SHIFT VSSOP 8P TCA9517ADGKR</t>
  </si>
  <si>
    <t>U23,U24</t>
  </si>
  <si>
    <t>TCA9517ADGKR</t>
  </si>
  <si>
    <t>2023/11/08 07:18:37.870</t>
  </si>
  <si>
    <t>B74.12721.0001</t>
  </si>
  <si>
    <t>IC HOT SWAP LFCSP 48P</t>
  </si>
  <si>
    <t>7        DM007013</t>
  </si>
  <si>
    <t>01170</t>
  </si>
  <si>
    <t>IC HOT SWAP LFCSP 48P SMD ADM1272-1ACPZ-RL</t>
  </si>
  <si>
    <t>PU1,PU3</t>
  </si>
  <si>
    <t>ADI</t>
  </si>
  <si>
    <t>ADM1272-1ACPZ-RL</t>
  </si>
  <si>
    <t>2024/04/16 06:04:23.588</t>
  </si>
  <si>
    <t>B74.29201.0001</t>
  </si>
  <si>
    <t>IC LDO SOT-23-5 5P</t>
  </si>
  <si>
    <t>5        DM008962</t>
  </si>
  <si>
    <t>01180</t>
  </si>
  <si>
    <t>IC LDO REGULATOR SOT-23-5 5P SMD G2920T11U</t>
  </si>
  <si>
    <t>PU52</t>
  </si>
  <si>
    <t>GMT</t>
  </si>
  <si>
    <t>G2920T11U</t>
  </si>
  <si>
    <t>2024/01/29 08:29:35.400</t>
  </si>
  <si>
    <t>B74.59900.M00J</t>
  </si>
  <si>
    <t>IC HOT SWAP FW:VR FW CS:568ELGA 45P</t>
  </si>
  <si>
    <t>4        DM007031</t>
  </si>
  <si>
    <t>01190</t>
  </si>
  <si>
    <t>IC HOT SWAP FW:VR FW CS:568E LGA 45P SMD MP5990GMA-0034-Z</t>
  </si>
  <si>
    <t>PU25,PU28,PU31,PU34,PU37,PU40,PU43,PU46</t>
  </si>
  <si>
    <t>MP5990GMA-0034-Z</t>
  </si>
  <si>
    <t>2024/04/11 10:38:50.807</t>
  </si>
  <si>
    <t>B75.00003.0001</t>
  </si>
  <si>
    <t>IC TVS 2P</t>
  </si>
  <si>
    <t>6        DM008968</t>
  </si>
  <si>
    <t>01200</t>
  </si>
  <si>
    <t>0031</t>
  </si>
  <si>
    <t>IC TVS 2P SMD PJGBLC03C</t>
  </si>
  <si>
    <t>D23</t>
  </si>
  <si>
    <t>B75.40200.0001</t>
  </si>
  <si>
    <t>PJGBLC03C</t>
  </si>
  <si>
    <t>2023/09/26 02:51:00.759</t>
  </si>
  <si>
    <t>5        DM008970</t>
  </si>
  <si>
    <t>IC TVS 2P SMD SP4020-01FTG-C</t>
  </si>
  <si>
    <t>LITTELFUSE</t>
  </si>
  <si>
    <t>SP4020-01FTG-C</t>
  </si>
  <si>
    <t>2023/09/26 11:35:21.348</t>
  </si>
  <si>
    <t>B75.15305.0001</t>
  </si>
  <si>
    <t>IC S.B 3P</t>
  </si>
  <si>
    <t>4        DM008969</t>
  </si>
  <si>
    <t>01210</t>
  </si>
  <si>
    <t>0032</t>
  </si>
  <si>
    <t>IC S.B 3P SMD SBR15A30SP5-13</t>
  </si>
  <si>
    <t>9</t>
  </si>
  <si>
    <t>PD19,PD21,PD23,PD26,PD28,PD29,PD31,PD33,PD35</t>
  </si>
  <si>
    <t>B83.01545.0001</t>
  </si>
  <si>
    <t>SBR15A30SP5-13</t>
  </si>
  <si>
    <t>2024/04/29 10:02:31.049</t>
  </si>
  <si>
    <t>DISCRETE S.B TO-277B 3P</t>
  </si>
  <si>
    <t>DISCRETE S.B TO-277B 3P SMD</t>
  </si>
  <si>
    <t>SVM1545LB</t>
  </si>
  <si>
    <t>2023/11/08 10:00:20.200</t>
  </si>
  <si>
    <t>B78.01NKH.0001</t>
  </si>
  <si>
    <t>CHIP CAP 1NF 50V K 0402 X7R</t>
  </si>
  <si>
    <t>33        PDR0011587</t>
  </si>
  <si>
    <t>01220</t>
  </si>
  <si>
    <t>CHIP CAPACITOR 1NF 50V K 0402 X7R</t>
  </si>
  <si>
    <t>PC9,PC46,PC342,PC360,PC378,PC396,PC414,PC432,PC450,PC468,PC537,PC540,PC542,PC544,PC546,PC548,PC550,PC552</t>
  </si>
  <si>
    <t>C2080</t>
  </si>
  <si>
    <t>025</t>
  </si>
  <si>
    <t>CC0402KRX7R9BB102</t>
  </si>
  <si>
    <t>2023/04/14 06:26:06.309</t>
  </si>
  <si>
    <t>0402B102K500CT</t>
  </si>
  <si>
    <t>2023/04/12 02:40:15.717</t>
  </si>
  <si>
    <t>SAMSUNG</t>
  </si>
  <si>
    <t>CL05B102KB5NNNC</t>
  </si>
  <si>
    <t>2023/04/12 02:40:15.696</t>
  </si>
  <si>
    <t>B78.01NKM.0001</t>
  </si>
  <si>
    <t>CHIP CAP 1NF 100V K 0603 X7R</t>
  </si>
  <si>
    <t>8        IDC0025449</t>
  </si>
  <si>
    <t>01230</t>
  </si>
  <si>
    <t>CHIP CAPACITOR 1NF 100V K 0603 X7R</t>
  </si>
  <si>
    <t>C95,PC8,PC44</t>
  </si>
  <si>
    <t>0603B102K101CT</t>
  </si>
  <si>
    <t>2024/07/17 06:15:13.467</t>
  </si>
  <si>
    <t>CC0603KRX7R0BB102</t>
  </si>
  <si>
    <t>2024/07/17 06:15:13.491</t>
  </si>
  <si>
    <t>B78.01UK6.0001</t>
  </si>
  <si>
    <t>CHIP CAP 1UF 6.3V K 0402 X7R</t>
  </si>
  <si>
    <t>25        PDR0011684</t>
  </si>
  <si>
    <t>01240</t>
  </si>
  <si>
    <t>CHIP CAPACITOR 1UF 6.3V K 0402 X7R</t>
  </si>
  <si>
    <t>PC338,PC339,PC340,PC341,PC356,PC357,PC358,PC359,PC374,PC375,PC376,PC377,PC392,PC393,PC394,PC395,PC410,PC411,PC412,PC413,PC428,PC429,PC430,PC431,PC446,PC447,PC448,PC449,PC464,PC465,PC466,PC467</t>
  </si>
  <si>
    <t>026</t>
  </si>
  <si>
    <t>CL05B105KQ5NQNC</t>
  </si>
  <si>
    <t>2023/04/17 07:40:13.973</t>
  </si>
  <si>
    <t>GRM155R70J105KA12D</t>
  </si>
  <si>
    <t>2023/04/17 07:40:13.948</t>
  </si>
  <si>
    <t>CC0402KRX7R5BB105</t>
  </si>
  <si>
    <t>2023/04/17 07:40:14.003</t>
  </si>
  <si>
    <t>B78.01UK6.0002</t>
  </si>
  <si>
    <t>CHIP CAP 1UF 6.3V K 0402 X6S</t>
  </si>
  <si>
    <t>18        PDR0011677</t>
  </si>
  <si>
    <t>01250</t>
  </si>
  <si>
    <t>CHIP CAPACITOR 1UF 6.3V K 0402 X6S</t>
  </si>
  <si>
    <t>C43,C44</t>
  </si>
  <si>
    <t>912-WYUDE at MX;900-WYHQ;9A1-WYMY;9D1-WYMTN</t>
  </si>
  <si>
    <t>0402S105K6R3CT</t>
  </si>
  <si>
    <t>2024/04/23 09:50:08.328</t>
  </si>
  <si>
    <t>CC0402KRX6S5BB105</t>
  </si>
  <si>
    <t>2024/04/23 09:50:08.357</t>
  </si>
  <si>
    <t>CL05X105KQ5NNNC</t>
  </si>
  <si>
    <t>2024/04/23 09:50:08.302</t>
  </si>
  <si>
    <t>B78.01UKC.0001</t>
  </si>
  <si>
    <t>CHIP CAP 1UF 16V K 0402 X6S</t>
  </si>
  <si>
    <t>39        PDR0011677</t>
  </si>
  <si>
    <t>01260</t>
  </si>
  <si>
    <t>CHIP CAPACITOR 1UF 16V K 0402 X6S</t>
  </si>
  <si>
    <t>C136</t>
  </si>
  <si>
    <t>CL05X105KO5NQWC</t>
  </si>
  <si>
    <t>2024/01/05 03:00:44.526</t>
  </si>
  <si>
    <t>CC0402KRX6S7BB105</t>
  </si>
  <si>
    <t>2024/02/16 06:15:28.525</t>
  </si>
  <si>
    <t>0402S105K160CT</t>
  </si>
  <si>
    <t>2024/01/05 03:00:44.555</t>
  </si>
  <si>
    <t>DARFON</t>
  </si>
  <si>
    <t>C1005X6S105KET</t>
  </si>
  <si>
    <t>2024/01/05 03:00:44.496</t>
  </si>
  <si>
    <t>B78.01UKF.0002</t>
  </si>
  <si>
    <t>CHIP CAP 1UF 25V K 0402 X6S</t>
  </si>
  <si>
    <t>01270</t>
  </si>
  <si>
    <t>CHIP CAPACITOR 1UF 25V K 0402 X6S</t>
  </si>
  <si>
    <t>PC487,PC556</t>
  </si>
  <si>
    <t>CL05X105KA5NQNC</t>
  </si>
  <si>
    <t>2023/04/27 01:45:11.467</t>
  </si>
  <si>
    <t>GRM155C81E105KE11D</t>
  </si>
  <si>
    <t>2023/04/27 01:45:11.447</t>
  </si>
  <si>
    <t>China;Japan</t>
  </si>
  <si>
    <t>TAIYO</t>
  </si>
  <si>
    <t>MSAST105AC6105KFNA01</t>
  </si>
  <si>
    <t>2023/04/27 01:45:11.491</t>
  </si>
  <si>
    <t>B78.01UKF.0006</t>
  </si>
  <si>
    <t>CHIP CAP 1UF 25V K 0603 X7R</t>
  </si>
  <si>
    <t>01280</t>
  </si>
  <si>
    <t>CHIP CAPACITOR 1UF 25V K 0603 X7R</t>
  </si>
  <si>
    <t>PC3,PC5,PC40,PC42,PC336,PC354,PC372,PC390,PC408,PC426,PC444,PC462</t>
  </si>
  <si>
    <t>CL10B105KA8NNNC</t>
  </si>
  <si>
    <t>2024/05/17 03:28:52.477</t>
  </si>
  <si>
    <t>0603B105K250CT</t>
  </si>
  <si>
    <t>2024/05/17 03:28:52.521</t>
  </si>
  <si>
    <t>CC0603KRX7R8BB105</t>
  </si>
  <si>
    <t>2024/05/17 03:28:52.564</t>
  </si>
  <si>
    <t>B78.01UKM.0001</t>
  </si>
  <si>
    <t>CHIP CAP 1UF 100V K 1206 X7R</t>
  </si>
  <si>
    <t>16        DM009787</t>
  </si>
  <si>
    <t>01290</t>
  </si>
  <si>
    <t>CHIP CAPACITOR 1UF 100V K 1206 X7R</t>
  </si>
  <si>
    <t>PC34,PC71</t>
  </si>
  <si>
    <t>CL31B105KCHNNNE</t>
  </si>
  <si>
    <t>2025/06/20 05:53:35.633</t>
  </si>
  <si>
    <t>MSASH31LSB7105KTNA01</t>
  </si>
  <si>
    <t>2022/10/18 09:51:59.679</t>
  </si>
  <si>
    <t>Korea</t>
  </si>
  <si>
    <t>CC1206KKX7R0BB105</t>
  </si>
  <si>
    <t>2022/10/18 09:51:59.753</t>
  </si>
  <si>
    <t>1206B105K101CT</t>
  </si>
  <si>
    <t>2022/10/18 09:51:59.708</t>
  </si>
  <si>
    <t>B78.10NKC.0003</t>
  </si>
  <si>
    <t>CHIP CAP 10NF 16V K 0402 X7R</t>
  </si>
  <si>
    <t>12        SIDC000111</t>
  </si>
  <si>
    <t>01300</t>
  </si>
  <si>
    <t>CHIP CAPACITOR 10NF 16V K 0402 X7R</t>
  </si>
  <si>
    <t>PC343,PC344,PC361,PC362,PC379,PC380,PC397,PC398,PC415,PC416,PC433,PC434,PC451,PC452,PC469,PC470</t>
  </si>
  <si>
    <t>CC0402KRX7R7BB103</t>
  </si>
  <si>
    <t>2024/04/24 02:01:21.275</t>
  </si>
  <si>
    <t>CL05B103KO5NNNC</t>
  </si>
  <si>
    <t>2024/04/24 02:01:21.224</t>
  </si>
  <si>
    <t>0402B103K160CT</t>
  </si>
  <si>
    <t>2024/04/24 02:01:21.250</t>
  </si>
  <si>
    <t>B78.10NKH.0001</t>
  </si>
  <si>
    <t>CHIP CAP 10NF 50V K 0402 X7R</t>
  </si>
  <si>
    <t>01310</t>
  </si>
  <si>
    <t>CHIP CAPACITOR 10NF 50V K 0402 X7R</t>
  </si>
  <si>
    <t>PC484,PC485</t>
  </si>
  <si>
    <t>AMBROSE</t>
  </si>
  <si>
    <t>0402B103K500CT</t>
  </si>
  <si>
    <t>2023/05/18 07:56:13.519</t>
  </si>
  <si>
    <t>CC0402KRX7R9BB103</t>
  </si>
  <si>
    <t>2023/05/18 07:56:13.539</t>
  </si>
  <si>
    <t>CL05B103KB5NNNC</t>
  </si>
  <si>
    <t>2023/05/18 07:56:13.384</t>
  </si>
  <si>
    <t>B78.10NKH.0002</t>
  </si>
  <si>
    <t>CHIP CAP 10NF 50V K 0603 X7R</t>
  </si>
  <si>
    <t>7        DM008972</t>
  </si>
  <si>
    <t>01320</t>
  </si>
  <si>
    <t>CHIP CAPACITOR 10NF 50V K 0603 X7R</t>
  </si>
  <si>
    <t>PC1,PC38</t>
  </si>
  <si>
    <t>C1608X7R103KGT</t>
  </si>
  <si>
    <t>2024/05/09 02:18:55.373</t>
  </si>
  <si>
    <t>CL10B103KB8NNNC</t>
  </si>
  <si>
    <t>2024/05/09 02:18:55.414</t>
  </si>
  <si>
    <t>0603B103K500CT</t>
  </si>
  <si>
    <t>2024/05/09 02:18:55.442</t>
  </si>
  <si>
    <t>CC0603KRX7R9BB103</t>
  </si>
  <si>
    <t>2024/05/09 02:18:55.536</t>
  </si>
  <si>
    <t>B78.10NKM.0001</t>
  </si>
  <si>
    <t>CHIP CAP 10NF 100V K 0603 X7R</t>
  </si>
  <si>
    <t>11        IDC0025377</t>
  </si>
  <si>
    <t>01330</t>
  </si>
  <si>
    <t>CHIP CAPACITOR 10NF 100V K 0603 X7R</t>
  </si>
  <si>
    <t>C96,C138</t>
  </si>
  <si>
    <t>CL10B103KC8NNNC</t>
  </si>
  <si>
    <t>2024/04/30 08:03:01.754</t>
  </si>
  <si>
    <t>0603B103K101CT</t>
  </si>
  <si>
    <t>2024/04/30 08:03:01.776</t>
  </si>
  <si>
    <t>CC0603KRX7R0BB103</t>
  </si>
  <si>
    <t>2024/04/30 08:03:01.803</t>
  </si>
  <si>
    <t>B78.10UMC.0002</t>
  </si>
  <si>
    <t>CHIP CAP 10UF 16V M 0603 X6S</t>
  </si>
  <si>
    <t>12        PDR0011595</t>
  </si>
  <si>
    <t>01340</t>
  </si>
  <si>
    <t>CHIP CAPACITOR 10UF 16V M 0603 X6S</t>
  </si>
  <si>
    <t>C110,C111</t>
  </si>
  <si>
    <t>GRM188C81C106MA73D</t>
  </si>
  <si>
    <t>2024/05/17 01:50:54.251</t>
  </si>
  <si>
    <t>CL10X106MO8NRNC</t>
  </si>
  <si>
    <t>2024/05/17 01:50:54.298</t>
  </si>
  <si>
    <t>EMK107BC6106MA-T</t>
  </si>
  <si>
    <t>2024/05/17 01:50:54.343</t>
  </si>
  <si>
    <t>B78.15PJH.0001</t>
  </si>
  <si>
    <t>CHIP CAP 15PF 50V J 0402 NPO</t>
  </si>
  <si>
    <t>8        DM007060</t>
  </si>
  <si>
    <t>01350</t>
  </si>
  <si>
    <t>CHIP CAPACITOR 15PF 50V J 0402 NPO</t>
  </si>
  <si>
    <t>PC94,PC95,PC96,PC138,PC139,PC140,PC160,PC161,PC162,PC204,PC205,PC206</t>
  </si>
  <si>
    <t>CL05C150JB5NNNC</t>
  </si>
  <si>
    <t>2024/06/05 03:26:15.060</t>
  </si>
  <si>
    <t>0402N150J500CT</t>
  </si>
  <si>
    <t>2024/06/05 03:26:15.080</t>
  </si>
  <si>
    <t>CC0402JRNPO9BN150</t>
  </si>
  <si>
    <t>2024/06/05 03:26:15.107</t>
  </si>
  <si>
    <t>B78.22UM6.0003</t>
  </si>
  <si>
    <t>CHIP CAP 22UF 6.3V M 0603 X6S</t>
  </si>
  <si>
    <t>01360</t>
  </si>
  <si>
    <t>CHIP CAPACITOR 22UF 6.3V M 0603 X6S</t>
  </si>
  <si>
    <t>PC499,PC500,PC501</t>
  </si>
  <si>
    <t>CL10X226MQ8QRWC</t>
  </si>
  <si>
    <t>2024/06/04 01:39:48.796</t>
  </si>
  <si>
    <t>JMK107BC6226MA-T</t>
  </si>
  <si>
    <t>2024/06/04 01:39:48.816</t>
  </si>
  <si>
    <t>GRM188C80J226ME15D</t>
  </si>
  <si>
    <t>2024/06/04 01:39:48.774</t>
  </si>
  <si>
    <t>B78.22UMC.0002</t>
  </si>
  <si>
    <t>CHIP CAP 22UF 16V M 0805 X6S</t>
  </si>
  <si>
    <t>14        SIDC000111</t>
  </si>
  <si>
    <t>01370</t>
  </si>
  <si>
    <t>CHIP CAPACITOR 22UF 16V M 0805 X6S</t>
  </si>
  <si>
    <t>62</t>
  </si>
  <si>
    <t>PC75,PC76,PC77,PC78,PC79,PC80,PC81,PC82,PC83,PC84,PC119,PC120,PC121,PC122,PC123,PC124,PC125,PC126,PC127,PC128,PC141,PC142,PC143,PC144,PC145,PC146,PC147,PC148,PC149,PC150,PC185,PC186,PC187,PC188,PC189,PC190,PC191,PC192,PC193,PC194,PC347,PC348,PC365,PC366,PC383,PC384,PC401,PC402,PC419,PC420,PC437,PC438,PC455,PC456,PC473,PC474,PC480,PC481,PC482,PC491,PC492,PC493</t>
  </si>
  <si>
    <t>CL21X226MOYNNWE</t>
  </si>
  <si>
    <t>2023/11/05 14:08:33.343</t>
  </si>
  <si>
    <t>EMK212BC6226MG-TT</t>
  </si>
  <si>
    <t>2023/11/05 14:08:33.365</t>
  </si>
  <si>
    <t>KYOCERA</t>
  </si>
  <si>
    <t>CM21X6S226M16AT</t>
  </si>
  <si>
    <t>2023/11/05 14:08:33.299</t>
  </si>
  <si>
    <t>GRM21BC81C226ME44L</t>
  </si>
  <si>
    <t>2023/11/05 14:08:33.323</t>
  </si>
  <si>
    <t>B78.2U2K9.0002</t>
  </si>
  <si>
    <t>CHIP CAP 2.2UF 10V K 0402 X6S</t>
  </si>
  <si>
    <t>18        PDR0011646</t>
  </si>
  <si>
    <t>01380</t>
  </si>
  <si>
    <t>CHIP CAPACITOR 2.2UF 10V K 0402 X6S</t>
  </si>
  <si>
    <t>C93,PC558</t>
  </si>
  <si>
    <t>CL05X225KP5QUWC</t>
  </si>
  <si>
    <t>2024/04/19 01:30:52.063</t>
  </si>
  <si>
    <t>LMK105AC6225KV-F</t>
  </si>
  <si>
    <t>2024/04/19 01:30:52.094</t>
  </si>
  <si>
    <t>GRM155C81A225KE11D</t>
  </si>
  <si>
    <t>2024/04/19 01:30:52.054</t>
  </si>
  <si>
    <t>B78.2U2KM.0001</t>
  </si>
  <si>
    <t>CHIP CAP 2.2UF 100V K 1206 X7R</t>
  </si>
  <si>
    <t>6        IDC0023220</t>
  </si>
  <si>
    <t>01390</t>
  </si>
  <si>
    <t>CHIP CAPACITOR 2.2UF 100V K 1206 X7R</t>
  </si>
  <si>
    <t>36</t>
  </si>
  <si>
    <t>PC85,PC86,PC87,PC88,PC89,PC90,PC91,PC92,PC93,PC129,PC130,PC131,PC132,PC133,PC134,PC135,PC136,PC137,PC151,PC152,PC153,PC154,PC155,PC156,PC157,PC158,PC159,PC195,PC196,PC197,PC198,PC199,PC200,PC201,PC202,PC203</t>
  </si>
  <si>
    <t>1206B225K101CT</t>
  </si>
  <si>
    <t>2024/05/10 07:25:23.083</t>
  </si>
  <si>
    <t>CC1206KKX7R0BB225</t>
  </si>
  <si>
    <t>2024/05/10 07:25:23.126</t>
  </si>
  <si>
    <t>B78.33NKF.0001</t>
  </si>
  <si>
    <t>CHIP CAP 33NF 25V K 0402 X7R</t>
  </si>
  <si>
    <t>23        PDR0011617</t>
  </si>
  <si>
    <t>01400</t>
  </si>
  <si>
    <t>CHIP CAPACITOR 33NF 25V K 0402 X7R</t>
  </si>
  <si>
    <t>PC497</t>
  </si>
  <si>
    <t>CC0402KRX7R8BB333</t>
  </si>
  <si>
    <t>2024/06/06 06:07:40.440</t>
  </si>
  <si>
    <t>CL05B333KA5NNWC</t>
  </si>
  <si>
    <t>2024/06/06 06:07:40.383</t>
  </si>
  <si>
    <t>0402B333K250CT</t>
  </si>
  <si>
    <t>2024/06/06 06:07:40.412</t>
  </si>
  <si>
    <t>B78.47NKC.0001</t>
  </si>
  <si>
    <t>CHIP CAP 47NF 16V K 0402 X7R</t>
  </si>
  <si>
    <t>11        SIDC000111</t>
  </si>
  <si>
    <t>01410</t>
  </si>
  <si>
    <t>CHIP CAPACITOR 47NF 16V K 0402 X7R</t>
  </si>
  <si>
    <t>PC350,PC530,PC531,PC532,PC533,PC534,PC535,PC536</t>
  </si>
  <si>
    <t>0402B473K160CT</t>
  </si>
  <si>
    <t>2024/04/24 02:35:01.301</t>
  </si>
  <si>
    <t>CC0402KRX7R7BB473</t>
  </si>
  <si>
    <t>2024/04/24 02:35:01.324</t>
  </si>
  <si>
    <t>CL05B473KO5NNNC</t>
  </si>
  <si>
    <t>2024/04/24 02:35:01.276</t>
  </si>
  <si>
    <t>B78.47PJH.0001</t>
  </si>
  <si>
    <t>CHIP CAP 47PF 50V J 0402 NPO</t>
  </si>
  <si>
    <t>10        IDC0025066</t>
  </si>
  <si>
    <t>01420</t>
  </si>
  <si>
    <t>CHIP CAPACITOR 47PF 50V J 0402 NPO</t>
  </si>
  <si>
    <t>C143,C146</t>
  </si>
  <si>
    <t>CL05C470JB5NNNC</t>
  </si>
  <si>
    <t>2023/11/27 07:37:16.804</t>
  </si>
  <si>
    <t>0402N470J500CT</t>
  </si>
  <si>
    <t>2023/11/20 06:11:20.976</t>
  </si>
  <si>
    <t>CC0402JRNPO9BN470</t>
  </si>
  <si>
    <t>2023/11/20 06:11:20.989</t>
  </si>
  <si>
    <t>B78.4N7KF.0001</t>
  </si>
  <si>
    <t>CHIP CAP 4.7NF 25V K 0402 X7R</t>
  </si>
  <si>
    <t>11        IDC0025449</t>
  </si>
  <si>
    <t>01430</t>
  </si>
  <si>
    <t>CHIP CAPACITOR 4.7NF 25V K 0402 X7R</t>
  </si>
  <si>
    <t>C112</t>
  </si>
  <si>
    <t>CL05B472KA5NNNC</t>
  </si>
  <si>
    <t>2024/06/26 02:42:26.909</t>
  </si>
  <si>
    <t>0402B472K250CT</t>
  </si>
  <si>
    <t>2024/06/26 02:42:26.936</t>
  </si>
  <si>
    <t>CC0402KRX7R8BB472</t>
  </si>
  <si>
    <t>2024/06/26 02:42:26.954</t>
  </si>
  <si>
    <t>B78.4N7KM.0002</t>
  </si>
  <si>
    <t>CHIP CAP 4.7NF 100V K 0603 X7R</t>
  </si>
  <si>
    <t>9        SIDC000111</t>
  </si>
  <si>
    <t>01440</t>
  </si>
  <si>
    <t>CHIP CAPACITOR 4.7NF 100V K 0603 X7R</t>
  </si>
  <si>
    <t>C94,C98</t>
  </si>
  <si>
    <t>CC0603KRX7R0BB472</t>
  </si>
  <si>
    <t>2024/04/29 01:18:00.773</t>
  </si>
  <si>
    <t>0603B472K101CT</t>
  </si>
  <si>
    <t>2024/04/29 01:18:00.746</t>
  </si>
  <si>
    <t>B78.4U7KC.0002</t>
  </si>
  <si>
    <t>CHIP CAP 4.7UF 16V K 0805 X7R</t>
  </si>
  <si>
    <t>7        DM007075</t>
  </si>
  <si>
    <t>01450</t>
  </si>
  <si>
    <t>CHIP CAPACITOR 4.7UF 16V K 0805 X7R</t>
  </si>
  <si>
    <t>PC496</t>
  </si>
  <si>
    <t>GRM21BR71C475KA73L</t>
  </si>
  <si>
    <t>2024/06/03 09:03:32.641</t>
  </si>
  <si>
    <t>CL21B475KOFNNNE</t>
  </si>
  <si>
    <t>2024/06/03 09:03:32.663</t>
  </si>
  <si>
    <t>EMK212B7475KG-T</t>
  </si>
  <si>
    <t>2024/06/03 09:03:32.685</t>
  </si>
  <si>
    <t>B78.6N8KF.0001</t>
  </si>
  <si>
    <t>CHIP CAP 6.8NF 25V K 0402 X7R</t>
  </si>
  <si>
    <t>8        IDC0025428</t>
  </si>
  <si>
    <t>01460</t>
  </si>
  <si>
    <t>CHIP CAPACITOR 6.8NF 25V K 0402 X7R</t>
  </si>
  <si>
    <t>PC7,PC45</t>
  </si>
  <si>
    <t>CC0402KRX7R8BB682</t>
  </si>
  <si>
    <t>2024/06/13 03:10:54.892</t>
  </si>
  <si>
    <t>CL05B682KA5NNNC</t>
  </si>
  <si>
    <t>2024/06/13 03:10:54.841</t>
  </si>
  <si>
    <t>0402B682K250CT</t>
  </si>
  <si>
    <t>2024/06/13 03:10:54.864</t>
  </si>
  <si>
    <t>B78.82NKC.0001</t>
  </si>
  <si>
    <t>CHIP CAP 82NF 16V K 0402 X7R</t>
  </si>
  <si>
    <t>7        IDC0023220</t>
  </si>
  <si>
    <t>01470</t>
  </si>
  <si>
    <t>CHIP CAPACITOR 82NF 16V K 0402 X7R</t>
  </si>
  <si>
    <t>PC6,PC43</t>
  </si>
  <si>
    <t>0402B823K160CT</t>
  </si>
  <si>
    <t>2024/06/18 04:16:40.567</t>
  </si>
  <si>
    <t>CC0402KRX7R7BB823</t>
  </si>
  <si>
    <t>2024/06/18 04:16:40.571</t>
  </si>
  <si>
    <t>B78.N33KH.0003</t>
  </si>
  <si>
    <t>CHIP CAP 330PF 50V K 0402 X7R</t>
  </si>
  <si>
    <t>25        PDR0011646</t>
  </si>
  <si>
    <t>01480</t>
  </si>
  <si>
    <t>CHIP CAPACITOR 330PF 50V K 0402 X7R</t>
  </si>
  <si>
    <t>PC498</t>
  </si>
  <si>
    <t>CC0402KRX7R9BB331</t>
  </si>
  <si>
    <t>2024/04/25 03:43:03.148</t>
  </si>
  <si>
    <t>0402B331K500CT</t>
  </si>
  <si>
    <t>2024/04/25 03:43:03.103</t>
  </si>
  <si>
    <t>CL05B331KB5NNNC</t>
  </si>
  <si>
    <t>2024/04/25 03:43:03.063</t>
  </si>
  <si>
    <t>C1005X7R331KGT</t>
  </si>
  <si>
    <t>2024/04/25 03:43:02.969</t>
  </si>
  <si>
    <t>B78.N47KH.0001</t>
  </si>
  <si>
    <t>CHIP CAP 470PF 50V K 0402 X7R</t>
  </si>
  <si>
    <t>10        DM008981</t>
  </si>
  <si>
    <t>01490</t>
  </si>
  <si>
    <t>CHIP CAPACITOR 470PF 50V K 0402 X7R</t>
  </si>
  <si>
    <t>C119,C121,C124,C125,C128,C129,C132,C133</t>
  </si>
  <si>
    <t>CL05B471KB5NNNC</t>
  </si>
  <si>
    <t>2024/05/17 01:38:54.182</t>
  </si>
  <si>
    <t>0402B471K500CT</t>
  </si>
  <si>
    <t>2024/05/17 01:38:54.221</t>
  </si>
  <si>
    <t>CC0402KRX7R9BB471</t>
  </si>
  <si>
    <t>2024/05/17 01:38:54.260</t>
  </si>
  <si>
    <t>B78.U10KC.0001</t>
  </si>
  <si>
    <t>CHIP CAP 100NF 16V K 0402 X7R</t>
  </si>
  <si>
    <t>44        PDR0011677</t>
  </si>
  <si>
    <t>01500</t>
  </si>
  <si>
    <t>CHIP CAPACITOR 100NF 16V K 0402 X7R</t>
  </si>
  <si>
    <t>82</t>
  </si>
  <si>
    <t>C9,C10,C11,C12,C13,C14,C15,C34,C35,C38,C39,C40,C41,C42,C58,C59,C60,C61,C62,C63,C64,C65,C66,C67,C68,C69,C70,C71,C72,C73,C88,C102,C109,C116,C118,C120,C122,C123,C126,C127,C130,C131,C135,C144,C145,C147,C148,C153,C154,PC345,PC351,PC352,PC363,PC369,PC370,PC381,PC387,PC388,PC399,PC405,PC406,PC417,PC423,PC424,PC435,PC441,PC442,PC453,PC459,PC460,PC471,PC477,PC478,PC538,PC539,PC541,PC543,PC545,PC547,PC549,PC551,PC559</t>
  </si>
  <si>
    <t>CL05B104KO5NNNC</t>
  </si>
  <si>
    <t>2023/05/15 01:34:41.401</t>
  </si>
  <si>
    <t>0402B104K160CT</t>
  </si>
  <si>
    <t>2023/05/15 01:34:41.429</t>
  </si>
  <si>
    <t>CC0402KRX7R7BB104</t>
  </si>
  <si>
    <t>2023/05/15 01:34:41.457</t>
  </si>
  <si>
    <t>B78.U10KF.0001</t>
  </si>
  <si>
    <t>CHIP CAP 100NF 25V K 0402 X7R</t>
  </si>
  <si>
    <t>01510</t>
  </si>
  <si>
    <t>CHIP CAPACITOR 100NF 25V K 0402 X7R</t>
  </si>
  <si>
    <t>C87,PC479,PC483,PC489,PC490,PC494,PC495,PC557</t>
  </si>
  <si>
    <t>CL05B104KA5NNNC</t>
  </si>
  <si>
    <t>2023/05/18 07:22:56.061</t>
  </si>
  <si>
    <t>0402B104K250CT</t>
  </si>
  <si>
    <t>2023/05/18 07:22:56.106</t>
  </si>
  <si>
    <t>CC0402KRX7R8BB104</t>
  </si>
  <si>
    <t>2023/05/18 07:22:56.148</t>
  </si>
  <si>
    <t>B78.U10KH.0002</t>
  </si>
  <si>
    <t>CHIP CAP 100NF 50V K 0402 X7R</t>
  </si>
  <si>
    <t>22        PDR0011617</t>
  </si>
  <si>
    <t>01520</t>
  </si>
  <si>
    <t>CHIP CAPACITOR 100NF 50V K 0402 X7R</t>
  </si>
  <si>
    <t>PC35,PC36,PC37,PC72,PC73,PC74</t>
  </si>
  <si>
    <t>0402B104K500CT</t>
  </si>
  <si>
    <t>2024/04/22 09:39:51.510</t>
  </si>
  <si>
    <t>CL05B104KB5NNNC</t>
  </si>
  <si>
    <t>2024/04/22 09:39:51.486</t>
  </si>
  <si>
    <t>CC0402KRX7R9BB104</t>
  </si>
  <si>
    <t>2024/04/22 09:39:51.533</t>
  </si>
  <si>
    <t>B78.U10KM.0001</t>
  </si>
  <si>
    <t>CHIP CAP 100NF 100V K 0805 X7R</t>
  </si>
  <si>
    <t>14        PDR0011595</t>
  </si>
  <si>
    <t>01530</t>
  </si>
  <si>
    <t>CHIP CAPACITOR 100NF 100V K 0805 X7R</t>
  </si>
  <si>
    <t>PC33,PC70</t>
  </si>
  <si>
    <t>0805B104K101CT</t>
  </si>
  <si>
    <t>2023/07/26 07:47:43.408</t>
  </si>
  <si>
    <t>CC0805KKX7R0BB104</t>
  </si>
  <si>
    <t>2023/07/26 07:47:43.427</t>
  </si>
  <si>
    <t>B78.U22KC.0001</t>
  </si>
  <si>
    <t>CHIP CAP 220NF 16V K 0402 X7R</t>
  </si>
  <si>
    <t>01540</t>
  </si>
  <si>
    <t>CHIP CAPACITOR 220NF 16V K 0402 X7R</t>
  </si>
  <si>
    <t>PC335,PC337,PC353,PC355,PC371,PC373,PC389,PC391,PC407,PC409,PC425,PC427,PC443,PC445,PC461,PC463</t>
  </si>
  <si>
    <t>CC0402KRX7R7BB224</t>
  </si>
  <si>
    <t>2024/04/23 10:22:59.213</t>
  </si>
  <si>
    <t>0402B224K160CT</t>
  </si>
  <si>
    <t>2024/04/23 10:22:59.179</t>
  </si>
  <si>
    <t>C1005X7R224KET</t>
  </si>
  <si>
    <t>2024/04/23 10:22:59.116</t>
  </si>
  <si>
    <t>CL05B224KO5NNNC</t>
  </si>
  <si>
    <t>2024/04/23 10:22:59.136</t>
  </si>
  <si>
    <t>B78.U22KF.0003</t>
  </si>
  <si>
    <t>CHIP CAP 220NF 25V K 0402 X7R</t>
  </si>
  <si>
    <t>18        PDR0011617</t>
  </si>
  <si>
    <t>01550</t>
  </si>
  <si>
    <t>CHIP CAPACITOR 220NF 25V K 0402 X7R</t>
  </si>
  <si>
    <t>PC486,PC502</t>
  </si>
  <si>
    <t>0402B224K250CT</t>
  </si>
  <si>
    <t>2024/05/09 07:19:06.365</t>
  </si>
  <si>
    <t>CC0402KRX7R8BB224</t>
  </si>
  <si>
    <t>2024/05/09 07:19:06.393</t>
  </si>
  <si>
    <t>CL05B224KA5NNWC</t>
  </si>
  <si>
    <t>2024/05/09 07:19:06.335</t>
  </si>
  <si>
    <t>B83.00810.0001</t>
  </si>
  <si>
    <t>DISCRETE S.B SMB 2P</t>
  </si>
  <si>
    <t>01560</t>
  </si>
  <si>
    <t>0034</t>
  </si>
  <si>
    <t>DISCRETE S.B SMB 2P SMD</t>
  </si>
  <si>
    <t>B83.03100.0001</t>
  </si>
  <si>
    <t>BR810</t>
  </si>
  <si>
    <t>2023/11/08 09:53:18.554</t>
  </si>
  <si>
    <t>6        DM007295</t>
  </si>
  <si>
    <t xml:space="preserve">DISCRETE S.B SMB 2P SMD </t>
  </si>
  <si>
    <t>PD4,PD9,PD49,PD50,PD51,PD52</t>
  </si>
  <si>
    <t>B3100B</t>
  </si>
  <si>
    <t>2024/08/07 03:53:17.122</t>
  </si>
  <si>
    <t>B83.05014.0001</t>
  </si>
  <si>
    <t>Discretes(Diode, TVS, ESD) - SMD/Others</t>
  </si>
  <si>
    <t>DISCRETE TVS DO-214AB 2P</t>
  </si>
  <si>
    <t>6        IDC0025708</t>
  </si>
  <si>
    <t>01570</t>
  </si>
  <si>
    <t>0036</t>
  </si>
  <si>
    <t>DISCRETE TVS DO-214AB 2P SMD 5.0SMDJ14A</t>
  </si>
  <si>
    <t>PD20,PD22,PD24,PD25,PD27,PD30,PD32,PD34,PD36</t>
  </si>
  <si>
    <t>B83.5KMC1.0002</t>
  </si>
  <si>
    <t>5.0SMDJ14A</t>
  </si>
  <si>
    <t>2024/05/07 13:27:36.677</t>
  </si>
  <si>
    <t>DISCRETE TVS SMC 2P</t>
  </si>
  <si>
    <t>7        DM009142</t>
  </si>
  <si>
    <t>DISCRETE TVS SMC 2P SMD 5KMC14AS</t>
  </si>
  <si>
    <t>326</t>
  </si>
  <si>
    <t>5KMC14AS</t>
  </si>
  <si>
    <t>2023/04/25 02:32:11.406</t>
  </si>
  <si>
    <t>B83.05060.0001</t>
  </si>
  <si>
    <t>9        IDC0025708</t>
  </si>
  <si>
    <t>01580</t>
  </si>
  <si>
    <t>0037</t>
  </si>
  <si>
    <t>DISCRETE TVS DO-214AB 2P SMD 5.0SMDJ60A</t>
  </si>
  <si>
    <t>D6,D24,PD5,PD10,PD47,PD48</t>
  </si>
  <si>
    <t>B83.5KMC6.0001</t>
  </si>
  <si>
    <t>5.0SMDJ60A</t>
  </si>
  <si>
    <t>2024/04/15 08:50:32.227</t>
  </si>
  <si>
    <t>DISCRETE TVS SMC 2P SMD 5KMC60AS</t>
  </si>
  <si>
    <t>324</t>
  </si>
  <si>
    <t>5KMC60AS</t>
  </si>
  <si>
    <t>2022/09/12 03:34:10.288</t>
  </si>
  <si>
    <t>B84.00050.0001</t>
  </si>
  <si>
    <t>9        DM009143</t>
  </si>
  <si>
    <t>01590</t>
  </si>
  <si>
    <t>0038</t>
  </si>
  <si>
    <t>DISCRETE MOSFET P CHANNEL SOT23 3P SMD PMV50EPEAR</t>
  </si>
  <si>
    <t>Q12</t>
  </si>
  <si>
    <t>B84.03407.0001</t>
  </si>
  <si>
    <t>PMV50EPEAR</t>
  </si>
  <si>
    <t>2023/11/17 10:33:44.587</t>
  </si>
  <si>
    <t>DISCRETE MOS PC SOT-23 3P</t>
  </si>
  <si>
    <t>6        DM009143</t>
  </si>
  <si>
    <t>DISCRETE MOSFET P CHANNEL SOT-23 3P SMD PJA3407E</t>
  </si>
  <si>
    <t>PJA3407E</t>
  </si>
  <si>
    <t>2023/12/04 01:56:01.922</t>
  </si>
  <si>
    <t>B84.06017.0001</t>
  </si>
  <si>
    <t>DISCRETE MOS NC SOT23 3P</t>
  </si>
  <si>
    <t>3        DM007306</t>
  </si>
  <si>
    <t>01600</t>
  </si>
  <si>
    <t>0040</t>
  </si>
  <si>
    <t>DISCRETE MOSFET N CHANNEL SOT23 3P SMD DMN601K-7</t>
  </si>
  <si>
    <t>B84.27002.0005</t>
  </si>
  <si>
    <t>DMN601K-7</t>
  </si>
  <si>
    <t>2024/04/23 07:39:18.481</t>
  </si>
  <si>
    <t>DISCRETE MOS NC SOT-23 3P</t>
  </si>
  <si>
    <t>20        IDC0025511</t>
  </si>
  <si>
    <t>DISCRETE MOSFET N CHANNEL SOT-23 3P SMD 2N7002K</t>
  </si>
  <si>
    <t>17</t>
  </si>
  <si>
    <t>Q3,Q77,Q79,Q81,Q83,Q85,Q87,Q114,Q115,Q116,Q117,Q118,Q119,Q120,Q121,Q129,Q130</t>
  </si>
  <si>
    <t>2N7002K</t>
  </si>
  <si>
    <t>2024/03/14 08:46:05.172</t>
  </si>
  <si>
    <t>B84.32613.0001</t>
  </si>
  <si>
    <t>DISCRETE PWR MOS PC POWERDI 8P</t>
  </si>
  <si>
    <t>7        IDC0024824</t>
  </si>
  <si>
    <t>01610</t>
  </si>
  <si>
    <t>0041</t>
  </si>
  <si>
    <t>DISCRETE POWER MOSFET P CHANNEL POWERDI 8P SMD DMP32M6SPS-13</t>
  </si>
  <si>
    <t>Q4,Q5,Q7,Q8</t>
  </si>
  <si>
    <t>B84.SIRA9.0002</t>
  </si>
  <si>
    <t>DMP32M6SPS-13</t>
  </si>
  <si>
    <t>2023/08/31 07:45:26.447</t>
  </si>
  <si>
    <t>DISCRETE PWR MOS PC PPAK SO-8 8P</t>
  </si>
  <si>
    <t>13        IDC0025551</t>
  </si>
  <si>
    <t>DISCRETE POWER MOSFET P CHANNEL PPAK SO-8 8P SMD SIRA99DP-T1</t>
  </si>
  <si>
    <t>R-SEQUOIA HACK</t>
  </si>
  <si>
    <t>329</t>
  </si>
  <si>
    <t>VISHAY</t>
  </si>
  <si>
    <t>SIRA99DP-T1-GE3</t>
  </si>
  <si>
    <t>2023/03/29 08:41:02.809</t>
  </si>
  <si>
    <t>BZA.10H02.0007</t>
  </si>
  <si>
    <t>Grouping Assembly(ZA)</t>
  </si>
  <si>
    <t>YV4 MP MEDUSA BOARD(ME SMT)</t>
  </si>
  <si>
    <t>10        DM009273</t>
  </si>
  <si>
    <t>01620</t>
  </si>
  <si>
    <t>9-</t>
  </si>
  <si>
    <t>YOSEMITE V4 MP MEDUSA BOARD(ME SMT)</t>
  </si>
  <si>
    <t>Manufacture</t>
  </si>
  <si>
    <t>R2</t>
  </si>
  <si>
    <t>Yes</t>
  </si>
  <si>
    <t>Assembly Parts</t>
  </si>
  <si>
    <t>B34.04G09.0001</t>
  </si>
  <si>
    <t>SMT STD D5 H2 M2.5 YV3.5</t>
  </si>
  <si>
    <t>6        DM007847</t>
  </si>
  <si>
    <t>WU</t>
  </si>
  <si>
    <t>BOSS SMT STD D5 H2 M2.5 YV3.5</t>
  </si>
  <si>
    <t>22</t>
  </si>
  <si>
    <t>HS1,HS2,HS3,HS4,HS5,HS6,HS7,HS8,HS9,HS10,HS11,HS12,HS13,HS14,HS15,HS16,HS17,HS18,HS19,HS20,HS21,HS22</t>
  </si>
  <si>
    <t>eric_syu@wiwynn.com</t>
  </si>
  <si>
    <t>431</t>
  </si>
  <si>
    <t>ME Parts</t>
  </si>
  <si>
    <t>ASCEND</t>
  </si>
  <si>
    <t>E74-2003-B00-0B</t>
  </si>
  <si>
    <t>2022/08/12 07:46:29.408</t>
  </si>
  <si>
    <t>B8A.SMN10.0001</t>
  </si>
  <si>
    <t>SMT THSCR D18 H14.1 M3 GN NLK HW</t>
  </si>
  <si>
    <t>4        DM007332</t>
  </si>
  <si>
    <t>SMD THUMB SCREW D18 H14.1 M3 GREEN NYLOCK HW</t>
  </si>
  <si>
    <t>H14</t>
  </si>
  <si>
    <t>B8A.SMN11.0001</t>
  </si>
  <si>
    <t>HANWIT</t>
  </si>
  <si>
    <t>EG-31611-10F20T</t>
  </si>
  <si>
    <t>2023/11/22 08:37:06.014</t>
  </si>
  <si>
    <t>SMT THSCR D18 H14.1 M3 GN NLK SC</t>
  </si>
  <si>
    <t>6        DM007332</t>
  </si>
  <si>
    <t>SMD THUMB SCREW D18 H14.1 M3 GREEN NYLOCK SC</t>
  </si>
  <si>
    <t>SOUTHCO</t>
  </si>
  <si>
    <t>47-SM-99-138-05918</t>
  </si>
  <si>
    <t>2024/08/26 06:18:23.695</t>
  </si>
  <si>
    <t>B74.50230.M001</t>
  </si>
  <si>
    <t>IC HOT SWAP FW:0025 CS:0025FCQFN 24P</t>
  </si>
  <si>
    <t>4        DM007026</t>
  </si>
  <si>
    <t>01630</t>
  </si>
  <si>
    <t>IC HOT SWAP FW:0025 CS:0025 FCQFN 24P SMD MP5023GV-0025-Z</t>
  </si>
  <si>
    <t>PU49</t>
  </si>
  <si>
    <t>MP5023GV-0025-Z</t>
  </si>
  <si>
    <t>2023/08/22 08:05:10.741</t>
  </si>
  <si>
    <t>B71.95461.0001</t>
  </si>
  <si>
    <t>IC I2C SWITCH TSSOP 16P</t>
  </si>
  <si>
    <t>7        DM006992</t>
  </si>
  <si>
    <t>01640</t>
  </si>
  <si>
    <t>IC I2C SWITCH TSSOP 16P PCA9546APW,118</t>
  </si>
  <si>
    <t>U25</t>
  </si>
  <si>
    <t>PCA9546APW,118</t>
  </si>
  <si>
    <t>2023/12/28 08:02:59.031</t>
  </si>
  <si>
    <t>B74.17612.0001</t>
  </si>
  <si>
    <t>IC EFUSE TDFN-EP 10P</t>
  </si>
  <si>
    <t>31        IDC0025003</t>
  </si>
  <si>
    <t>01650</t>
  </si>
  <si>
    <t>IC EFUSE TDFN-EP 10P SMD MAX17612AATB+T</t>
  </si>
  <si>
    <t>U66,U67</t>
  </si>
  <si>
    <t>405</t>
  </si>
  <si>
    <t>MAX17612AATB+T</t>
  </si>
  <si>
    <t>2023/05/16 09:43:32.531</t>
  </si>
  <si>
    <t>B74.00233.0001</t>
  </si>
  <si>
    <t>7        DM008960</t>
  </si>
  <si>
    <t>01660</t>
  </si>
  <si>
    <t>IC MONITOR FW:NA VSSOP 10P SMD INA233AIDGSR</t>
  </si>
  <si>
    <t>U70</t>
  </si>
  <si>
    <t>INA233AIDGSR</t>
  </si>
  <si>
    <t>2024/05/02 06:26:09.933</t>
  </si>
  <si>
    <t>L1</t>
  </si>
  <si>
    <t>Inductor</t>
  </si>
  <si>
    <t>L2</t>
  </si>
  <si>
    <t>PF1</t>
  </si>
  <si>
    <t>Unknown</t>
  </si>
  <si>
    <t>PF2</t>
  </si>
  <si>
    <t>PU27</t>
  </si>
  <si>
    <t>PU30</t>
  </si>
  <si>
    <t>PU33</t>
  </si>
  <si>
    <t>PU36</t>
  </si>
  <si>
    <t>PU39</t>
  </si>
  <si>
    <t>PU42</t>
  </si>
  <si>
    <t>PU45</t>
  </si>
  <si>
    <t>PU48</t>
  </si>
  <si>
    <t>U26</t>
  </si>
  <si>
    <t>U27</t>
  </si>
  <si>
    <t>U28</t>
  </si>
  <si>
    <t>U29</t>
  </si>
  <si>
    <t>U30</t>
  </si>
  <si>
    <t>U31</t>
  </si>
  <si>
    <t>U32</t>
  </si>
  <si>
    <t>U33</t>
  </si>
  <si>
    <t>U47</t>
  </si>
  <si>
    <t>U48</t>
  </si>
  <si>
    <t>U49</t>
  </si>
  <si>
    <t>U50</t>
  </si>
  <si>
    <t>U51</t>
  </si>
  <si>
    <t>U52</t>
  </si>
  <si>
    <t>U53</t>
  </si>
  <si>
    <t>U54</t>
  </si>
  <si>
    <t>U55</t>
  </si>
  <si>
    <t>U56</t>
  </si>
  <si>
    <t>U57</t>
  </si>
  <si>
    <t>U58</t>
  </si>
  <si>
    <t>U59</t>
  </si>
  <si>
    <t>U60</t>
  </si>
  <si>
    <t>U61</t>
  </si>
  <si>
    <t>U62</t>
  </si>
  <si>
    <t>U5</t>
  </si>
  <si>
    <t>U6</t>
  </si>
  <si>
    <t>PU26</t>
  </si>
  <si>
    <t>PU29</t>
  </si>
  <si>
    <t>PU32</t>
  </si>
  <si>
    <t>PU35</t>
  </si>
  <si>
    <t>PU38</t>
  </si>
  <si>
    <t>PU41</t>
  </si>
  <si>
    <t>PU44</t>
  </si>
  <si>
    <t>PU47</t>
  </si>
  <si>
    <t>U74</t>
  </si>
  <si>
    <t>U75</t>
  </si>
  <si>
    <t>U76</t>
  </si>
  <si>
    <t>U77</t>
  </si>
  <si>
    <t>U78</t>
  </si>
  <si>
    <t>U79</t>
  </si>
  <si>
    <t>U80</t>
  </si>
  <si>
    <t>U81</t>
  </si>
  <si>
    <t>U89</t>
  </si>
  <si>
    <t>U90</t>
  </si>
  <si>
    <t>Q90</t>
  </si>
  <si>
    <t>FET</t>
  </si>
  <si>
    <t>Q91</t>
  </si>
  <si>
    <t>Q93</t>
  </si>
  <si>
    <t>Q94</t>
  </si>
  <si>
    <t>Q96</t>
  </si>
  <si>
    <t>Q97</t>
  </si>
  <si>
    <t>Q99</t>
  </si>
  <si>
    <t>Q100</t>
  </si>
  <si>
    <t>Q102</t>
  </si>
  <si>
    <t>Q103</t>
  </si>
  <si>
    <t>Q105</t>
  </si>
  <si>
    <t>Q106</t>
  </si>
  <si>
    <t>Q108</t>
  </si>
  <si>
    <t>Q109</t>
  </si>
  <si>
    <t>Q111</t>
  </si>
  <si>
    <t>Q112</t>
  </si>
  <si>
    <t>Q131</t>
  </si>
  <si>
    <t>Q132</t>
  </si>
  <si>
    <t>PTC5</t>
  </si>
  <si>
    <t>Capacitor</t>
  </si>
  <si>
    <t>PTC6</t>
  </si>
  <si>
    <t>PTC7</t>
  </si>
  <si>
    <t>PTC8</t>
  </si>
  <si>
    <t>PTC21</t>
  </si>
  <si>
    <t>PTC22</t>
  </si>
  <si>
    <t>PTC23</t>
  </si>
  <si>
    <t>PTC24</t>
  </si>
  <si>
    <t>PTC29</t>
  </si>
  <si>
    <t>PTC30</t>
  </si>
  <si>
    <t>PTC31</t>
  </si>
  <si>
    <t>PTC32</t>
  </si>
  <si>
    <t>PTC45</t>
  </si>
  <si>
    <t>PTC46</t>
  </si>
  <si>
    <t>PTC47</t>
  </si>
  <si>
    <t>PTC48</t>
  </si>
  <si>
    <t>PTC1</t>
  </si>
  <si>
    <t>PTC2</t>
  </si>
  <si>
    <t>PTC3</t>
  </si>
  <si>
    <t>PTC4</t>
  </si>
  <si>
    <t>PTC17</t>
  </si>
  <si>
    <t>PTC18</t>
  </si>
  <si>
    <t>PTC19</t>
  </si>
  <si>
    <t>PTC20</t>
  </si>
  <si>
    <t>PTC25</t>
  </si>
  <si>
    <t>PTC26</t>
  </si>
  <si>
    <t>PTC27</t>
  </si>
  <si>
    <t>PTC28</t>
  </si>
  <si>
    <t>PTC41</t>
  </si>
  <si>
    <t>PTC42</t>
  </si>
  <si>
    <t>PTC43</t>
  </si>
  <si>
    <t>PTC44</t>
  </si>
  <si>
    <t>PTC49</t>
  </si>
  <si>
    <t>PTC50</t>
  </si>
  <si>
    <t>PTC51</t>
  </si>
  <si>
    <t>PTC52</t>
  </si>
  <si>
    <t>D1</t>
  </si>
  <si>
    <t>Diode</t>
  </si>
  <si>
    <t>D2</t>
  </si>
  <si>
    <t>D35</t>
  </si>
  <si>
    <t>D36</t>
  </si>
  <si>
    <t>D8</t>
  </si>
  <si>
    <t>D9</t>
  </si>
  <si>
    <t>D10</t>
  </si>
  <si>
    <t>D11</t>
  </si>
  <si>
    <t>D12</t>
  </si>
  <si>
    <t>D13</t>
  </si>
  <si>
    <t>Q76</t>
  </si>
  <si>
    <t>Q78</t>
  </si>
  <si>
    <t>Q80</t>
  </si>
  <si>
    <t>Q82</t>
  </si>
  <si>
    <t>Q84</t>
  </si>
  <si>
    <t>Q86</t>
  </si>
  <si>
    <t>PQ1</t>
  </si>
  <si>
    <t>PQ10</t>
  </si>
  <si>
    <t>PQ4</t>
  </si>
  <si>
    <t>PQ5</t>
  </si>
  <si>
    <t>PQ6</t>
  </si>
  <si>
    <t>PQ7</t>
  </si>
  <si>
    <t>PQ8</t>
  </si>
  <si>
    <t>PQ9</t>
  </si>
  <si>
    <t>PQ13</t>
  </si>
  <si>
    <t>PQ14</t>
  </si>
  <si>
    <t>PQ15</t>
  </si>
  <si>
    <t>PQ16</t>
  </si>
  <si>
    <t>PQ17</t>
  </si>
  <si>
    <t>PQ18</t>
  </si>
  <si>
    <t>Q14</t>
  </si>
  <si>
    <t>Q15</t>
  </si>
  <si>
    <t>R1556</t>
  </si>
  <si>
    <t>Resistor</t>
  </si>
  <si>
    <t>R1557</t>
  </si>
  <si>
    <t>U1</t>
  </si>
  <si>
    <t>U2</t>
  </si>
  <si>
    <t>U3</t>
  </si>
  <si>
    <t>U4</t>
  </si>
  <si>
    <t>U18</t>
  </si>
  <si>
    <t>U72</t>
  </si>
  <si>
    <t>U91</t>
  </si>
  <si>
    <t>U92</t>
  </si>
  <si>
    <t>U97</t>
  </si>
  <si>
    <t>U98</t>
  </si>
  <si>
    <t>PD55</t>
  </si>
  <si>
    <t>PD56</t>
  </si>
  <si>
    <t>PU6</t>
  </si>
  <si>
    <t>PU10</t>
  </si>
  <si>
    <t>PU12</t>
  </si>
  <si>
    <t>PU16</t>
  </si>
  <si>
    <t>Connector</t>
  </si>
  <si>
    <t>PR1004</t>
  </si>
  <si>
    <t>PR1005</t>
  </si>
  <si>
    <t>PR86</t>
  </si>
  <si>
    <t>PR189</t>
  </si>
  <si>
    <t>PR632</t>
  </si>
  <si>
    <t>PR678</t>
  </si>
  <si>
    <t>PR724</t>
  </si>
  <si>
    <t>PR770</t>
  </si>
  <si>
    <t>PR816</t>
  </si>
  <si>
    <t>PR862</t>
  </si>
  <si>
    <t>PR908</t>
  </si>
  <si>
    <t>PR954</t>
  </si>
  <si>
    <t>PR1015</t>
  </si>
  <si>
    <t>PR1018</t>
  </si>
  <si>
    <t>PR11</t>
  </si>
  <si>
    <t>PR12</t>
  </si>
  <si>
    <t>PR16</t>
  </si>
  <si>
    <t>PR17</t>
  </si>
  <si>
    <t>PR20</t>
  </si>
  <si>
    <t>PR26</t>
  </si>
  <si>
    <t>PR112</t>
  </si>
  <si>
    <t>PR118</t>
  </si>
  <si>
    <t>PR119</t>
  </si>
  <si>
    <t>PR121</t>
  </si>
  <si>
    <t>PR132</t>
  </si>
  <si>
    <t>PR205</t>
  </si>
  <si>
    <t>PR240</t>
  </si>
  <si>
    <t>PR627</t>
  </si>
  <si>
    <t>PR633</t>
  </si>
  <si>
    <t>PR643</t>
  </si>
  <si>
    <t>PR644</t>
  </si>
  <si>
    <t>PR645</t>
  </si>
  <si>
    <t>PR650</t>
  </si>
  <si>
    <t>PR653</t>
  </si>
  <si>
    <t>PR655</t>
  </si>
  <si>
    <t>PR656</t>
  </si>
  <si>
    <t>PR660</t>
  </si>
  <si>
    <t>PR662</t>
  </si>
  <si>
    <t>PR663</t>
  </si>
  <si>
    <t>PR669</t>
  </si>
  <si>
    <t>PR672</t>
  </si>
  <si>
    <t>PR673</t>
  </si>
  <si>
    <t>PR679</t>
  </si>
  <si>
    <t>PR689</t>
  </si>
  <si>
    <t>PR690</t>
  </si>
  <si>
    <t>PR691</t>
  </si>
  <si>
    <t>PR696</t>
  </si>
  <si>
    <t>PR699</t>
  </si>
  <si>
    <t>PR701</t>
  </si>
  <si>
    <t>PR702</t>
  </si>
  <si>
    <t>PR706</t>
  </si>
  <si>
    <t>PR708</t>
  </si>
  <si>
    <t>PR709</t>
  </si>
  <si>
    <t>PR715</t>
  </si>
  <si>
    <t>PR718</t>
  </si>
  <si>
    <t>PR719</t>
  </si>
  <si>
    <t>PR725</t>
  </si>
  <si>
    <t>PR735</t>
  </si>
  <si>
    <t>PR736</t>
  </si>
  <si>
    <t>PR737</t>
  </si>
  <si>
    <t>PR742</t>
  </si>
  <si>
    <t>PR744</t>
  </si>
  <si>
    <t>PR747</t>
  </si>
  <si>
    <t>PR748</t>
  </si>
  <si>
    <t>PR752</t>
  </si>
  <si>
    <t>PR754</t>
  </si>
  <si>
    <t>PR755</t>
  </si>
  <si>
    <t>PR761</t>
  </si>
  <si>
    <t>PR764</t>
  </si>
  <si>
    <t>PR765</t>
  </si>
  <si>
    <t>PR771</t>
  </si>
  <si>
    <t>PR781</t>
  </si>
  <si>
    <t>PR782</t>
  </si>
  <si>
    <t>PR783</t>
  </si>
  <si>
    <t>PR788</t>
  </si>
  <si>
    <t>PR789</t>
  </si>
  <si>
    <t>PR793</t>
  </si>
  <si>
    <t>PR794</t>
  </si>
  <si>
    <t>PR799</t>
  </si>
  <si>
    <t>PR800</t>
  </si>
  <si>
    <t>PR801</t>
  </si>
  <si>
    <t>PR807</t>
  </si>
  <si>
    <t>PR810</t>
  </si>
  <si>
    <t>PR811</t>
  </si>
  <si>
    <t>PR817</t>
  </si>
  <si>
    <t>PR827</t>
  </si>
  <si>
    <t>PR828</t>
  </si>
  <si>
    <t>PR829</t>
  </si>
  <si>
    <t>PR834</t>
  </si>
  <si>
    <t>PR836</t>
  </si>
  <si>
    <t>PR839</t>
  </si>
  <si>
    <t>PR840</t>
  </si>
  <si>
    <t>PR845</t>
  </si>
  <si>
    <t>PR846</t>
  </si>
  <si>
    <t>PR847</t>
  </si>
  <si>
    <t>PR853</t>
  </si>
  <si>
    <t>PR856</t>
  </si>
  <si>
    <t>PR857</t>
  </si>
  <si>
    <t>PR863</t>
  </si>
  <si>
    <t>PR873</t>
  </si>
  <si>
    <t>PR874</t>
  </si>
  <si>
    <t>PR875</t>
  </si>
  <si>
    <t>PR880</t>
  </si>
  <si>
    <t>PR882</t>
  </si>
  <si>
    <t>PR885</t>
  </si>
  <si>
    <t>PR886</t>
  </si>
  <si>
    <t>PR890</t>
  </si>
  <si>
    <t>PR891</t>
  </si>
  <si>
    <t>PR893</t>
  </si>
  <si>
    <t>PR899</t>
  </si>
  <si>
    <t>PR902</t>
  </si>
  <si>
    <t>PR903</t>
  </si>
  <si>
    <t>PR909</t>
  </si>
  <si>
    <t>PR919</t>
  </si>
  <si>
    <t>PR920</t>
  </si>
  <si>
    <t>PR921</t>
  </si>
  <si>
    <t>PR926</t>
  </si>
  <si>
    <t>PR927</t>
  </si>
  <si>
    <t>PR931</t>
  </si>
  <si>
    <t>PR932</t>
  </si>
  <si>
    <t>PR936</t>
  </si>
  <si>
    <t>PR937</t>
  </si>
  <si>
    <t>PR939</t>
  </si>
  <si>
    <t>PR945</t>
  </si>
  <si>
    <t>PR948</t>
  </si>
  <si>
    <t>PR949</t>
  </si>
  <si>
    <t>PR955</t>
  </si>
  <si>
    <t>PR965</t>
  </si>
  <si>
    <t>PR966</t>
  </si>
  <si>
    <t>PR967</t>
  </si>
  <si>
    <t>PR972</t>
  </si>
  <si>
    <t>PR974</t>
  </si>
  <si>
    <t>PR977</t>
  </si>
  <si>
    <t>PR978</t>
  </si>
  <si>
    <t>PR982</t>
  </si>
  <si>
    <t>PR984</t>
  </si>
  <si>
    <t>PR985</t>
  </si>
  <si>
    <t>PR991</t>
  </si>
  <si>
    <t>PR994</t>
  </si>
  <si>
    <t>PR1007</t>
  </si>
  <si>
    <t>PR1009</t>
  </si>
  <si>
    <t>PR1010</t>
  </si>
  <si>
    <t>PR1012</t>
  </si>
  <si>
    <t>PR1024</t>
  </si>
  <si>
    <t>R44</t>
  </si>
  <si>
    <t>R285</t>
  </si>
  <si>
    <t>R286</t>
  </si>
  <si>
    <t>R296</t>
  </si>
  <si>
    <t>R318</t>
  </si>
  <si>
    <t>R1554</t>
  </si>
  <si>
    <t>R1555</t>
  </si>
  <si>
    <t>PR1027</t>
  </si>
  <si>
    <t>R45</t>
  </si>
  <si>
    <t>R64</t>
  </si>
  <si>
    <t>R66</t>
  </si>
  <si>
    <t>R67</t>
  </si>
  <si>
    <t>R84</t>
  </si>
  <si>
    <t>R90</t>
  </si>
  <si>
    <t>R91</t>
  </si>
  <si>
    <t>R112</t>
  </si>
  <si>
    <t>R117</t>
  </si>
  <si>
    <t>R119</t>
  </si>
  <si>
    <t>R125</t>
  </si>
  <si>
    <t>R126</t>
  </si>
  <si>
    <t>R131</t>
  </si>
  <si>
    <t>R164</t>
  </si>
  <si>
    <t>R165</t>
  </si>
  <si>
    <t>R166</t>
  </si>
  <si>
    <t>R173</t>
  </si>
  <si>
    <t>R174</t>
  </si>
  <si>
    <t>R281</t>
  </si>
  <si>
    <t>R646</t>
  </si>
  <si>
    <t>R648</t>
  </si>
  <si>
    <t>R650</t>
  </si>
  <si>
    <t>R1459</t>
  </si>
  <si>
    <t>PR628</t>
  </si>
  <si>
    <t>PR661</t>
  </si>
  <si>
    <t>PR674</t>
  </si>
  <si>
    <t>PR707</t>
  </si>
  <si>
    <t>PR720</t>
  </si>
  <si>
    <t>PR753</t>
  </si>
  <si>
    <t>PR766</t>
  </si>
  <si>
    <t>PR798</t>
  </si>
  <si>
    <t>PR812</t>
  </si>
  <si>
    <t>PR844</t>
  </si>
  <si>
    <t>PR858</t>
  </si>
  <si>
    <t>PR892</t>
  </si>
  <si>
    <t>PR904</t>
  </si>
  <si>
    <t>PR938</t>
  </si>
  <si>
    <t>PR950</t>
  </si>
  <si>
    <t>PR983</t>
  </si>
  <si>
    <t>PR85</t>
  </si>
  <si>
    <t>PR89</t>
  </si>
  <si>
    <t>PR90</t>
  </si>
  <si>
    <t>PR91</t>
  </si>
  <si>
    <t>PR93</t>
  </si>
  <si>
    <t>PR94</t>
  </si>
  <si>
    <t>PR95</t>
  </si>
  <si>
    <t>PR99</t>
  </si>
  <si>
    <t>PR101</t>
  </si>
  <si>
    <t>PR102</t>
  </si>
  <si>
    <t>PR187</t>
  </si>
  <si>
    <t>PR188</t>
  </si>
  <si>
    <t>PR192</t>
  </si>
  <si>
    <t>PR193</t>
  </si>
  <si>
    <t>PR195</t>
  </si>
  <si>
    <t>PR196</t>
  </si>
  <si>
    <t>PR197</t>
  </si>
  <si>
    <t>PR198</t>
  </si>
  <si>
    <t>PR203</t>
  </si>
  <si>
    <t>PR204</t>
  </si>
  <si>
    <t>PR1029</t>
  </si>
  <si>
    <t>PR1229</t>
  </si>
  <si>
    <t>PR1253</t>
  </si>
  <si>
    <t>R1540</t>
  </si>
  <si>
    <t>R1543</t>
  </si>
  <si>
    <t>PR8</t>
  </si>
  <si>
    <t>PR9</t>
  </si>
  <si>
    <t>PR29</t>
  </si>
  <si>
    <t>PR110</t>
  </si>
  <si>
    <t>PR111</t>
  </si>
  <si>
    <t>PR130</t>
  </si>
  <si>
    <t>PR634</t>
  </si>
  <si>
    <t>PR638</t>
  </si>
  <si>
    <t>PR680</t>
  </si>
  <si>
    <t>PR683</t>
  </si>
  <si>
    <t>PR726</t>
  </si>
  <si>
    <t>PR727</t>
  </si>
  <si>
    <t>PR772</t>
  </si>
  <si>
    <t>PR773</t>
  </si>
  <si>
    <t>PR818</t>
  </si>
  <si>
    <t>PR820</t>
  </si>
  <si>
    <t>PR864</t>
  </si>
  <si>
    <t>PR866</t>
  </si>
  <si>
    <t>PR910</t>
  </si>
  <si>
    <t>PR912</t>
  </si>
  <si>
    <t>PR956</t>
  </si>
  <si>
    <t>PR958</t>
  </si>
  <si>
    <t>PR998</t>
  </si>
  <si>
    <t>PR1141</t>
  </si>
  <si>
    <t>PR1143</t>
  </si>
  <si>
    <t>PR1144</t>
  </si>
  <si>
    <t>PR1147</t>
  </si>
  <si>
    <t>PR1149</t>
  </si>
  <si>
    <t>PR1151</t>
  </si>
  <si>
    <t>PR1152</t>
  </si>
  <si>
    <t>PR1158</t>
  </si>
  <si>
    <t>PR1159</t>
  </si>
  <si>
    <t>PR1160</t>
  </si>
  <si>
    <t>PR1162</t>
  </si>
  <si>
    <t>PR1163</t>
  </si>
  <si>
    <t>PR1169</t>
  </si>
  <si>
    <t>PR1170</t>
  </si>
  <si>
    <t>PR1171</t>
  </si>
  <si>
    <t>PR1173</t>
  </si>
  <si>
    <t>PR1174</t>
  </si>
  <si>
    <t>PR1179</t>
  </si>
  <si>
    <t>PR1180</t>
  </si>
  <si>
    <t>PR1181</t>
  </si>
  <si>
    <t>PR1184</t>
  </si>
  <si>
    <t>PR1185</t>
  </si>
  <si>
    <t>PR1190</t>
  </si>
  <si>
    <t>PR1191</t>
  </si>
  <si>
    <t>PR1192</t>
  </si>
  <si>
    <t>PR1194</t>
  </si>
  <si>
    <t>PR1195</t>
  </si>
  <si>
    <t>PR1201</t>
  </si>
  <si>
    <t>PR1202</t>
  </si>
  <si>
    <t>PR1203</t>
  </si>
  <si>
    <t>PR1205</t>
  </si>
  <si>
    <t>PR1206</t>
  </si>
  <si>
    <t>PR1212</t>
  </si>
  <si>
    <t>PR1213</t>
  </si>
  <si>
    <t>PR1214</t>
  </si>
  <si>
    <t>PR1216</t>
  </si>
  <si>
    <t>PR1217</t>
  </si>
  <si>
    <t>PR1223</t>
  </si>
  <si>
    <t>PR1224</t>
  </si>
  <si>
    <t>PR1225</t>
  </si>
  <si>
    <t>R100</t>
  </si>
  <si>
    <t>R102</t>
  </si>
  <si>
    <t>R107</t>
  </si>
  <si>
    <t>R109</t>
  </si>
  <si>
    <t>R110</t>
  </si>
  <si>
    <t>R169</t>
  </si>
  <si>
    <t>R280</t>
  </si>
  <si>
    <t>R291</t>
  </si>
  <si>
    <t>R293</t>
  </si>
  <si>
    <t>R295</t>
  </si>
  <si>
    <t>R345</t>
  </si>
  <si>
    <t>R346</t>
  </si>
  <si>
    <t>R392</t>
  </si>
  <si>
    <t>R393</t>
  </si>
  <si>
    <t>R515</t>
  </si>
  <si>
    <t>R516</t>
  </si>
  <si>
    <t>R517</t>
  </si>
  <si>
    <t>R520</t>
  </si>
  <si>
    <t>R521</t>
  </si>
  <si>
    <t>R522</t>
  </si>
  <si>
    <t>R525</t>
  </si>
  <si>
    <t>R526</t>
  </si>
  <si>
    <t>R527</t>
  </si>
  <si>
    <t>R530</t>
  </si>
  <si>
    <t>R531</t>
  </si>
  <si>
    <t>R532</t>
  </si>
  <si>
    <t>R535</t>
  </si>
  <si>
    <t>R536</t>
  </si>
  <si>
    <t>R537</t>
  </si>
  <si>
    <t>R540</t>
  </si>
  <si>
    <t>R541</t>
  </si>
  <si>
    <t>R542</t>
  </si>
  <si>
    <t>R545</t>
  </si>
  <si>
    <t>R546</t>
  </si>
  <si>
    <t>R547</t>
  </si>
  <si>
    <t>R550</t>
  </si>
  <si>
    <t>R551</t>
  </si>
  <si>
    <t>R552</t>
  </si>
  <si>
    <t>R564</t>
  </si>
  <si>
    <t>R654</t>
  </si>
  <si>
    <t>R677</t>
  </si>
  <si>
    <t>R678</t>
  </si>
  <si>
    <t>R1335</t>
  </si>
  <si>
    <t>R1340</t>
  </si>
  <si>
    <t>R1343</t>
  </si>
  <si>
    <t>R1346</t>
  </si>
  <si>
    <t>R1353</t>
  </si>
  <si>
    <t>R1356</t>
  </si>
  <si>
    <t>R1359</t>
  </si>
  <si>
    <t>R1361</t>
  </si>
  <si>
    <t>R1362</t>
  </si>
  <si>
    <t>R1363</t>
  </si>
  <si>
    <t>R1364</t>
  </si>
  <si>
    <t>R1365</t>
  </si>
  <si>
    <t>R1366</t>
  </si>
  <si>
    <t>R1367</t>
  </si>
  <si>
    <t>R1368</t>
  </si>
  <si>
    <t>R1369</t>
  </si>
  <si>
    <t>R1370</t>
  </si>
  <si>
    <t>R1371</t>
  </si>
  <si>
    <t>R1372</t>
  </si>
  <si>
    <t>R1373</t>
  </si>
  <si>
    <t>R1374</t>
  </si>
  <si>
    <t>R1375</t>
  </si>
  <si>
    <t>R1376</t>
  </si>
  <si>
    <t>R1377</t>
  </si>
  <si>
    <t>R1378</t>
  </si>
  <si>
    <t>R1379</t>
  </si>
  <si>
    <t>R1380</t>
  </si>
  <si>
    <t>R1382</t>
  </si>
  <si>
    <t>R1387</t>
  </si>
  <si>
    <t>R1392</t>
  </si>
  <si>
    <t>R1393</t>
  </si>
  <si>
    <t>R1402</t>
  </si>
  <si>
    <t>R1403</t>
  </si>
  <si>
    <t>R1412</t>
  </si>
  <si>
    <t>R1413</t>
  </si>
  <si>
    <t>R1432</t>
  </si>
  <si>
    <t>R1434</t>
  </si>
  <si>
    <t>R1438</t>
  </si>
  <si>
    <t>R1440</t>
  </si>
  <si>
    <t>R1442</t>
  </si>
  <si>
    <t>R1444</t>
  </si>
  <si>
    <t>R1446</t>
  </si>
  <si>
    <t>R1448</t>
  </si>
  <si>
    <t>R1450</t>
  </si>
  <si>
    <t>R1452</t>
  </si>
  <si>
    <t>R1454</t>
  </si>
  <si>
    <t>R1461</t>
  </si>
  <si>
    <t>R1501</t>
  </si>
  <si>
    <t>R1512</t>
  </si>
  <si>
    <t>R1518</t>
  </si>
  <si>
    <t>R1520</t>
  </si>
  <si>
    <t>R1550</t>
  </si>
  <si>
    <t>R1551</t>
  </si>
  <si>
    <t>R1552</t>
  </si>
  <si>
    <t>R1553</t>
  </si>
  <si>
    <t>R605</t>
  </si>
  <si>
    <t>R614</t>
  </si>
  <si>
    <t>R615</t>
  </si>
  <si>
    <t>R616</t>
  </si>
  <si>
    <t>R617</t>
  </si>
  <si>
    <t>R629</t>
  </si>
  <si>
    <t>R630</t>
  </si>
  <si>
    <t>R631</t>
  </si>
  <si>
    <t>R632</t>
  </si>
  <si>
    <t>R1325</t>
  </si>
  <si>
    <t>R1326</t>
  </si>
  <si>
    <t>R1327</t>
  </si>
  <si>
    <t>R1328</t>
  </si>
  <si>
    <t>PR5</t>
  </si>
  <si>
    <t>PR107</t>
  </si>
  <si>
    <t>PR1254</t>
  </si>
  <si>
    <t>PR1255</t>
  </si>
  <si>
    <t>PR629</t>
  </si>
  <si>
    <t>PR630</t>
  </si>
  <si>
    <t>PR631</t>
  </si>
  <si>
    <t>PR637</t>
  </si>
  <si>
    <t>PR670</t>
  </si>
  <si>
    <t>PR675</t>
  </si>
  <si>
    <t>PR676</t>
  </si>
  <si>
    <t>PR677</t>
  </si>
  <si>
    <t>PR682</t>
  </si>
  <si>
    <t>PR716</t>
  </si>
  <si>
    <t>PR721</t>
  </si>
  <si>
    <t>PR722</t>
  </si>
  <si>
    <t>PR723</t>
  </si>
  <si>
    <t>PR730</t>
  </si>
  <si>
    <t>PR762</t>
  </si>
  <si>
    <t>PR767</t>
  </si>
  <si>
    <t>PR768</t>
  </si>
  <si>
    <t>PR769</t>
  </si>
  <si>
    <t>PR775</t>
  </si>
  <si>
    <t>PR808</t>
  </si>
  <si>
    <t>PR813</t>
  </si>
  <si>
    <t>PR814</t>
  </si>
  <si>
    <t>PR815</t>
  </si>
  <si>
    <t>PR819</t>
  </si>
  <si>
    <t>PR854</t>
  </si>
  <si>
    <t>PR859</t>
  </si>
  <si>
    <t>PR860</t>
  </si>
  <si>
    <t>PR861</t>
  </si>
  <si>
    <t>PR865</t>
  </si>
  <si>
    <t>PR900</t>
  </si>
  <si>
    <t>PR905</t>
  </si>
  <si>
    <t>PR906</t>
  </si>
  <si>
    <t>PR907</t>
  </si>
  <si>
    <t>PR911</t>
  </si>
  <si>
    <t>PR946</t>
  </si>
  <si>
    <t>PR951</t>
  </si>
  <si>
    <t>PR952</t>
  </si>
  <si>
    <t>PR953</t>
  </si>
  <si>
    <t>PR957</t>
  </si>
  <si>
    <t>PR992</t>
  </si>
  <si>
    <t>PR997</t>
  </si>
  <si>
    <t>PR1006</t>
  </si>
  <si>
    <t>R7</t>
  </si>
  <si>
    <t>R8</t>
  </si>
  <si>
    <t>R12</t>
  </si>
  <si>
    <t>R14</t>
  </si>
  <si>
    <t>R15</t>
  </si>
  <si>
    <t>R22</t>
  </si>
  <si>
    <t>R25</t>
  </si>
  <si>
    <t>R32</t>
  </si>
  <si>
    <t>R33</t>
  </si>
  <si>
    <t>R35</t>
  </si>
  <si>
    <t>R60</t>
  </si>
  <si>
    <t>R61</t>
  </si>
  <si>
    <t>R62</t>
  </si>
  <si>
    <t>R63</t>
  </si>
  <si>
    <t>R65</t>
  </si>
  <si>
    <t>R68</t>
  </si>
  <si>
    <t>R69</t>
  </si>
  <si>
    <t>R70</t>
  </si>
  <si>
    <t>R71</t>
  </si>
  <si>
    <t>R72</t>
  </si>
  <si>
    <t>R73</t>
  </si>
  <si>
    <t>R74</t>
  </si>
  <si>
    <t>R75</t>
  </si>
  <si>
    <t>R77</t>
  </si>
  <si>
    <t>R79</t>
  </si>
  <si>
    <t>R80</t>
  </si>
  <si>
    <t>R81</t>
  </si>
  <si>
    <t>R85</t>
  </si>
  <si>
    <t>R86</t>
  </si>
  <si>
    <t>R87</t>
  </si>
  <si>
    <t>R89</t>
  </si>
  <si>
    <t>R93</t>
  </si>
  <si>
    <t>R94</t>
  </si>
  <si>
    <t>R95</t>
  </si>
  <si>
    <t>R96</t>
  </si>
  <si>
    <t>R97</t>
  </si>
  <si>
    <t>R98</t>
  </si>
  <si>
    <t>R99</t>
  </si>
  <si>
    <t>R114</t>
  </si>
  <si>
    <t>R115</t>
  </si>
  <si>
    <t>R116</t>
  </si>
  <si>
    <t>R120</t>
  </si>
  <si>
    <t>R121</t>
  </si>
  <si>
    <t>R122</t>
  </si>
  <si>
    <t>R123</t>
  </si>
  <si>
    <t>R127</t>
  </si>
  <si>
    <t>R128</t>
  </si>
  <si>
    <t>R129</t>
  </si>
  <si>
    <t>R130</t>
  </si>
  <si>
    <t>R134</t>
  </si>
  <si>
    <t>R135</t>
  </si>
  <si>
    <t>R136</t>
  </si>
  <si>
    <t>R137</t>
  </si>
  <si>
    <t>R138</t>
  </si>
  <si>
    <t>R139</t>
  </si>
  <si>
    <t>R140</t>
  </si>
  <si>
    <t>R141</t>
  </si>
  <si>
    <t>R142</t>
  </si>
  <si>
    <t>R143</t>
  </si>
  <si>
    <t>R144</t>
  </si>
  <si>
    <t>R145</t>
  </si>
  <si>
    <t>R146</t>
  </si>
  <si>
    <t>R147</t>
  </si>
  <si>
    <t>R148</t>
  </si>
  <si>
    <t>R161</t>
  </si>
  <si>
    <t>R162</t>
  </si>
  <si>
    <t>R163</t>
  </si>
  <si>
    <t>R170</t>
  </si>
  <si>
    <t>R171</t>
  </si>
  <si>
    <t>R172</t>
  </si>
  <si>
    <t>R180</t>
  </si>
  <si>
    <t>R181</t>
  </si>
  <si>
    <t>R212</t>
  </si>
  <si>
    <t>R213</t>
  </si>
  <si>
    <t>R223</t>
  </si>
  <si>
    <t>R317</t>
  </si>
  <si>
    <t>R319</t>
  </si>
  <si>
    <t>R320</t>
  </si>
  <si>
    <t>R321</t>
  </si>
  <si>
    <t>R322</t>
  </si>
  <si>
    <t>R323</t>
  </si>
  <si>
    <t>R324</t>
  </si>
  <si>
    <t>R325</t>
  </si>
  <si>
    <t>R326</t>
  </si>
  <si>
    <t>R327</t>
  </si>
  <si>
    <t>R328</t>
  </si>
  <si>
    <t>R329</t>
  </si>
  <si>
    <t>R330</t>
  </si>
  <si>
    <t>R331</t>
  </si>
  <si>
    <t>R332</t>
  </si>
  <si>
    <t>R333</t>
  </si>
  <si>
    <t>R367</t>
  </si>
  <si>
    <t>R370</t>
  </si>
  <si>
    <t>R373</t>
  </si>
  <si>
    <t>R376</t>
  </si>
  <si>
    <t>R379</t>
  </si>
  <si>
    <t>R382</t>
  </si>
  <si>
    <t>R385</t>
  </si>
  <si>
    <t>R388</t>
  </si>
  <si>
    <t>R518</t>
  </si>
  <si>
    <t>R519</t>
  </si>
  <si>
    <t>R523</t>
  </si>
  <si>
    <t>R524</t>
  </si>
  <si>
    <t>R528</t>
  </si>
  <si>
    <t>R529</t>
  </si>
  <si>
    <t>R533</t>
  </si>
  <si>
    <t>R534</t>
  </si>
  <si>
    <t>R538</t>
  </si>
  <si>
    <t>R539</t>
  </si>
  <si>
    <t>R543</t>
  </si>
  <si>
    <t>R544</t>
  </si>
  <si>
    <t>R548</t>
  </si>
  <si>
    <t>R549</t>
  </si>
  <si>
    <t>R553</t>
  </si>
  <si>
    <t>R554</t>
  </si>
  <si>
    <t>R568</t>
  </si>
  <si>
    <t>R569</t>
  </si>
  <si>
    <t>R573</t>
  </si>
  <si>
    <t>R574</t>
  </si>
  <si>
    <t>R576</t>
  </si>
  <si>
    <t>R577</t>
  </si>
  <si>
    <t>R579</t>
  </si>
  <si>
    <t>R580</t>
  </si>
  <si>
    <t>R582</t>
  </si>
  <si>
    <t>R583</t>
  </si>
  <si>
    <t>R585</t>
  </si>
  <si>
    <t>R586</t>
  </si>
  <si>
    <t>R588</t>
  </si>
  <si>
    <t>R589</t>
  </si>
  <si>
    <t>R591</t>
  </si>
  <si>
    <t>R592</t>
  </si>
  <si>
    <t>R594</t>
  </si>
  <si>
    <t>R597</t>
  </si>
  <si>
    <t>R599</t>
  </si>
  <si>
    <t>R600</t>
  </si>
  <si>
    <t>R655</t>
  </si>
  <si>
    <t>R656</t>
  </si>
  <si>
    <t>R658</t>
  </si>
  <si>
    <t>R660</t>
  </si>
  <si>
    <t>R661</t>
  </si>
  <si>
    <t>R1341</t>
  </si>
  <si>
    <t>R1350</t>
  </si>
  <si>
    <t>R1351</t>
  </si>
  <si>
    <t>R1354</t>
  </si>
  <si>
    <t>R1357</t>
  </si>
  <si>
    <t>R1360</t>
  </si>
  <si>
    <t>R1383</t>
  </si>
  <si>
    <t>R1389</t>
  </si>
  <si>
    <t>R1396</t>
  </si>
  <si>
    <t>R1397</t>
  </si>
  <si>
    <t>R1406</t>
  </si>
  <si>
    <t>R1407</t>
  </si>
  <si>
    <t>R1416</t>
  </si>
  <si>
    <t>R1417</t>
  </si>
  <si>
    <t>R1428</t>
  </si>
  <si>
    <t>R1429</t>
  </si>
  <si>
    <t>R1430</t>
  </si>
  <si>
    <t>R1441</t>
  </si>
  <si>
    <t>R1443</t>
  </si>
  <si>
    <t>R1445</t>
  </si>
  <si>
    <t>R1447</t>
  </si>
  <si>
    <t>R1449</t>
  </si>
  <si>
    <t>R1451</t>
  </si>
  <si>
    <t>R1453</t>
  </si>
  <si>
    <t>R1455</t>
  </si>
  <si>
    <t>R1462</t>
  </si>
  <si>
    <t>R1463</t>
  </si>
  <si>
    <t>R1472</t>
  </si>
  <si>
    <t>R1473</t>
  </si>
  <si>
    <t>R622</t>
  </si>
  <si>
    <t>R633</t>
  </si>
  <si>
    <t>R613</t>
  </si>
  <si>
    <t>R628</t>
  </si>
  <si>
    <t>R5</t>
  </si>
  <si>
    <t>R6</t>
  </si>
  <si>
    <t>R1330</t>
  </si>
  <si>
    <t>PR639</t>
  </si>
  <si>
    <t>PR640</t>
  </si>
  <si>
    <t>PR685</t>
  </si>
  <si>
    <t>PR686</t>
  </si>
  <si>
    <t>PR731</t>
  </si>
  <si>
    <t>PR732</t>
  </si>
  <si>
    <t>PR777</t>
  </si>
  <si>
    <t>PR778</t>
  </si>
  <si>
    <t>PR823</t>
  </si>
  <si>
    <t>PR824</t>
  </si>
  <si>
    <t>PR869</t>
  </si>
  <si>
    <t>PR870</t>
  </si>
  <si>
    <t>PR915</t>
  </si>
  <si>
    <t>PR916</t>
  </si>
  <si>
    <t>PR961</t>
  </si>
  <si>
    <t>PR962</t>
  </si>
  <si>
    <t>PR84</t>
  </si>
  <si>
    <t>PR185</t>
  </si>
  <si>
    <t>R610</t>
  </si>
  <si>
    <t>R625</t>
  </si>
  <si>
    <t>PR87</t>
  </si>
  <si>
    <t>PR190</t>
  </si>
  <si>
    <t>PR24</t>
  </si>
  <si>
    <t>PR25</t>
  </si>
  <si>
    <t>PR27</t>
  </si>
  <si>
    <t>PR96</t>
  </si>
  <si>
    <t>PR97</t>
  </si>
  <si>
    <t>PR98</t>
  </si>
  <si>
    <t>PR123</t>
  </si>
  <si>
    <t>PR128</t>
  </si>
  <si>
    <t>PR129</t>
  </si>
  <si>
    <t>PR199</t>
  </si>
  <si>
    <t>PR200</t>
  </si>
  <si>
    <t>PR201</t>
  </si>
  <si>
    <t>R9</t>
  </si>
  <si>
    <t>R664</t>
  </si>
  <si>
    <t>R665</t>
  </si>
  <si>
    <t>R666</t>
  </si>
  <si>
    <t>PR2</t>
  </si>
  <si>
    <t>PR105</t>
  </si>
  <si>
    <t>PR646</t>
  </si>
  <si>
    <t>PR692</t>
  </si>
  <si>
    <t>PR738</t>
  </si>
  <si>
    <t>PR784</t>
  </si>
  <si>
    <t>PR830</t>
  </si>
  <si>
    <t>PR876</t>
  </si>
  <si>
    <t>PR922</t>
  </si>
  <si>
    <t>PR968</t>
  </si>
  <si>
    <t>PR999</t>
  </si>
  <si>
    <t>PR1002</t>
  </si>
  <si>
    <t>R279</t>
  </si>
  <si>
    <t>R1385</t>
  </si>
  <si>
    <t>R1390</t>
  </si>
  <si>
    <t>R1398</t>
  </si>
  <si>
    <t>R1399</t>
  </si>
  <si>
    <t>R1408</t>
  </si>
  <si>
    <t>R1409</t>
  </si>
  <si>
    <t>R1418</t>
  </si>
  <si>
    <t>R1419</t>
  </si>
  <si>
    <t>PR642</t>
  </si>
  <si>
    <t>PR659</t>
  </si>
  <si>
    <t>PR688</t>
  </si>
  <si>
    <t>PR705</t>
  </si>
  <si>
    <t>PR734</t>
  </si>
  <si>
    <t>PR751</t>
  </si>
  <si>
    <t>PR780</t>
  </si>
  <si>
    <t>PR797</t>
  </si>
  <si>
    <t>PR826</t>
  </si>
  <si>
    <t>PR843</t>
  </si>
  <si>
    <t>PR872</t>
  </si>
  <si>
    <t>PR889</t>
  </si>
  <si>
    <t>PR918</t>
  </si>
  <si>
    <t>PR935</t>
  </si>
  <si>
    <t>PR964</t>
  </si>
  <si>
    <t>PR981</t>
  </si>
  <si>
    <t>R581</t>
  </si>
  <si>
    <t>R590</t>
  </si>
  <si>
    <t>R621</t>
  </si>
  <si>
    <t>R637</t>
  </si>
  <si>
    <t>PR208</t>
  </si>
  <si>
    <t>PR230</t>
  </si>
  <si>
    <t>PR243</t>
  </si>
  <si>
    <t>PR265</t>
  </si>
  <si>
    <t>PR636</t>
  </si>
  <si>
    <t>PR681</t>
  </si>
  <si>
    <t>PR729</t>
  </si>
  <si>
    <t>PR774</t>
  </si>
  <si>
    <t>PR822</t>
  </si>
  <si>
    <t>PR868</t>
  </si>
  <si>
    <t>PR914</t>
  </si>
  <si>
    <t>PR960</t>
  </si>
  <si>
    <t>R1339</t>
  </si>
  <si>
    <t>R1352</t>
  </si>
  <si>
    <t>R349</t>
  </si>
  <si>
    <t>R350</t>
  </si>
  <si>
    <t>R618</t>
  </si>
  <si>
    <t>R634</t>
  </si>
  <si>
    <t>R353</t>
  </si>
  <si>
    <t>R356</t>
  </si>
  <si>
    <t>R1499</t>
  </si>
  <si>
    <t>R1519</t>
  </si>
  <si>
    <t>R182</t>
  </si>
  <si>
    <t>R183</t>
  </si>
  <si>
    <t>R185</t>
  </si>
  <si>
    <t>R619</t>
  </si>
  <si>
    <t>R635</t>
  </si>
  <si>
    <t>PR92</t>
  </si>
  <si>
    <t>PR194</t>
  </si>
  <si>
    <t>R351</t>
  </si>
  <si>
    <t>R352</t>
  </si>
  <si>
    <t>R354</t>
  </si>
  <si>
    <t>R355</t>
  </si>
  <si>
    <t>R620</t>
  </si>
  <si>
    <t>R636</t>
  </si>
  <si>
    <t>PR10</t>
  </si>
  <si>
    <t>PR13</t>
  </si>
  <si>
    <t>PR114</t>
  </si>
  <si>
    <t>PR115</t>
  </si>
  <si>
    <t>PR210</t>
  </si>
  <si>
    <t>PR211</t>
  </si>
  <si>
    <t>PR215</t>
  </si>
  <si>
    <t>PR235</t>
  </si>
  <si>
    <t>PR236</t>
  </si>
  <si>
    <t>PR237</t>
  </si>
  <si>
    <t>PR244</t>
  </si>
  <si>
    <t>PR245</t>
  </si>
  <si>
    <t>PR250</t>
  </si>
  <si>
    <t>PR266</t>
  </si>
  <si>
    <t>PR271</t>
  </si>
  <si>
    <t>PR272</t>
  </si>
  <si>
    <t>PR1250</t>
  </si>
  <si>
    <t>PR1251</t>
  </si>
  <si>
    <t>PR1</t>
  </si>
  <si>
    <t>PR103</t>
  </si>
  <si>
    <t>R1289</t>
  </si>
  <si>
    <t>R1290</t>
  </si>
  <si>
    <t>PR3</t>
  </si>
  <si>
    <t>PR104</t>
  </si>
  <si>
    <t>PR1142</t>
  </si>
  <si>
    <t>PR1153</t>
  </si>
  <si>
    <t>PR1164</t>
  </si>
  <si>
    <t>PR1175</t>
  </si>
  <si>
    <t>PR1186</t>
  </si>
  <si>
    <t>PR1196</t>
  </si>
  <si>
    <t>PR1207</t>
  </si>
  <si>
    <t>PR1218</t>
  </si>
  <si>
    <t>R178</t>
  </si>
  <si>
    <t>R283</t>
  </si>
  <si>
    <t>R292</t>
  </si>
  <si>
    <t>R294</t>
  </si>
  <si>
    <t>R297</t>
  </si>
  <si>
    <t>R298</t>
  </si>
  <si>
    <t>R1384</t>
  </si>
  <si>
    <t>R1388</t>
  </si>
  <si>
    <t>R1394</t>
  </si>
  <si>
    <t>R1395</t>
  </si>
  <si>
    <t>R1404</t>
  </si>
  <si>
    <t>R1405</t>
  </si>
  <si>
    <t>R1414</t>
  </si>
  <si>
    <t>R1415</t>
  </si>
  <si>
    <t>PR635</t>
  </si>
  <si>
    <t>PR648</t>
  </si>
  <si>
    <t>PR649</t>
  </si>
  <si>
    <t>PR684</t>
  </si>
  <si>
    <t>PR694</t>
  </si>
  <si>
    <t>PR695</t>
  </si>
  <si>
    <t>PR728</t>
  </si>
  <si>
    <t>PR739</t>
  </si>
  <si>
    <t>PR741</t>
  </si>
  <si>
    <t>PR776</t>
  </si>
  <si>
    <t>PR786</t>
  </si>
  <si>
    <t>PR787</t>
  </si>
  <si>
    <t>PR821</t>
  </si>
  <si>
    <t>PR831</t>
  </si>
  <si>
    <t>PR832</t>
  </si>
  <si>
    <t>PR867</t>
  </si>
  <si>
    <t>PR877</t>
  </si>
  <si>
    <t>PR878</t>
  </si>
  <si>
    <t>PR913</t>
  </si>
  <si>
    <t>PR924</t>
  </si>
  <si>
    <t>PR925</t>
  </si>
  <si>
    <t>PR959</t>
  </si>
  <si>
    <t>PR969</t>
  </si>
  <si>
    <t>PR971</t>
  </si>
  <si>
    <t>PR1032</t>
  </si>
  <si>
    <t>PR1033</t>
  </si>
  <si>
    <t>PR1034</t>
  </si>
  <si>
    <t>PR1035</t>
  </si>
  <si>
    <t>PR1036</t>
  </si>
  <si>
    <t>PR1037</t>
  </si>
  <si>
    <t>PR1038</t>
  </si>
  <si>
    <t>PR1039</t>
  </si>
  <si>
    <t>PR657</t>
  </si>
  <si>
    <t>PR666</t>
  </si>
  <si>
    <t>PR1150</t>
  </si>
  <si>
    <t>PR1154</t>
  </si>
  <si>
    <t>PR1161</t>
  </si>
  <si>
    <t>PR1165</t>
  </si>
  <si>
    <t>PR1172</t>
  </si>
  <si>
    <t>PR1182</t>
  </si>
  <si>
    <t>PR1183</t>
  </si>
  <si>
    <t>PR1193</t>
  </si>
  <si>
    <t>PR1197</t>
  </si>
  <si>
    <t>PR1204</t>
  </si>
  <si>
    <t>PR1208</t>
  </si>
  <si>
    <t>PR1215</t>
  </si>
  <si>
    <t>PR1219</t>
  </si>
  <si>
    <t>PR1226</t>
  </si>
  <si>
    <t>R1541</t>
  </si>
  <si>
    <t>R1544</t>
  </si>
  <si>
    <t>R624</t>
  </si>
  <si>
    <t>R639</t>
  </si>
  <si>
    <t>R24</t>
  </si>
  <si>
    <t>R584</t>
  </si>
  <si>
    <t>PR1145</t>
  </si>
  <si>
    <t>PR1155</t>
  </si>
  <si>
    <t>PR1166</t>
  </si>
  <si>
    <t>PR1176</t>
  </si>
  <si>
    <t>PR1187</t>
  </si>
  <si>
    <t>PR1198</t>
  </si>
  <si>
    <t>PR1209</t>
  </si>
  <si>
    <t>PR1220</t>
  </si>
  <si>
    <t>R1542</t>
  </si>
  <si>
    <t>R1545</t>
  </si>
  <si>
    <t>PR209</t>
  </si>
  <si>
    <t>PR231</t>
  </si>
  <si>
    <t>PR246</t>
  </si>
  <si>
    <t>PR267</t>
  </si>
  <si>
    <t>PR647</t>
  </si>
  <si>
    <t>PR693</t>
  </si>
  <si>
    <t>PR740</t>
  </si>
  <si>
    <t>PR785</t>
  </si>
  <si>
    <t>PR833</t>
  </si>
  <si>
    <t>PR879</t>
  </si>
  <si>
    <t>PR923</t>
  </si>
  <si>
    <t>PR970</t>
  </si>
  <si>
    <t>PR32</t>
  </si>
  <si>
    <t>PR33</t>
  </si>
  <si>
    <t>PR34</t>
  </si>
  <si>
    <t>PR134</t>
  </si>
  <si>
    <t>PR135</t>
  </si>
  <si>
    <t>PR137</t>
  </si>
  <si>
    <t>PR1146</t>
  </si>
  <si>
    <t>PR1156</t>
  </si>
  <si>
    <t>PR1167</t>
  </si>
  <si>
    <t>PR1177</t>
  </si>
  <si>
    <t>PR1188</t>
  </si>
  <si>
    <t>PR1199</t>
  </si>
  <si>
    <t>PR1210</t>
  </si>
  <si>
    <t>PR1221</t>
  </si>
  <si>
    <t>R17</t>
  </si>
  <si>
    <t>R587</t>
  </si>
  <si>
    <t>PR1022</t>
  </si>
  <si>
    <t>PR1023</t>
  </si>
  <si>
    <t>R1348</t>
  </si>
  <si>
    <t>R1355</t>
  </si>
  <si>
    <t>PR82</t>
  </si>
  <si>
    <t>PR83</t>
  </si>
  <si>
    <t>PR184</t>
  </si>
  <si>
    <t>PR186</t>
  </si>
  <si>
    <t>U23</t>
  </si>
  <si>
    <t>U24</t>
  </si>
  <si>
    <t>PU1</t>
  </si>
  <si>
    <t>PU3</t>
  </si>
  <si>
    <t>PU25</t>
  </si>
  <si>
    <t>PU28</t>
  </si>
  <si>
    <t>PU31</t>
  </si>
  <si>
    <t>PU34</t>
  </si>
  <si>
    <t>PU37</t>
  </si>
  <si>
    <t>PU40</t>
  </si>
  <si>
    <t>PU43</t>
  </si>
  <si>
    <t>PU46</t>
  </si>
  <si>
    <t>PD19</t>
  </si>
  <si>
    <t>PD21</t>
  </si>
  <si>
    <t>PD23</t>
  </si>
  <si>
    <t>PD26</t>
  </si>
  <si>
    <t>PD28</t>
  </si>
  <si>
    <t>PD29</t>
  </si>
  <si>
    <t>PD31</t>
  </si>
  <si>
    <t>PD33</t>
  </si>
  <si>
    <t>PD35</t>
  </si>
  <si>
    <t>PC9</t>
  </si>
  <si>
    <t>PC46</t>
  </si>
  <si>
    <t>PC342</t>
  </si>
  <si>
    <t>PC360</t>
  </si>
  <si>
    <t>PC378</t>
  </si>
  <si>
    <t>PC396</t>
  </si>
  <si>
    <t>PC414</t>
  </si>
  <si>
    <t>PC432</t>
  </si>
  <si>
    <t>PC450</t>
  </si>
  <si>
    <t>PC468</t>
  </si>
  <si>
    <t>PC537</t>
  </si>
  <si>
    <t>PC540</t>
  </si>
  <si>
    <t>PC542</t>
  </si>
  <si>
    <t>PC544</t>
  </si>
  <si>
    <t>PC546</t>
  </si>
  <si>
    <t>PC548</t>
  </si>
  <si>
    <t>PC550</t>
  </si>
  <si>
    <t>PC552</t>
  </si>
  <si>
    <t>C95</t>
  </si>
  <si>
    <t>PC8</t>
  </si>
  <si>
    <t>PC44</t>
  </si>
  <si>
    <t>PC338</t>
  </si>
  <si>
    <t>PC339</t>
  </si>
  <si>
    <t>PC340</t>
  </si>
  <si>
    <t>PC341</t>
  </si>
  <si>
    <t>PC356</t>
  </si>
  <si>
    <t>PC357</t>
  </si>
  <si>
    <t>PC358</t>
  </si>
  <si>
    <t>PC359</t>
  </si>
  <si>
    <t>PC374</t>
  </si>
  <si>
    <t>PC375</t>
  </si>
  <si>
    <t>PC376</t>
  </si>
  <si>
    <t>PC377</t>
  </si>
  <si>
    <t>PC392</t>
  </si>
  <si>
    <t>PC393</t>
  </si>
  <si>
    <t>PC394</t>
  </si>
  <si>
    <t>PC395</t>
  </si>
  <si>
    <t>PC410</t>
  </si>
  <si>
    <t>PC411</t>
  </si>
  <si>
    <t>PC412</t>
  </si>
  <si>
    <t>PC413</t>
  </si>
  <si>
    <t>PC428</t>
  </si>
  <si>
    <t>PC429</t>
  </si>
  <si>
    <t>PC430</t>
  </si>
  <si>
    <t>PC431</t>
  </si>
  <si>
    <t>PC446</t>
  </si>
  <si>
    <t>PC447</t>
  </si>
  <si>
    <t>PC448</t>
  </si>
  <si>
    <t>PC449</t>
  </si>
  <si>
    <t>PC464</t>
  </si>
  <si>
    <t>PC465</t>
  </si>
  <si>
    <t>PC466</t>
  </si>
  <si>
    <t>PC467</t>
  </si>
  <si>
    <t>C43</t>
  </si>
  <si>
    <t>C44</t>
  </si>
  <si>
    <t>PC487</t>
  </si>
  <si>
    <t>PC556</t>
  </si>
  <si>
    <t>PC3</t>
  </si>
  <si>
    <t>PC5</t>
  </si>
  <si>
    <t>PC40</t>
  </si>
  <si>
    <t>PC42</t>
  </si>
  <si>
    <t>PC336</t>
  </si>
  <si>
    <t>PC354</t>
  </si>
  <si>
    <t>PC372</t>
  </si>
  <si>
    <t>PC390</t>
  </si>
  <si>
    <t>PC408</t>
  </si>
  <si>
    <t>PC426</t>
  </si>
  <si>
    <t>PC444</t>
  </si>
  <si>
    <t>PC462</t>
  </si>
  <si>
    <t>PC34</t>
  </si>
  <si>
    <t>PC71</t>
  </si>
  <si>
    <t>PC343</t>
  </si>
  <si>
    <t>PC344</t>
  </si>
  <si>
    <t>PC361</t>
  </si>
  <si>
    <t>PC362</t>
  </si>
  <si>
    <t>PC379</t>
  </si>
  <si>
    <t>PC380</t>
  </si>
  <si>
    <t>PC397</t>
  </si>
  <si>
    <t>PC398</t>
  </si>
  <si>
    <t>PC415</t>
  </si>
  <si>
    <t>PC416</t>
  </si>
  <si>
    <t>PC433</t>
  </si>
  <si>
    <t>PC434</t>
  </si>
  <si>
    <t>PC451</t>
  </si>
  <si>
    <t>PC452</t>
  </si>
  <si>
    <t>PC469</t>
  </si>
  <si>
    <t>PC470</t>
  </si>
  <si>
    <t>PC484</t>
  </si>
  <si>
    <t>PC485</t>
  </si>
  <si>
    <t>PC1</t>
  </si>
  <si>
    <t>PC38</t>
  </si>
  <si>
    <t>C96</t>
  </si>
  <si>
    <t>C138</t>
  </si>
  <si>
    <t>C110</t>
  </si>
  <si>
    <t>C111</t>
  </si>
  <si>
    <t>PC94</t>
  </si>
  <si>
    <t>PC95</t>
  </si>
  <si>
    <t>PC96</t>
  </si>
  <si>
    <t>PC138</t>
  </si>
  <si>
    <t>PC139</t>
  </si>
  <si>
    <t>PC140</t>
  </si>
  <si>
    <t>PC160</t>
  </si>
  <si>
    <t>PC161</t>
  </si>
  <si>
    <t>PC162</t>
  </si>
  <si>
    <t>PC204</t>
  </si>
  <si>
    <t>PC205</t>
  </si>
  <si>
    <t>PC206</t>
  </si>
  <si>
    <t>PC499</t>
  </si>
  <si>
    <t>PC500</t>
  </si>
  <si>
    <t>PC501</t>
  </si>
  <si>
    <t>PC75</t>
  </si>
  <si>
    <t>PC76</t>
  </si>
  <si>
    <t>PC77</t>
  </si>
  <si>
    <t>PC78</t>
  </si>
  <si>
    <t>PC79</t>
  </si>
  <si>
    <t>PC80</t>
  </si>
  <si>
    <t>PC81</t>
  </si>
  <si>
    <t>PC82</t>
  </si>
  <si>
    <t>PC83</t>
  </si>
  <si>
    <t>PC84</t>
  </si>
  <si>
    <t>PC119</t>
  </si>
  <si>
    <t>PC120</t>
  </si>
  <si>
    <t>PC121</t>
  </si>
  <si>
    <t>PC122</t>
  </si>
  <si>
    <t>PC123</t>
  </si>
  <si>
    <t>PC124</t>
  </si>
  <si>
    <t>PC125</t>
  </si>
  <si>
    <t>PC126</t>
  </si>
  <si>
    <t>PC127</t>
  </si>
  <si>
    <t>PC128</t>
  </si>
  <si>
    <t>PC141</t>
  </si>
  <si>
    <t>PC142</t>
  </si>
  <si>
    <t>PC143</t>
  </si>
  <si>
    <t>PC144</t>
  </si>
  <si>
    <t>PC145</t>
  </si>
  <si>
    <t>PC146</t>
  </si>
  <si>
    <t>PC147</t>
  </si>
  <si>
    <t>PC148</t>
  </si>
  <si>
    <t>PC149</t>
  </si>
  <si>
    <t>PC150</t>
  </si>
  <si>
    <t>PC185</t>
  </si>
  <si>
    <t>PC186</t>
  </si>
  <si>
    <t>PC187</t>
  </si>
  <si>
    <t>PC188</t>
  </si>
  <si>
    <t>PC189</t>
  </si>
  <si>
    <t>PC190</t>
  </si>
  <si>
    <t>PC191</t>
  </si>
  <si>
    <t>PC192</t>
  </si>
  <si>
    <t>PC193</t>
  </si>
  <si>
    <t>PC194</t>
  </si>
  <si>
    <t>PC347</t>
  </si>
  <si>
    <t>PC348</t>
  </si>
  <si>
    <t>PC365</t>
  </si>
  <si>
    <t>PC366</t>
  </si>
  <si>
    <t>PC383</t>
  </si>
  <si>
    <t>PC384</t>
  </si>
  <si>
    <t>PC401</t>
  </si>
  <si>
    <t>PC402</t>
  </si>
  <si>
    <t>PC419</t>
  </si>
  <si>
    <t>PC420</t>
  </si>
  <si>
    <t>PC437</t>
  </si>
  <si>
    <t>PC438</t>
  </si>
  <si>
    <t>PC455</t>
  </si>
  <si>
    <t>PC456</t>
  </si>
  <si>
    <t>PC473</t>
  </si>
  <si>
    <t>PC474</t>
  </si>
  <si>
    <t>PC480</t>
  </si>
  <si>
    <t>PC481</t>
  </si>
  <si>
    <t>PC482</t>
  </si>
  <si>
    <t>PC491</t>
  </si>
  <si>
    <t>PC492</t>
  </si>
  <si>
    <t>PC493</t>
  </si>
  <si>
    <t>C93</t>
  </si>
  <si>
    <t>PC558</t>
  </si>
  <si>
    <t>PC85</t>
  </si>
  <si>
    <t>PC86</t>
  </si>
  <si>
    <t>PC87</t>
  </si>
  <si>
    <t>PC88</t>
  </si>
  <si>
    <t>PC89</t>
  </si>
  <si>
    <t>PC90</t>
  </si>
  <si>
    <t>PC91</t>
  </si>
  <si>
    <t>PC92</t>
  </si>
  <si>
    <t>PC93</t>
  </si>
  <si>
    <t>PC129</t>
  </si>
  <si>
    <t>PC130</t>
  </si>
  <si>
    <t>PC131</t>
  </si>
  <si>
    <t>PC132</t>
  </si>
  <si>
    <t>PC133</t>
  </si>
  <si>
    <t>PC134</t>
  </si>
  <si>
    <t>PC135</t>
  </si>
  <si>
    <t>PC136</t>
  </si>
  <si>
    <t>PC137</t>
  </si>
  <si>
    <t>PC151</t>
  </si>
  <si>
    <t>PC152</t>
  </si>
  <si>
    <t>PC153</t>
  </si>
  <si>
    <t>PC154</t>
  </si>
  <si>
    <t>PC155</t>
  </si>
  <si>
    <t>PC156</t>
  </si>
  <si>
    <t>PC157</t>
  </si>
  <si>
    <t>PC158</t>
  </si>
  <si>
    <t>PC159</t>
  </si>
  <si>
    <t>PC195</t>
  </si>
  <si>
    <t>PC196</t>
  </si>
  <si>
    <t>PC197</t>
  </si>
  <si>
    <t>PC198</t>
  </si>
  <si>
    <t>PC199</t>
  </si>
  <si>
    <t>PC200</t>
  </si>
  <si>
    <t>PC201</t>
  </si>
  <si>
    <t>PC202</t>
  </si>
  <si>
    <t>PC203</t>
  </si>
  <si>
    <t>PC350</t>
  </si>
  <si>
    <t>PC530</t>
  </si>
  <si>
    <t>PC531</t>
  </si>
  <si>
    <t>PC532</t>
  </si>
  <si>
    <t>PC533</t>
  </si>
  <si>
    <t>PC534</t>
  </si>
  <si>
    <t>PC535</t>
  </si>
  <si>
    <t>PC536</t>
  </si>
  <si>
    <t>C143</t>
  </si>
  <si>
    <t>C146</t>
  </si>
  <si>
    <t>C94</t>
  </si>
  <si>
    <t>C98</t>
  </si>
  <si>
    <t>PC7</t>
  </si>
  <si>
    <t>PC45</t>
  </si>
  <si>
    <t>PC6</t>
  </si>
  <si>
    <t>PC43</t>
  </si>
  <si>
    <t>C119</t>
  </si>
  <si>
    <t>C121</t>
  </si>
  <si>
    <t>C124</t>
  </si>
  <si>
    <t>C125</t>
  </si>
  <si>
    <t>C128</t>
  </si>
  <si>
    <t>C129</t>
  </si>
  <si>
    <t>C132</t>
  </si>
  <si>
    <t>C133</t>
  </si>
  <si>
    <t>C9</t>
  </si>
  <si>
    <t>C10</t>
  </si>
  <si>
    <t>C11</t>
  </si>
  <si>
    <t>C12</t>
  </si>
  <si>
    <t>C13</t>
  </si>
  <si>
    <t>C14</t>
  </si>
  <si>
    <t>C15</t>
  </si>
  <si>
    <t>C34</t>
  </si>
  <si>
    <t>C35</t>
  </si>
  <si>
    <t>C38</t>
  </si>
  <si>
    <t>C39</t>
  </si>
  <si>
    <t>C40</t>
  </si>
  <si>
    <t>C41</t>
  </si>
  <si>
    <t>C42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</si>
  <si>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</si>
  <si>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</si>
  <si>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</si>
  <si>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</si>
  <si>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</si>
  <si>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</si>
  <si>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</si>
  <si>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</si>
  <si>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</si>
  <si>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</si>
  <si>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</si>
  <si>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</si>
  <si>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</si>
  <si>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</si>
  <si>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</si>
  <si>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</si>
  <si>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C88</t>
  </si>
  <si>
    <t>C102</t>
  </si>
  <si>
    <t>C109</t>
  </si>
  <si>
    <t>C116</t>
  </si>
  <si>
    <t>C118</t>
  </si>
  <si>
    <t>C120</t>
  </si>
  <si>
    <t>C122</t>
  </si>
  <si>
    <t>C123</t>
  </si>
  <si>
    <t>C126</t>
  </si>
  <si>
    <t>C127</t>
  </si>
  <si>
    <t>C130</t>
  </si>
  <si>
    <t>C131</t>
  </si>
  <si>
    <t>C135</t>
  </si>
  <si>
    <t>C144</t>
  </si>
  <si>
    <t>C145</t>
  </si>
  <si>
    <t>C147</t>
  </si>
  <si>
    <t>C148</t>
  </si>
  <si>
    <t>C153</t>
  </si>
  <si>
    <t>C154</t>
  </si>
  <si>
    <t>PC345</t>
  </si>
  <si>
    <t>PC351</t>
  </si>
  <si>
    <t>PC352</t>
  </si>
  <si>
    <t>PC363</t>
  </si>
  <si>
    <t>PC369</t>
  </si>
  <si>
    <t>PC370</t>
  </si>
  <si>
    <t>PC381</t>
  </si>
  <si>
    <t>PC387</t>
  </si>
  <si>
    <t>PC388</t>
  </si>
  <si>
    <t>PC399</t>
  </si>
  <si>
    <t>PC405</t>
  </si>
  <si>
    <t>PC406</t>
  </si>
  <si>
    <t>PC417</t>
  </si>
  <si>
    <t>PC423</t>
  </si>
  <si>
    <t>PC424</t>
  </si>
  <si>
    <t>PC435</t>
  </si>
  <si>
    <t>PC441</t>
  </si>
  <si>
    <t>PC442</t>
  </si>
  <si>
    <t>PC453</t>
  </si>
  <si>
    <t>PC459</t>
  </si>
  <si>
    <t>PC460</t>
  </si>
  <si>
    <t>PC471</t>
  </si>
  <si>
    <t>PC477</t>
  </si>
  <si>
    <t>PC478</t>
  </si>
  <si>
    <t>PC538</t>
  </si>
  <si>
    <t>PC539</t>
  </si>
  <si>
    <t>PC541</t>
  </si>
  <si>
    <t>PC543</t>
  </si>
  <si>
    <t>PC545</t>
  </si>
  <si>
    <t>PC547</t>
  </si>
  <si>
    <t>PC549</t>
  </si>
  <si>
    <t>PC551</t>
  </si>
  <si>
    <t>PC559</t>
  </si>
  <si>
    <t>C87</t>
  </si>
  <si>
    <t>PC479</t>
  </si>
  <si>
    <t>PC483</t>
  </si>
  <si>
    <t>PC489</t>
  </si>
  <si>
    <t>PC490</t>
  </si>
  <si>
    <t>PC494</t>
  </si>
  <si>
    <t>PC495</t>
  </si>
  <si>
    <t>PC557</t>
  </si>
  <si>
    <t>PC35</t>
  </si>
  <si>
    <t>PC36</t>
  </si>
  <si>
    <t>PC37</t>
  </si>
  <si>
    <t>PC72</t>
  </si>
  <si>
    <t>PC73</t>
  </si>
  <si>
    <t>PC74</t>
  </si>
  <si>
    <t>PC33</t>
  </si>
  <si>
    <t>PC70</t>
  </si>
  <si>
    <t>PC335</t>
  </si>
  <si>
    <t>PC337</t>
  </si>
  <si>
    <t>PC353</t>
  </si>
  <si>
    <t>PC355</t>
  </si>
  <si>
    <t>PC371</t>
  </si>
  <si>
    <t>PC373</t>
  </si>
  <si>
    <t>PC389</t>
  </si>
  <si>
    <t>PC391</t>
  </si>
  <si>
    <t>PC407</t>
  </si>
  <si>
    <t>PC409</t>
  </si>
  <si>
    <t>PC425</t>
  </si>
  <si>
    <t>PC427</t>
  </si>
  <si>
    <t>PC443</t>
  </si>
  <si>
    <t>PC445</t>
  </si>
  <si>
    <t>PC461</t>
  </si>
  <si>
    <t>PC463</t>
  </si>
  <si>
    <t>PC486</t>
  </si>
  <si>
    <t>PC502</t>
  </si>
  <si>
    <t>PD4</t>
  </si>
  <si>
    <t>PD9</t>
  </si>
  <si>
    <t>PD49</t>
  </si>
  <si>
    <t>PD50</t>
  </si>
  <si>
    <t>PD51</t>
  </si>
  <si>
    <t>PD52</t>
  </si>
  <si>
    <t>PD20</t>
  </si>
  <si>
    <t>PD22</t>
  </si>
  <si>
    <t>PD24</t>
  </si>
  <si>
    <t>PD25</t>
  </si>
  <si>
    <t>PD27</t>
  </si>
  <si>
    <t>PD30</t>
  </si>
  <si>
    <t>PD32</t>
  </si>
  <si>
    <t>PD34</t>
  </si>
  <si>
    <t>PD36</t>
  </si>
  <si>
    <t>D6</t>
  </si>
  <si>
    <t>D24</t>
  </si>
  <si>
    <t>PD5</t>
  </si>
  <si>
    <t>PD10</t>
  </si>
  <si>
    <t>PD47</t>
  </si>
  <si>
    <t>PD48</t>
  </si>
  <si>
    <t>Q3</t>
  </si>
  <si>
    <t>Q77</t>
  </si>
  <si>
    <t>Q79</t>
  </si>
  <si>
    <t>Q81</t>
  </si>
  <si>
    <t>Q83</t>
  </si>
  <si>
    <t>Q85</t>
  </si>
  <si>
    <t>Q87</t>
  </si>
  <si>
    <t>Q114</t>
  </si>
  <si>
    <t>Q115</t>
  </si>
  <si>
    <t>Q116</t>
  </si>
  <si>
    <t>Q117</t>
  </si>
  <si>
    <t>Q118</t>
  </si>
  <si>
    <t>Q119</t>
  </si>
  <si>
    <t>Q120</t>
  </si>
  <si>
    <t>Q121</t>
  </si>
  <si>
    <t>Q129</t>
  </si>
  <si>
    <t>Q130</t>
  </si>
  <si>
    <t>Q4</t>
  </si>
  <si>
    <t>Q5</t>
  </si>
  <si>
    <t>Q7</t>
  </si>
  <si>
    <t>Q8</t>
  </si>
  <si>
    <t>HS1</t>
  </si>
  <si>
    <t>Other</t>
  </si>
  <si>
    <t>HS2</t>
  </si>
  <si>
    <t>HS3</t>
  </si>
  <si>
    <t>HS4</t>
  </si>
  <si>
    <t>HS5</t>
  </si>
  <si>
    <t>HS6</t>
  </si>
  <si>
    <t>HS7</t>
  </si>
  <si>
    <t>HS8</t>
  </si>
  <si>
    <t>HS9</t>
  </si>
  <si>
    <t>HS10</t>
  </si>
  <si>
    <t>HS11</t>
  </si>
  <si>
    <t>HS12</t>
  </si>
  <si>
    <t>HS13</t>
  </si>
  <si>
    <t>HS14</t>
  </si>
  <si>
    <t>HS15</t>
  </si>
  <si>
    <t>HS16</t>
  </si>
  <si>
    <t>HS17</t>
  </si>
  <si>
    <t>HS18</t>
  </si>
  <si>
    <t>HS19</t>
  </si>
  <si>
    <t>HS20</t>
  </si>
  <si>
    <t>HS21</t>
  </si>
  <si>
    <t>HS22</t>
  </si>
  <si>
    <t>U66</t>
  </si>
  <si>
    <t>U67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</si>
</sst>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\$#,##0\ ;\(\$#,##0\)"/>
    <numFmt numFmtId="177" formatCode="&quot;VND&quot;#,##0_);[Red]\(&quot;VND&quot;#,##0\)"/>
    <numFmt numFmtId="178" formatCode="&quot;\&quot;#,##0;[Red]&quot;\&quot;&quot;\&quot;\-#,##0"/>
    <numFmt numFmtId="179" formatCode="&quot;\&quot;#,##0.00;[Red]&quot;\&quot;&quot;\&quot;&quot;\&quot;&quot;\&quot;&quot;\&quot;&quot;\&quot;\-#,##0.00"/>
    <numFmt numFmtId="180" formatCode="&quot;\&quot;#,##0.00;[Red]&quot;\&quot;\-#,##0.00"/>
    <numFmt numFmtId="181" formatCode="&quot;\&quot;#,##0;[Red]&quot;\&quot;\-#,##0"/>
  </numFmts>
  <fonts count="43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name val="VNtimes new roman"/>
      <family val="1"/>
    </font>
    <font>
      <sz val="14"/>
      <name val="뼻뮝"/>
      <family val="3"/>
    </font>
    <font>
      <sz val="12"/>
      <name val="뼻뮝"/>
      <family val="3"/>
    </font>
    <font>
      <sz val="12"/>
      <name val="바탕체"/>
      <family val="3"/>
    </font>
    <font>
      <sz val="10"/>
      <name val="굴림체"/>
      <family val="3"/>
    </font>
    <font>
      <sz val="12"/>
      <name val="宋体"/>
      <family val="3"/>
      <charset val="136"/>
    </font>
    <font>
      <sz val="10"/>
      <name val="細明體"/>
      <family val="3"/>
      <charset val="136"/>
    </font>
    <font>
      <sz val="10"/>
      <name val="新細明體"/>
      <family val="1"/>
      <charset val="136"/>
    </font>
    <font>
      <b/>
      <sz val="10"/>
      <name val="Times New Roman"/>
      <family val="1"/>
    </font>
    <font>
      <sz val="10"/>
      <name val="Times New Roman"/>
      <family val="1"/>
    </font>
    <font>
      <b/>
      <sz val="18"/>
      <color indexed="9"/>
      <name val="Times New Roman"/>
      <family val="1"/>
    </font>
    <font>
      <sz val="12"/>
      <color theme="1"/>
      <name val="新細明體"/>
      <family val="1"/>
      <charset val="136"/>
      <scheme val="minor"/>
    </font>
    <font>
      <u/>
      <sz val="12"/>
      <color theme="10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11"/>
      <color theme="1"/>
      <name val="新細明體"/>
      <family val="2"/>
      <scheme val="minor"/>
    </font>
    <font>
      <b/>
      <sz val="14"/>
      <name val="Calibri"/>
      <family val="2"/>
    </font>
    <font>
      <sz val="14"/>
      <name val="Calibri"/>
      <family val="2"/>
    </font>
    <font>
      <sz val="10"/>
      <name val="Calibri"/>
      <family val="2"/>
    </font>
    <font>
      <sz val="12"/>
      <name val="Calibri"/>
      <family val="2"/>
    </font>
    <font>
      <b/>
      <sz val="12"/>
      <name val="Calibri"/>
      <family val="2"/>
    </font>
    <font>
      <sz val="12"/>
      <color indexed="8"/>
      <name val="Calibri"/>
      <family val="2"/>
    </font>
    <font>
      <sz val="10"/>
      <color indexed="8"/>
      <name val="Calibri"/>
      <family val="2"/>
    </font>
    <font>
      <sz val="12"/>
      <color rgb="FFFF0000"/>
      <name val="Calibri"/>
      <family val="2"/>
    </font>
    <font>
      <b/>
      <sz val="13"/>
      <color indexed="8"/>
      <name val="Calibri"/>
      <family val="2"/>
    </font>
    <font>
      <sz val="12"/>
      <color theme="1"/>
      <name val="Calibri"/>
      <family val="2"/>
    </font>
    <font>
      <u/>
      <sz val="10"/>
      <name val="Times New Roman"/>
      <family val="1"/>
    </font>
    <font>
      <sz val="8"/>
      <name val="Times New Roman"/>
      <family val="1"/>
    </font>
    <font>
      <b/>
      <sz val="9"/>
      <name val="Arial"/>
      <family val="2"/>
    </font>
    <font>
      <b/>
      <sz val="9"/>
      <color theme="1"/>
      <name val="Arial"/>
      <family val="2"/>
    </font>
    <font>
      <sz val="9"/>
      <name val="新細明體"/>
      <family val="3"/>
      <charset val="136"/>
      <scheme val="minor"/>
    </font>
    <font>
      <b/>
      <sz val="8"/>
      <name val="Arial"/>
      <family val="2"/>
    </font>
    <font>
      <b/>
      <sz val="9"/>
      <color rgb="FF000000"/>
      <name val="Arial"/>
      <family val="2"/>
    </font>
    <font>
      <sz val="11"/>
      <color theme="1"/>
      <name val="Arial"/>
      <family val="2"/>
    </font>
    <font>
      <sz val="11"/>
      <color rgb="FF000000"/>
      <name val="Arial"/>
      <family val="2"/>
    </font>
    <font>
      <sz val="12"/>
      <color rgb="FF000000"/>
      <name val="新細明體"/>
      <family val="1"/>
      <charset val="136"/>
    </font>
    <font>
      <sz val="10"/>
      <name val="Arial"/>
    </font>
  </fonts>
  <fills count="1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17">
    <border>
      <left/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9">
    <xf numFmtId="0" fontId="0" fillId="0" borderId="0"/>
    <xf numFmtId="3" fontId="4" fillId="0" borderId="0" applyFont="0" applyFill="0" applyBorder="0" applyAlignment="0" applyProtection="0"/>
    <xf numFmtId="176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2" fontId="4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177" fontId="7" fillId="0" borderId="0"/>
    <xf numFmtId="0" fontId="4" fillId="0" borderId="0"/>
    <xf numFmtId="0" fontId="4" fillId="0" borderId="1" applyNumberFormat="0" applyFont="0" applyFill="0" applyAlignment="0" applyProtection="0"/>
    <xf numFmtId="0" fontId="18" fillId="0" borderId="0">
      <alignment vertical="center"/>
    </xf>
    <xf numFmtId="0" fontId="18" fillId="0" borderId="0">
      <alignment vertical="center"/>
    </xf>
    <xf numFmtId="0" fontId="2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2" fillId="0" borderId="0" applyBorder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2" fillId="0" borderId="0" applyBorder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9" fontId="2" fillId="0" borderId="0" applyFont="0" applyFill="0" applyBorder="0" applyAlignment="0" applyProtection="0"/>
    <xf numFmtId="0" fontId="12" fillId="0" borderId="0">
      <alignment vertical="center"/>
    </xf>
    <xf numFmtId="40" fontId="8" fillId="0" borderId="0" applyFont="0" applyFill="0" applyBorder="0" applyAlignment="0" applyProtection="0"/>
    <xf numFmtId="38" fontId="8" fillId="0" borderId="0" applyFont="0" applyFill="0" applyBorder="0" applyAlignment="0" applyProtection="0"/>
    <xf numFmtId="0" fontId="1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10" fontId="4" fillId="0" borderId="0" applyFont="0" applyFill="0" applyBorder="0" applyAlignment="0" applyProtection="0"/>
    <xf numFmtId="0" fontId="9" fillId="0" borderId="0"/>
    <xf numFmtId="178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80" fontId="10" fillId="0" borderId="0" applyFont="0" applyFill="0" applyBorder="0" applyAlignment="0" applyProtection="0"/>
    <xf numFmtId="181" fontId="10" fillId="0" borderId="0" applyFont="0" applyFill="0" applyBorder="0" applyAlignment="0" applyProtection="0"/>
    <xf numFmtId="0" fontId="11" fillId="0" borderId="0"/>
    <xf numFmtId="0" fontId="20" fillId="0" borderId="0">
      <alignment vertical="center"/>
    </xf>
    <xf numFmtId="0" fontId="1" fillId="0" borderId="0">
      <alignment vertical="center"/>
    </xf>
    <xf numFmtId="0" fontId="21" fillId="0" borderId="0"/>
    <xf numFmtId="9" fontId="21" fillId="0" borderId="0" applyFont="0" applyFill="0" applyBorder="0" applyAlignment="0" applyProtection="0"/>
    <xf numFmtId="0" fontId="2" fillId="0" borderId="0"/>
    <xf numFmtId="0" fontId="4" fillId="0" borderId="0"/>
    <xf numFmtId="0" fontId="42" fillId="0" borderId="0"/>
  </cellStyleXfs>
  <cellXfs count="82">
    <xf numFmtId="0" fontId="0" fillId="0" borderId="0" xfId="0"/>
    <xf numFmtId="0" fontId="0" fillId="0" borderId="2" xfId="0" applyBorder="1"/>
    <xf numFmtId="0" fontId="18" fillId="0" borderId="2" xfId="16" applyBorder="1" applyAlignment="1">
      <alignment horizontal="left" vertical="center" wrapText="1"/>
    </xf>
    <xf numFmtId="0" fontId="4" fillId="0" borderId="0" xfId="20" applyFont="1" applyBorder="1"/>
    <xf numFmtId="0" fontId="13" fillId="0" borderId="0" xfId="20" applyFont="1" applyBorder="1"/>
    <xf numFmtId="0" fontId="24" fillId="0" borderId="0" xfId="54" applyFont="1"/>
    <xf numFmtId="0" fontId="21" fillId="0" borderId="0" xfId="54"/>
    <xf numFmtId="0" fontId="25" fillId="0" borderId="0" xfId="54" applyFont="1"/>
    <xf numFmtId="0" fontId="26" fillId="0" borderId="0" xfId="54" applyFont="1"/>
    <xf numFmtId="0" fontId="29" fillId="0" borderId="0" xfId="54" applyFont="1"/>
    <xf numFmtId="0" fontId="27" fillId="0" borderId="8" xfId="54" applyFont="1" applyBorder="1"/>
    <xf numFmtId="0" fontId="27" fillId="0" borderId="12" xfId="54" applyFont="1" applyBorder="1"/>
    <xf numFmtId="0" fontId="31" fillId="3" borderId="5" xfId="54" applyFont="1" applyFill="1" applyBorder="1" applyAlignment="1">
      <alignment horizontal="left" vertical="center"/>
    </xf>
    <xf numFmtId="0" fontId="25" fillId="3" borderId="6" xfId="54" applyFont="1" applyFill="1" applyBorder="1" applyAlignment="1">
      <alignment horizontal="center" vertical="center" wrapText="1"/>
    </xf>
    <xf numFmtId="0" fontId="25" fillId="3" borderId="6" xfId="54" applyFont="1" applyFill="1" applyBorder="1" applyAlignment="1">
      <alignment horizontal="center" vertical="center"/>
    </xf>
    <xf numFmtId="0" fontId="25" fillId="3" borderId="7" xfId="54" applyFont="1" applyFill="1" applyBorder="1" applyAlignment="1">
      <alignment horizontal="center" vertical="center" wrapText="1"/>
    </xf>
    <xf numFmtId="0" fontId="32" fillId="0" borderId="0" xfId="56" applyFont="1"/>
    <xf numFmtId="0" fontId="16" fillId="0" borderId="0" xfId="56" applyFont="1"/>
    <xf numFmtId="0" fontId="15" fillId="5" borderId="2" xfId="56" applyFont="1" applyFill="1" applyBorder="1" applyAlignment="1">
      <alignment horizontal="center" vertical="center"/>
    </xf>
    <xf numFmtId="0" fontId="15" fillId="5" borderId="2" xfId="56" applyFont="1" applyFill="1" applyBorder="1" applyAlignment="1">
      <alignment horizontal="center" vertical="center" wrapText="1"/>
    </xf>
    <xf numFmtId="0" fontId="15" fillId="0" borderId="2" xfId="56" applyFont="1" applyBorder="1" applyAlignment="1">
      <alignment horizontal="left" vertical="center"/>
    </xf>
    <xf numFmtId="0" fontId="16" fillId="0" borderId="2" xfId="56" applyFont="1" applyBorder="1" applyAlignment="1">
      <alignment horizontal="center" vertical="center"/>
    </xf>
    <xf numFmtId="10" fontId="16" fillId="0" borderId="2" xfId="56" applyNumberFormat="1" applyFont="1" applyBorder="1" applyAlignment="1">
      <alignment horizontal="center" vertical="center"/>
    </xf>
    <xf numFmtId="0" fontId="15" fillId="5" borderId="2" xfId="56" applyFont="1" applyFill="1" applyBorder="1" applyAlignment="1">
      <alignment horizontal="left" vertical="center"/>
    </xf>
    <xf numFmtId="10" fontId="15" fillId="5" borderId="2" xfId="56" applyNumberFormat="1" applyFont="1" applyFill="1" applyBorder="1" applyAlignment="1">
      <alignment horizontal="center" vertical="center"/>
    </xf>
    <xf numFmtId="0" fontId="15" fillId="2" borderId="0" xfId="56" applyFont="1" applyFill="1" applyAlignment="1">
      <alignment horizontal="left" vertical="center"/>
    </xf>
    <xf numFmtId="0" fontId="16" fillId="2" borderId="0" xfId="56" applyFont="1" applyFill="1" applyAlignment="1">
      <alignment horizontal="center" vertical="center"/>
    </xf>
    <xf numFmtId="10" fontId="16" fillId="2" borderId="0" xfId="56" applyNumberFormat="1" applyFont="1" applyFill="1" applyAlignment="1">
      <alignment horizontal="center" vertical="center"/>
    </xf>
    <xf numFmtId="0" fontId="16" fillId="2" borderId="0" xfId="56" applyFont="1" applyFill="1" applyAlignment="1">
      <alignment vertical="center"/>
    </xf>
    <xf numFmtId="0" fontId="33" fillId="2" borderId="0" xfId="56" applyFont="1" applyFill="1" applyAlignment="1">
      <alignment vertical="center"/>
    </xf>
    <xf numFmtId="0" fontId="15" fillId="2" borderId="0" xfId="56" applyFont="1" applyFill="1" applyAlignment="1">
      <alignment horizontal="center" vertical="center"/>
    </xf>
    <xf numFmtId="0" fontId="33" fillId="2" borderId="0" xfId="56" applyFont="1" applyFill="1" applyAlignment="1">
      <alignment horizontal="left" vertical="center"/>
    </xf>
    <xf numFmtId="0" fontId="33" fillId="0" borderId="0" xfId="56" applyFont="1"/>
    <xf numFmtId="0" fontId="34" fillId="6" borderId="2" xfId="56" applyFont="1" applyFill="1" applyBorder="1" applyAlignment="1">
      <alignment horizontal="center"/>
    </xf>
    <xf numFmtId="0" fontId="35" fillId="6" borderId="2" xfId="56" applyFont="1" applyFill="1" applyBorder="1" applyAlignment="1">
      <alignment horizontal="center"/>
    </xf>
    <xf numFmtId="0" fontId="35" fillId="6" borderId="15" xfId="56" applyFont="1" applyFill="1" applyBorder="1" applyAlignment="1">
      <alignment horizontal="center"/>
    </xf>
    <xf numFmtId="0" fontId="2" fillId="0" borderId="0" xfId="56"/>
    <xf numFmtId="0" fontId="37" fillId="0" borderId="2" xfId="56" applyFont="1" applyBorder="1" applyAlignment="1">
      <alignment horizontal="center"/>
    </xf>
    <xf numFmtId="0" fontId="2" fillId="0" borderId="0" xfId="56" applyAlignment="1">
      <alignment horizontal="center"/>
    </xf>
    <xf numFmtId="0" fontId="38" fillId="7" borderId="15" xfId="54" applyFont="1" applyFill="1" applyBorder="1"/>
    <xf numFmtId="0" fontId="38" fillId="7" borderId="16" xfId="54" applyFont="1" applyFill="1" applyBorder="1"/>
    <xf numFmtId="0" fontId="39" fillId="0" borderId="0" xfId="54" applyFont="1"/>
    <xf numFmtId="0" fontId="40" fillId="0" borderId="0" xfId="54" applyFont="1" applyAlignment="1">
      <alignment horizontal="center" vertical="center"/>
    </xf>
    <xf numFmtId="0" fontId="39" fillId="0" borderId="0" xfId="54" applyFont="1" applyAlignment="1">
      <alignment horizontal="center" vertical="center"/>
    </xf>
    <xf numFmtId="0" fontId="25" fillId="8" borderId="2" xfId="54" applyFont="1" applyFill="1" applyBorder="1" applyAlignment="1">
      <alignment horizontal="right" vertical="center" wrapText="1"/>
    </xf>
    <xf numFmtId="10" fontId="25" fillId="8" borderId="9" xfId="54" applyNumberFormat="1" applyFont="1" applyFill="1" applyBorder="1" applyAlignment="1">
      <alignment horizontal="right" vertical="center" wrapText="1"/>
    </xf>
    <xf numFmtId="0" fontId="25" fillId="8" borderId="13" xfId="54" applyFont="1" applyFill="1" applyBorder="1" applyAlignment="1">
      <alignment horizontal="right" vertical="center" wrapText="1"/>
    </xf>
    <xf numFmtId="10" fontId="25" fillId="8" borderId="14" xfId="54" applyNumberFormat="1" applyFont="1" applyFill="1" applyBorder="1" applyAlignment="1">
      <alignment horizontal="right" vertical="center" wrapText="1"/>
    </xf>
    <xf numFmtId="0" fontId="25" fillId="9" borderId="0" xfId="54" applyFont="1" applyFill="1"/>
    <xf numFmtId="0" fontId="24" fillId="9" borderId="0" xfId="54" applyFont="1" applyFill="1"/>
    <xf numFmtId="0" fontId="26" fillId="9" borderId="0" xfId="54" applyFont="1" applyFill="1"/>
    <xf numFmtId="0" fontId="25" fillId="9" borderId="4" xfId="54" applyFont="1" applyFill="1" applyBorder="1"/>
    <xf numFmtId="0" fontId="25" fillId="9" borderId="5" xfId="54" applyFont="1" applyFill="1" applyBorder="1"/>
    <xf numFmtId="0" fontId="25" fillId="9" borderId="6" xfId="54" applyFont="1" applyFill="1" applyBorder="1"/>
    <xf numFmtId="0" fontId="25" fillId="9" borderId="7" xfId="54" applyFont="1" applyFill="1" applyBorder="1" applyAlignment="1">
      <alignment horizontal="center"/>
    </xf>
    <xf numFmtId="0" fontId="27" fillId="9" borderId="3" xfId="54" applyFont="1" applyFill="1" applyBorder="1"/>
    <xf numFmtId="0" fontId="25" fillId="9" borderId="8" xfId="54" applyFont="1" applyFill="1" applyBorder="1" applyAlignment="1">
      <alignment horizontal="center" vertical="center" wrapText="1"/>
    </xf>
    <xf numFmtId="0" fontId="25" fillId="9" borderId="2" xfId="54" applyFont="1" applyFill="1" applyBorder="1" applyAlignment="1">
      <alignment horizontal="center" vertical="center" wrapText="1"/>
    </xf>
    <xf numFmtId="10" fontId="27" fillId="9" borderId="9" xfId="54" applyNumberFormat="1" applyFont="1" applyFill="1" applyBorder="1" applyAlignment="1">
      <alignment horizontal="center" vertical="top" wrapText="1"/>
    </xf>
    <xf numFmtId="0" fontId="27" fillId="9" borderId="10" xfId="54" applyFont="1" applyFill="1" applyBorder="1"/>
    <xf numFmtId="0" fontId="28" fillId="9" borderId="10" xfId="54" applyFont="1" applyFill="1" applyBorder="1"/>
    <xf numFmtId="0" fontId="28" fillId="9" borderId="11" xfId="54" applyFont="1" applyFill="1" applyBorder="1"/>
    <xf numFmtId="0" fontId="25" fillId="9" borderId="12" xfId="54" applyFont="1" applyFill="1" applyBorder="1" applyAlignment="1">
      <alignment horizontal="center" vertical="center" wrapText="1"/>
    </xf>
    <xf numFmtId="0" fontId="25" fillId="9" borderId="13" xfId="54" applyFont="1" applyFill="1" applyBorder="1" applyAlignment="1">
      <alignment horizontal="center" vertical="center" wrapText="1"/>
    </xf>
    <xf numFmtId="10" fontId="27" fillId="9" borderId="14" xfId="54" applyNumberFormat="1" applyFont="1" applyFill="1" applyBorder="1" applyAlignment="1">
      <alignment horizontal="center" vertical="top" wrapText="1"/>
    </xf>
    <xf numFmtId="0" fontId="25" fillId="9" borderId="3" xfId="54" applyFont="1" applyFill="1" applyBorder="1"/>
    <xf numFmtId="0" fontId="25" fillId="9" borderId="7" xfId="54" applyFont="1" applyFill="1" applyBorder="1"/>
    <xf numFmtId="0" fontId="25" fillId="9" borderId="8" xfId="54" applyFont="1" applyFill="1" applyBorder="1" applyAlignment="1">
      <alignment horizontal="right" vertical="center" wrapText="1"/>
    </xf>
    <xf numFmtId="0" fontId="25" fillId="9" borderId="2" xfId="54" applyFont="1" applyFill="1" applyBorder="1" applyAlignment="1">
      <alignment horizontal="right" vertical="center" wrapText="1"/>
    </xf>
    <xf numFmtId="0" fontId="25" fillId="9" borderId="9" xfId="54" applyFont="1" applyFill="1" applyBorder="1" applyAlignment="1">
      <alignment horizontal="right" vertical="center" wrapText="1"/>
    </xf>
    <xf numFmtId="10" fontId="25" fillId="9" borderId="8" xfId="54" applyNumberFormat="1" applyFont="1" applyFill="1" applyBorder="1" applyAlignment="1">
      <alignment horizontal="right" vertical="center" wrapText="1"/>
    </xf>
    <xf numFmtId="10" fontId="25" fillId="9" borderId="9" xfId="54" applyNumberFormat="1" applyFont="1" applyFill="1" applyBorder="1" applyAlignment="1">
      <alignment horizontal="right" vertical="center" wrapText="1"/>
    </xf>
    <xf numFmtId="0" fontId="27" fillId="9" borderId="11" xfId="54" applyFont="1" applyFill="1" applyBorder="1"/>
    <xf numFmtId="10" fontId="25" fillId="9" borderId="12" xfId="54" applyNumberFormat="1" applyFont="1" applyFill="1" applyBorder="1" applyAlignment="1">
      <alignment horizontal="right" vertical="center" wrapText="1"/>
    </xf>
    <xf numFmtId="10" fontId="25" fillId="9" borderId="14" xfId="54" applyNumberFormat="1" applyFont="1" applyFill="1" applyBorder="1" applyAlignment="1">
      <alignment horizontal="right" vertical="center" wrapText="1"/>
    </xf>
    <xf numFmtId="49" fontId="4" fillId="0" borderId="0" xfId="57" applyNumberFormat="1"/>
    <xf numFmtId="0" fontId="22" fillId="9" borderId="0" xfId="54" applyFont="1" applyFill="1" applyAlignment="1">
      <alignment horizontal="left"/>
    </xf>
    <xf numFmtId="0" fontId="23" fillId="9" borderId="0" xfId="54" applyFont="1" applyFill="1" applyAlignment="1">
      <alignment horizontal="left"/>
    </xf>
    <xf numFmtId="0" fontId="30" fillId="9" borderId="0" xfId="54" applyFont="1" applyFill="1" applyAlignment="1">
      <alignment horizontal="left"/>
    </xf>
    <xf numFmtId="0" fontId="17" fillId="4" borderId="0" xfId="56" applyFont="1" applyFill="1" applyAlignment="1">
      <alignment horizontal="center" vertical="center"/>
    </xf>
    <xf numFmtId="49" fontId="42" fillId="0" borderId="0" xfId="58" applyNumberFormat="1"/>
    <xf numFmtId="0" fontId="42" fillId="0" borderId="0" xfId="58"/>
  </cellXfs>
  <cellStyles count="59">
    <cellStyle name="Comma0" xfId="1" xr:uid="{00000000-0005-0000-0000-000000000000}"/>
    <cellStyle name="Currency0" xfId="2" xr:uid="{00000000-0005-0000-0000-000001000000}"/>
    <cellStyle name="Date" xfId="3" xr:uid="{00000000-0005-0000-0000-000002000000}"/>
    <cellStyle name="Fixed" xfId="4" xr:uid="{00000000-0005-0000-0000-000003000000}"/>
    <cellStyle name="Heading 1" xfId="5" xr:uid="{00000000-0005-0000-0000-000004000000}"/>
    <cellStyle name="Heading 2" xfId="6" xr:uid="{00000000-0005-0000-0000-000005000000}"/>
    <cellStyle name="Normal - Style1" xfId="7" xr:uid="{00000000-0005-0000-0000-000006000000}"/>
    <cellStyle name="Normal_08108-1A Untestable_Report" xfId="8" xr:uid="{00000000-0005-0000-0000-000007000000}"/>
    <cellStyle name="Total" xfId="9" xr:uid="{00000000-0005-0000-0000-000008000000}"/>
    <cellStyle name="一般" xfId="0" builtinId="0"/>
    <cellStyle name="一般 10" xfId="10" xr:uid="{00000000-0005-0000-0000-00000A000000}"/>
    <cellStyle name="一般 11" xfId="11" xr:uid="{00000000-0005-0000-0000-00000B000000}"/>
    <cellStyle name="一般 12" xfId="12" xr:uid="{00000000-0005-0000-0000-00000C000000}"/>
    <cellStyle name="一般 13" xfId="13" xr:uid="{00000000-0005-0000-0000-00000D000000}"/>
    <cellStyle name="一般 14" xfId="14" xr:uid="{00000000-0005-0000-0000-00000E000000}"/>
    <cellStyle name="一般 15" xfId="15" xr:uid="{00000000-0005-0000-0000-00000F000000}"/>
    <cellStyle name="一般 16" xfId="16" xr:uid="{00000000-0005-0000-0000-000010000000}"/>
    <cellStyle name="一般 17" xfId="17" xr:uid="{00000000-0005-0000-0000-000011000000}"/>
    <cellStyle name="一般 18" xfId="18" xr:uid="{00000000-0005-0000-0000-000012000000}"/>
    <cellStyle name="一般 19" xfId="19" xr:uid="{00000000-0005-0000-0000-000013000000}"/>
    <cellStyle name="一般 2" xfId="20" xr:uid="{00000000-0005-0000-0000-000014000000}"/>
    <cellStyle name="一般 20" xfId="21" xr:uid="{00000000-0005-0000-0000-000015000000}"/>
    <cellStyle name="一般 21" xfId="22" xr:uid="{00000000-0005-0000-0000-000016000000}"/>
    <cellStyle name="一般 22" xfId="23" xr:uid="{00000000-0005-0000-0000-000017000000}"/>
    <cellStyle name="一般 23" xfId="24" xr:uid="{00000000-0005-0000-0000-000018000000}"/>
    <cellStyle name="一般 24" xfId="25" xr:uid="{00000000-0005-0000-0000-000019000000}"/>
    <cellStyle name="一般 25" xfId="26" xr:uid="{00000000-0005-0000-0000-00001A000000}"/>
    <cellStyle name="一般 26" xfId="27" xr:uid="{00000000-0005-0000-0000-00001B000000}"/>
    <cellStyle name="一般 27" xfId="28" xr:uid="{00000000-0005-0000-0000-00001C000000}"/>
    <cellStyle name="一般 28" xfId="29" xr:uid="{00000000-0005-0000-0000-00001D000000}"/>
    <cellStyle name="一般 29" xfId="53" xr:uid="{3ED28104-60D3-488B-BD19-2F04B12AD06C}"/>
    <cellStyle name="一般 3" xfId="30" xr:uid="{00000000-0005-0000-0000-00001E000000}"/>
    <cellStyle name="一般 3 3 5" xfId="52" xr:uid="{2D162BF8-D827-452F-B785-CA639A4783F8}"/>
    <cellStyle name="一般 30" xfId="54" xr:uid="{A46D8D05-43E2-45D2-A46D-94B7C38A502F}"/>
    <cellStyle name="一般 31" xfId="57" xr:uid="{41D72C8C-0A23-441A-9350-9AB4DB675747}"/>
    <cellStyle name="一般 32" xfId="58" xr:uid="{A83F6345-2227-42E2-A58D-7DF8F8468BFB}"/>
    <cellStyle name="一般 4" xfId="31" xr:uid="{00000000-0005-0000-0000-00001F000000}"/>
    <cellStyle name="一般 5" xfId="32" xr:uid="{00000000-0005-0000-0000-000020000000}"/>
    <cellStyle name="一般 5 2" xfId="56" xr:uid="{670AC162-5400-4BE6-BB38-B60B0D390E02}"/>
    <cellStyle name="一般 6" xfId="33" xr:uid="{00000000-0005-0000-0000-000021000000}"/>
    <cellStyle name="一般 7" xfId="34" xr:uid="{00000000-0005-0000-0000-000022000000}"/>
    <cellStyle name="一般 8" xfId="35" xr:uid="{00000000-0005-0000-0000-000023000000}"/>
    <cellStyle name="一般 9" xfId="36" xr:uid="{00000000-0005-0000-0000-000024000000}"/>
    <cellStyle name="百分比 2" xfId="37" xr:uid="{00000000-0005-0000-0000-000026000000}"/>
    <cellStyle name="百分比 3" xfId="55" xr:uid="{758E0389-38E1-42EE-A1CD-E968DB94ACFC}"/>
    <cellStyle name="常规_No TP &amp; Component List " xfId="38" xr:uid="{00000000-0005-0000-0000-000027000000}"/>
    <cellStyle name="똿뗦먛귟 [0.00]_PRODUCT DETAIL Q1" xfId="39" xr:uid="{00000000-0005-0000-0000-000028000000}"/>
    <cellStyle name="똿뗦먛귟_PRODUCT DETAIL Q1" xfId="40" xr:uid="{00000000-0005-0000-0000-000029000000}"/>
    <cellStyle name="超連結 2" xfId="41" xr:uid="{00000000-0005-0000-0000-00002B000000}"/>
    <cellStyle name="超連結 3" xfId="42" xr:uid="{00000000-0005-0000-0000-00002C000000}"/>
    <cellStyle name="믅됞 [0.00]_PRODUCT DETAIL Q1" xfId="43" xr:uid="{00000000-0005-0000-0000-00002D000000}"/>
    <cellStyle name="믅됞_PRODUCT DETAIL Q1" xfId="44" xr:uid="{00000000-0005-0000-0000-00002E000000}"/>
    <cellStyle name="백분율_HOBONG" xfId="45" xr:uid="{00000000-0005-0000-0000-00002F000000}"/>
    <cellStyle name="뷭?_BOOKSHIP" xfId="46" xr:uid="{00000000-0005-0000-0000-000030000000}"/>
    <cellStyle name="콤마 [0]_1202" xfId="47" xr:uid="{00000000-0005-0000-0000-000031000000}"/>
    <cellStyle name="콤마_1202" xfId="48" xr:uid="{00000000-0005-0000-0000-000032000000}"/>
    <cellStyle name="통화 [0]_1202" xfId="49" xr:uid="{00000000-0005-0000-0000-000033000000}"/>
    <cellStyle name="통화_1202" xfId="50" xr:uid="{00000000-0005-0000-0000-000034000000}"/>
    <cellStyle name="표준_(정보부문)월별인원계획" xfId="51" xr:uid="{00000000-0005-0000-0000-000035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2</xdr:row>
          <xdr:rowOff>95250</xdr:rowOff>
        </xdr:from>
        <xdr:to>
          <xdr:col>11</xdr:col>
          <xdr:colOff>476250</xdr:colOff>
          <xdr:row>8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All in 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D858"/>
  <sheetViews>
    <sheetView topLeftCell="A481" workbookViewId="0">
      <selection activeCell="H3" sqref="H3"/>
    </sheetView>
  </sheetViews>
  <sheetFormatPr defaultRowHeight="16.5"/>
  <sheetData>
    <row r="1" spans="1:4" ht="33">
      <c r="A1" s="2" t="s">
        <v>2</v>
      </c>
      <c r="B1" s="2" t="s">
        <v>3</v>
      </c>
      <c r="C1" s="2" t="s">
        <v>4</v>
      </c>
      <c r="D1" s="2" t="s">
        <v>5</v>
      </c>
    </row>
    <row r="2" spans="1:4" ht="49.5">
      <c r="A2" s="2" t="s">
        <v>99</v>
      </c>
      <c r="B2" s="2" t="s">
        <v>100</v>
      </c>
      <c r="C2" s="2" t="s">
        <v>101</v>
      </c>
      <c r="D2" s="2" t="s">
        <v>11</v>
      </c>
    </row>
    <row r="3" spans="1:4" ht="49.5">
      <c r="A3" s="2" t="s">
        <v>102</v>
      </c>
      <c r="B3" s="2" t="s">
        <v>103</v>
      </c>
      <c r="C3" s="2" t="s">
        <v>101</v>
      </c>
      <c r="D3" s="2" t="s">
        <v>11</v>
      </c>
    </row>
    <row r="4" spans="1:4" ht="49.5">
      <c r="A4" s="2" t="s">
        <v>104</v>
      </c>
      <c r="B4" s="2" t="s">
        <v>105</v>
      </c>
      <c r="C4" s="2" t="s">
        <v>101</v>
      </c>
      <c r="D4" s="2" t="s">
        <v>11</v>
      </c>
    </row>
    <row r="5" spans="1:4" ht="49.5">
      <c r="A5" s="2" t="s">
        <v>106</v>
      </c>
      <c r="B5" s="2" t="s">
        <v>107</v>
      </c>
      <c r="C5" s="2" t="s">
        <v>101</v>
      </c>
      <c r="D5" s="2" t="s">
        <v>11</v>
      </c>
    </row>
    <row r="6" spans="1:4" ht="49.5">
      <c r="A6" s="2" t="s">
        <v>108</v>
      </c>
      <c r="B6" s="2" t="s">
        <v>109</v>
      </c>
      <c r="C6" s="2" t="s">
        <v>2051</v>
      </c>
      <c r="D6" s="2" t="s">
        <v>11</v>
      </c>
    </row>
    <row r="7" spans="1:4" ht="49.5">
      <c r="A7" s="2" t="s">
        <v>110</v>
      </c>
      <c r="B7" s="2" t="s">
        <v>111</v>
      </c>
      <c r="C7" s="2" t="s">
        <v>2051</v>
      </c>
      <c r="D7" s="2" t="s">
        <v>11</v>
      </c>
    </row>
    <row r="8" spans="1:4" ht="49.5">
      <c r="A8" s="2" t="s">
        <v>112</v>
      </c>
      <c r="B8" s="2" t="s">
        <v>113</v>
      </c>
      <c r="C8" s="2" t="s">
        <v>2051</v>
      </c>
      <c r="D8" s="2" t="s">
        <v>11</v>
      </c>
    </row>
    <row r="9" spans="1:4" ht="49.5">
      <c r="A9" s="2" t="s">
        <v>114</v>
      </c>
      <c r="B9" s="2" t="s">
        <v>115</v>
      </c>
      <c r="C9" s="2" t="s">
        <v>2051</v>
      </c>
      <c r="D9" s="2" t="s">
        <v>11</v>
      </c>
    </row>
    <row r="10" spans="1:4" ht="49.5">
      <c r="A10" s="2" t="s">
        <v>116</v>
      </c>
      <c r="B10" s="2" t="s">
        <v>117</v>
      </c>
      <c r="C10" s="2" t="s">
        <v>2051</v>
      </c>
      <c r="D10" s="2" t="s">
        <v>11</v>
      </c>
    </row>
    <row r="11" spans="1:4" ht="49.5">
      <c r="A11" s="2" t="s">
        <v>118</v>
      </c>
      <c r="B11" s="2" t="s">
        <v>119</v>
      </c>
      <c r="C11" s="2" t="s">
        <v>2051</v>
      </c>
      <c r="D11" s="2" t="s">
        <v>11</v>
      </c>
    </row>
    <row r="12" spans="1:4" ht="33">
      <c r="A12" s="2" t="s">
        <v>120</v>
      </c>
      <c r="B12" s="2" t="s">
        <v>121</v>
      </c>
      <c r="C12" s="2" t="s">
        <v>2051</v>
      </c>
      <c r="D12" s="2" t="s">
        <v>11</v>
      </c>
    </row>
    <row r="13" spans="1:4" ht="33">
      <c r="A13" s="2" t="s">
        <v>122</v>
      </c>
      <c r="B13" s="2" t="s">
        <v>123</v>
      </c>
      <c r="C13" s="2" t="s">
        <v>2051</v>
      </c>
      <c r="D13" s="2" t="s">
        <v>11</v>
      </c>
    </row>
    <row r="14" spans="1:4" ht="33">
      <c r="A14" s="2" t="s">
        <v>83</v>
      </c>
      <c r="B14" s="2" t="s">
        <v>84</v>
      </c>
      <c r="C14" s="2" t="s">
        <v>2051</v>
      </c>
      <c r="D14" s="2" t="s">
        <v>9</v>
      </c>
    </row>
    <row r="15" spans="1:4" ht="33">
      <c r="A15" s="2" t="s">
        <v>85</v>
      </c>
      <c r="B15" s="2" t="s">
        <v>86</v>
      </c>
      <c r="C15" s="2" t="s">
        <v>2051</v>
      </c>
      <c r="D15" s="2" t="s">
        <v>9</v>
      </c>
    </row>
    <row r="16" spans="1:4" ht="33">
      <c r="A16" s="2" t="s">
        <v>87</v>
      </c>
      <c r="B16" s="2" t="s">
        <v>88</v>
      </c>
      <c r="C16" s="2" t="s">
        <v>2051</v>
      </c>
      <c r="D16" s="2" t="s">
        <v>5</v>
      </c>
    </row>
    <row r="17" spans="1:4" ht="33">
      <c r="A17" s="2" t="s">
        <v>89</v>
      </c>
      <c r="B17" s="2" t="s">
        <v>90</v>
      </c>
      <c r="C17" s="2" t="s">
        <v>2051</v>
      </c>
      <c r="D17" s="2" t="s">
        <v>5</v>
      </c>
    </row>
    <row r="18" spans="1:4" ht="33">
      <c r="A18" s="2" t="s">
        <v>91</v>
      </c>
      <c r="B18" s="2" t="s">
        <v>92</v>
      </c>
      <c r="C18" s="2" t="s">
        <v>2051</v>
      </c>
      <c r="D18" s="2" t="s">
        <v>5</v>
      </c>
    </row>
    <row r="19" spans="1:4" ht="33">
      <c r="A19" s="2" t="s">
        <v>93</v>
      </c>
      <c r="B19" s="2" t="s">
        <v>94</v>
      </c>
      <c r="C19" s="2" t="s">
        <v>2051</v>
      </c>
      <c r="D19" s="2" t="s">
        <v>5</v>
      </c>
    </row>
    <row r="20" spans="1:4" ht="33">
      <c r="A20" s="2" t="s">
        <v>95</v>
      </c>
      <c r="B20" s="2" t="s">
        <v>96</v>
      </c>
      <c r="C20" s="2" t="s">
        <v>2051</v>
      </c>
      <c r="D20" s="2" t="s">
        <v>5</v>
      </c>
    </row>
    <row r="21" spans="1:4" ht="33">
      <c r="A21" s="2" t="s">
        <v>97</v>
      </c>
      <c r="B21" s="2" t="s">
        <v>98</v>
      </c>
      <c r="C21" s="2" t="s">
        <v>2051</v>
      </c>
      <c r="D21" s="2" t="s">
        <v>5</v>
      </c>
    </row>
    <row r="22" spans="1:4" ht="66">
      <c r="A22" s="2" t="s">
        <v>181</v>
      </c>
      <c r="B22" s="2" t="s">
        <v>182</v>
      </c>
      <c r="C22" s="2" t="s">
        <v>183</v>
      </c>
      <c r="D22" s="2" t="s">
        <v>5</v>
      </c>
    </row>
    <row r="23" spans="1:4" ht="66">
      <c r="A23" s="2" t="s">
        <v>184</v>
      </c>
      <c r="B23" s="2" t="s">
        <v>185</v>
      </c>
      <c r="C23" s="2" t="s">
        <v>183</v>
      </c>
      <c r="D23" s="2" t="s">
        <v>9</v>
      </c>
    </row>
    <row r="24" spans="1:4" ht="66">
      <c r="A24" s="2" t="s">
        <v>186</v>
      </c>
      <c r="B24" s="2" t="s">
        <v>187</v>
      </c>
      <c r="C24" s="2" t="s">
        <v>183</v>
      </c>
      <c r="D24" s="2" t="s">
        <v>9</v>
      </c>
    </row>
    <row r="25" spans="1:4" ht="66">
      <c r="A25" s="2" t="s">
        <v>188</v>
      </c>
      <c r="B25" s="2" t="s">
        <v>189</v>
      </c>
      <c r="C25" s="2" t="s">
        <v>183</v>
      </c>
      <c r="D25" s="2" t="s">
        <v>9</v>
      </c>
    </row>
    <row r="26" spans="1:4" ht="66">
      <c r="A26" s="2" t="s">
        <v>190</v>
      </c>
      <c r="B26" s="2" t="s">
        <v>191</v>
      </c>
      <c r="C26" s="2" t="s">
        <v>183</v>
      </c>
      <c r="D26" s="2" t="s">
        <v>9</v>
      </c>
    </row>
    <row r="27" spans="1:4" ht="66">
      <c r="A27" s="2" t="s">
        <v>192</v>
      </c>
      <c r="B27" s="2" t="s">
        <v>193</v>
      </c>
      <c r="C27" s="2" t="s">
        <v>183</v>
      </c>
      <c r="D27" s="2" t="s">
        <v>5</v>
      </c>
    </row>
    <row r="28" spans="1:4" ht="33">
      <c r="A28" s="2" t="s">
        <v>7</v>
      </c>
      <c r="B28" s="2" t="s">
        <v>8</v>
      </c>
      <c r="C28" s="2" t="s">
        <v>4</v>
      </c>
      <c r="D28" s="2" t="s">
        <v>5</v>
      </c>
    </row>
    <row r="29" spans="1:4" ht="49.5">
      <c r="A29" s="2" t="s">
        <v>12</v>
      </c>
      <c r="B29" s="2" t="s">
        <v>13</v>
      </c>
      <c r="C29" s="2" t="s">
        <v>4</v>
      </c>
      <c r="D29" s="2" t="s">
        <v>11</v>
      </c>
    </row>
    <row r="30" spans="1:4" ht="33">
      <c r="A30" s="2" t="s">
        <v>15</v>
      </c>
      <c r="B30" s="2" t="s">
        <v>16</v>
      </c>
      <c r="C30" s="2" t="s">
        <v>4</v>
      </c>
      <c r="D30" s="2" t="s">
        <v>5</v>
      </c>
    </row>
    <row r="31" spans="1:4" ht="49.5">
      <c r="A31" s="2" t="s">
        <v>17</v>
      </c>
      <c r="B31" s="2" t="s">
        <v>18</v>
      </c>
      <c r="C31" s="2" t="s">
        <v>4</v>
      </c>
      <c r="D31" s="2" t="s">
        <v>5</v>
      </c>
    </row>
    <row r="32" spans="1:4" ht="49.5">
      <c r="A32" s="2" t="s">
        <v>19</v>
      </c>
      <c r="B32" s="2" t="s">
        <v>20</v>
      </c>
      <c r="C32" s="2" t="s">
        <v>4</v>
      </c>
      <c r="D32" s="2" t="s">
        <v>5</v>
      </c>
    </row>
    <row r="33" spans="1:4" ht="49.5">
      <c r="A33" s="2" t="s">
        <v>21</v>
      </c>
      <c r="B33" s="2" t="s">
        <v>22</v>
      </c>
      <c r="C33" s="2" t="s">
        <v>4</v>
      </c>
      <c r="D33" s="2" t="s">
        <v>5</v>
      </c>
    </row>
    <row r="34" spans="1:4" ht="49.5">
      <c r="A34" s="2" t="s">
        <v>23</v>
      </c>
      <c r="B34" s="2" t="s">
        <v>24</v>
      </c>
      <c r="C34" s="2" t="s">
        <v>4</v>
      </c>
      <c r="D34" s="2" t="s">
        <v>5</v>
      </c>
    </row>
    <row r="35" spans="1:4" ht="49.5">
      <c r="A35" s="2" t="s">
        <v>25</v>
      </c>
      <c r="B35" s="2" t="s">
        <v>26</v>
      </c>
      <c r="C35" s="2" t="s">
        <v>4</v>
      </c>
      <c r="D35" s="2" t="s">
        <v>11</v>
      </c>
    </row>
    <row r="36" spans="1:4" ht="49.5">
      <c r="A36" s="2" t="s">
        <v>27</v>
      </c>
      <c r="B36" s="2" t="s">
        <v>28</v>
      </c>
      <c r="C36" s="2" t="s">
        <v>4</v>
      </c>
      <c r="D36" s="2" t="s">
        <v>11</v>
      </c>
    </row>
    <row r="37" spans="1:4" ht="49.5">
      <c r="A37" s="2" t="s">
        <v>29</v>
      </c>
      <c r="B37" s="2" t="s">
        <v>30</v>
      </c>
      <c r="C37" s="2" t="s">
        <v>4</v>
      </c>
      <c r="D37" s="2" t="s">
        <v>11</v>
      </c>
    </row>
    <row r="38" spans="1:4" ht="66">
      <c r="A38" s="2" t="s">
        <v>31</v>
      </c>
      <c r="B38" s="2" t="s">
        <v>32</v>
      </c>
      <c r="C38" s="2" t="s">
        <v>4</v>
      </c>
      <c r="D38" s="2" t="s">
        <v>5</v>
      </c>
    </row>
    <row r="39" spans="1:4" ht="49.5">
      <c r="A39" s="2" t="s">
        <v>33</v>
      </c>
      <c r="B39" s="2" t="s">
        <v>34</v>
      </c>
      <c r="C39" s="2" t="s">
        <v>4</v>
      </c>
      <c r="D39" s="2" t="s">
        <v>5</v>
      </c>
    </row>
    <row r="40" spans="1:4" ht="66">
      <c r="A40" s="2" t="s">
        <v>35</v>
      </c>
      <c r="B40" s="2" t="s">
        <v>36</v>
      </c>
      <c r="C40" s="2" t="s">
        <v>4</v>
      </c>
      <c r="D40" s="2" t="s">
        <v>5</v>
      </c>
    </row>
    <row r="41" spans="1:4" ht="66">
      <c r="A41" s="2" t="s">
        <v>37</v>
      </c>
      <c r="B41" s="2" t="s">
        <v>38</v>
      </c>
      <c r="C41" s="2" t="s">
        <v>4</v>
      </c>
      <c r="D41" s="2" t="s">
        <v>5</v>
      </c>
    </row>
    <row r="42" spans="1:4" ht="66">
      <c r="A42" s="2" t="s">
        <v>39</v>
      </c>
      <c r="B42" s="2" t="s">
        <v>40</v>
      </c>
      <c r="C42" s="2" t="s">
        <v>4</v>
      </c>
      <c r="D42" s="2" t="s">
        <v>5</v>
      </c>
    </row>
    <row r="43" spans="1:4" ht="66">
      <c r="A43" s="2" t="s">
        <v>41</v>
      </c>
      <c r="B43" s="2" t="s">
        <v>42</v>
      </c>
      <c r="C43" s="2" t="s">
        <v>4</v>
      </c>
      <c r="D43" s="2" t="s">
        <v>5</v>
      </c>
    </row>
    <row r="44" spans="1:4" ht="66">
      <c r="A44" s="2" t="s">
        <v>43</v>
      </c>
      <c r="B44" s="2" t="s">
        <v>44</v>
      </c>
      <c r="C44" s="2" t="s">
        <v>4</v>
      </c>
      <c r="D44" s="2" t="s">
        <v>5</v>
      </c>
    </row>
    <row r="45" spans="1:4" ht="66">
      <c r="A45" s="2" t="s">
        <v>45</v>
      </c>
      <c r="B45" s="2" t="s">
        <v>46</v>
      </c>
      <c r="C45" s="2" t="s">
        <v>4</v>
      </c>
      <c r="D45" s="2" t="s">
        <v>5</v>
      </c>
    </row>
    <row r="46" spans="1:4" ht="66">
      <c r="A46" s="2" t="s">
        <v>47</v>
      </c>
      <c r="B46" s="2" t="s">
        <v>48</v>
      </c>
      <c r="C46" s="2" t="s">
        <v>4</v>
      </c>
      <c r="D46" s="2" t="s">
        <v>5</v>
      </c>
    </row>
    <row r="47" spans="1:4" ht="49.5">
      <c r="A47" s="2" t="s">
        <v>49</v>
      </c>
      <c r="B47" s="2" t="s">
        <v>50</v>
      </c>
      <c r="C47" s="2" t="s">
        <v>4</v>
      </c>
      <c r="D47" s="2" t="s">
        <v>11</v>
      </c>
    </row>
    <row r="48" spans="1:4" ht="33">
      <c r="A48" s="2" t="s">
        <v>51</v>
      </c>
      <c r="B48" s="2" t="s">
        <v>52</v>
      </c>
      <c r="C48" s="2" t="s">
        <v>4</v>
      </c>
      <c r="D48" s="2" t="s">
        <v>5</v>
      </c>
    </row>
    <row r="49" spans="1:4" ht="33">
      <c r="A49" s="2" t="s">
        <v>53</v>
      </c>
      <c r="B49" s="2" t="s">
        <v>54</v>
      </c>
      <c r="C49" s="2" t="s">
        <v>4</v>
      </c>
      <c r="D49" s="2" t="s">
        <v>5</v>
      </c>
    </row>
    <row r="50" spans="1:4" ht="49.5">
      <c r="A50" s="2" t="s">
        <v>55</v>
      </c>
      <c r="B50" s="2" t="s">
        <v>56</v>
      </c>
      <c r="C50" s="2" t="s">
        <v>4</v>
      </c>
      <c r="D50" s="2" t="s">
        <v>9</v>
      </c>
    </row>
    <row r="51" spans="1:4" ht="66">
      <c r="A51" s="2" t="s">
        <v>57</v>
      </c>
      <c r="B51" s="2" t="s">
        <v>58</v>
      </c>
      <c r="C51" s="2" t="s">
        <v>4</v>
      </c>
      <c r="D51" s="2" t="s">
        <v>11</v>
      </c>
    </row>
    <row r="52" spans="1:4" ht="49.5">
      <c r="A52" s="2" t="s">
        <v>59</v>
      </c>
      <c r="B52" s="2" t="s">
        <v>60</v>
      </c>
      <c r="C52" s="2" t="s">
        <v>4</v>
      </c>
      <c r="D52" s="2" t="s">
        <v>11</v>
      </c>
    </row>
    <row r="53" spans="1:4" ht="66">
      <c r="A53" s="2" t="s">
        <v>61</v>
      </c>
      <c r="B53" s="2" t="s">
        <v>62</v>
      </c>
      <c r="C53" s="2" t="s">
        <v>4</v>
      </c>
      <c r="D53" s="2" t="s">
        <v>5</v>
      </c>
    </row>
    <row r="54" spans="1:4" ht="66">
      <c r="A54" s="2" t="s">
        <v>63</v>
      </c>
      <c r="B54" s="2" t="s">
        <v>64</v>
      </c>
      <c r="C54" s="2" t="s">
        <v>4</v>
      </c>
      <c r="D54" s="2" t="s">
        <v>5</v>
      </c>
    </row>
    <row r="55" spans="1:4" ht="66">
      <c r="A55" s="2" t="s">
        <v>65</v>
      </c>
      <c r="B55" s="2" t="s">
        <v>66</v>
      </c>
      <c r="C55" s="2" t="s">
        <v>4</v>
      </c>
      <c r="D55" s="2" t="s">
        <v>5</v>
      </c>
    </row>
    <row r="56" spans="1:4" ht="66">
      <c r="A56" s="2" t="s">
        <v>67</v>
      </c>
      <c r="B56" s="2" t="s">
        <v>68</v>
      </c>
      <c r="C56" s="2" t="s">
        <v>4</v>
      </c>
      <c r="D56" s="2" t="s">
        <v>5</v>
      </c>
    </row>
    <row r="57" spans="1:4" ht="66">
      <c r="A57" s="2" t="s">
        <v>69</v>
      </c>
      <c r="B57" s="2" t="s">
        <v>70</v>
      </c>
      <c r="C57" s="2" t="s">
        <v>4</v>
      </c>
      <c r="D57" s="2" t="s">
        <v>5</v>
      </c>
    </row>
    <row r="58" spans="1:4" ht="66">
      <c r="A58" s="2" t="s">
        <v>71</v>
      </c>
      <c r="B58" s="2" t="s">
        <v>72</v>
      </c>
      <c r="C58" s="2" t="s">
        <v>4</v>
      </c>
      <c r="D58" s="2" t="s">
        <v>5</v>
      </c>
    </row>
    <row r="59" spans="1:4" ht="66">
      <c r="A59" s="2" t="s">
        <v>73</v>
      </c>
      <c r="B59" s="2" t="s">
        <v>74</v>
      </c>
      <c r="C59" s="2" t="s">
        <v>4</v>
      </c>
      <c r="D59" s="2" t="s">
        <v>9</v>
      </c>
    </row>
    <row r="60" spans="1:4" ht="66">
      <c r="A60" s="2" t="s">
        <v>75</v>
      </c>
      <c r="B60" s="2" t="s">
        <v>76</v>
      </c>
      <c r="C60" s="2" t="s">
        <v>4</v>
      </c>
      <c r="D60" s="2" t="s">
        <v>5</v>
      </c>
    </row>
    <row r="61" spans="1:4" ht="49.5">
      <c r="A61" s="2" t="s">
        <v>77</v>
      </c>
      <c r="B61" s="2" t="s">
        <v>78</v>
      </c>
      <c r="C61" s="2" t="s">
        <v>4</v>
      </c>
      <c r="D61" s="2" t="s">
        <v>5</v>
      </c>
    </row>
    <row r="62" spans="1:4" ht="33">
      <c r="A62" s="2" t="s">
        <v>79</v>
      </c>
      <c r="B62" s="2" t="s">
        <v>80</v>
      </c>
      <c r="C62" s="2" t="s">
        <v>4</v>
      </c>
      <c r="D62" s="2" t="s">
        <v>9</v>
      </c>
    </row>
    <row r="63" spans="1:4" ht="49.5">
      <c r="A63" s="2" t="s">
        <v>81</v>
      </c>
      <c r="B63" s="2" t="s">
        <v>82</v>
      </c>
      <c r="C63" s="2" t="s">
        <v>4</v>
      </c>
      <c r="D63" s="2" t="s">
        <v>9</v>
      </c>
    </row>
    <row r="64" spans="1:4" ht="33">
      <c r="A64" s="2" t="s">
        <v>197</v>
      </c>
      <c r="B64" s="2" t="s">
        <v>198</v>
      </c>
      <c r="C64" s="2" t="s">
        <v>10</v>
      </c>
      <c r="D64" s="2" t="s">
        <v>5</v>
      </c>
    </row>
    <row r="65" spans="1:4" ht="33">
      <c r="A65" s="2" t="s">
        <v>201</v>
      </c>
      <c r="B65" s="2" t="s">
        <v>202</v>
      </c>
      <c r="C65" s="2" t="s">
        <v>10</v>
      </c>
      <c r="D65" s="2" t="s">
        <v>9</v>
      </c>
    </row>
    <row r="66" spans="1:4" ht="33">
      <c r="A66" s="2" t="s">
        <v>221</v>
      </c>
      <c r="B66" s="2" t="s">
        <v>222</v>
      </c>
      <c r="C66" s="2" t="s">
        <v>10</v>
      </c>
      <c r="D66" s="2" t="s">
        <v>5</v>
      </c>
    </row>
    <row r="67" spans="1:4" ht="33">
      <c r="A67" s="2" t="s">
        <v>227</v>
      </c>
      <c r="B67" s="2" t="s">
        <v>228</v>
      </c>
      <c r="C67" s="2" t="s">
        <v>10</v>
      </c>
      <c r="D67" s="2" t="s">
        <v>5</v>
      </c>
    </row>
    <row r="68" spans="1:4" ht="33">
      <c r="A68" s="2" t="s">
        <v>229</v>
      </c>
      <c r="B68" s="2" t="s">
        <v>230</v>
      </c>
      <c r="C68" s="2" t="s">
        <v>10</v>
      </c>
      <c r="D68" s="2" t="s">
        <v>5</v>
      </c>
    </row>
    <row r="69" spans="1:4" ht="33">
      <c r="A69" s="2" t="s">
        <v>239</v>
      </c>
      <c r="B69" s="2" t="s">
        <v>240</v>
      </c>
      <c r="C69" s="2" t="s">
        <v>10</v>
      </c>
      <c r="D69" s="2" t="s">
        <v>5</v>
      </c>
    </row>
    <row r="70" spans="1:4" ht="49.5">
      <c r="A70" s="2" t="s">
        <v>241</v>
      </c>
      <c r="B70" s="2" t="s">
        <v>242</v>
      </c>
      <c r="C70" s="2" t="s">
        <v>10</v>
      </c>
      <c r="D70" s="2" t="s">
        <v>5</v>
      </c>
    </row>
    <row r="71" spans="1:4" ht="49.5">
      <c r="A71" s="2" t="s">
        <v>352</v>
      </c>
      <c r="B71" s="2" t="s">
        <v>353</v>
      </c>
      <c r="C71" s="2" t="s">
        <v>10</v>
      </c>
      <c r="D71" s="2" t="s">
        <v>5</v>
      </c>
    </row>
    <row r="72" spans="1:4" ht="33">
      <c r="A72" s="2" t="s">
        <v>414</v>
      </c>
      <c r="B72" s="2" t="s">
        <v>415</v>
      </c>
      <c r="C72" s="2" t="s">
        <v>10</v>
      </c>
      <c r="D72" s="2" t="s">
        <v>9</v>
      </c>
    </row>
    <row r="73" spans="1:4" ht="33">
      <c r="A73" s="2" t="s">
        <v>436</v>
      </c>
      <c r="B73" s="2" t="s">
        <v>437</v>
      </c>
      <c r="C73" s="2" t="s">
        <v>10</v>
      </c>
      <c r="D73" s="2" t="s">
        <v>9</v>
      </c>
    </row>
    <row r="74" spans="1:4" ht="49.5">
      <c r="A74" s="2" t="s">
        <v>478</v>
      </c>
      <c r="B74" s="2" t="s">
        <v>479</v>
      </c>
      <c r="C74" s="2" t="s">
        <v>10</v>
      </c>
      <c r="D74" s="2" t="s">
        <v>9</v>
      </c>
    </row>
    <row r="75" spans="1:4" ht="49.5">
      <c r="A75" s="2" t="s">
        <v>486</v>
      </c>
      <c r="B75" s="2" t="s">
        <v>487</v>
      </c>
      <c r="C75" s="2" t="s">
        <v>10</v>
      </c>
      <c r="D75" s="2" t="s">
        <v>5</v>
      </c>
    </row>
    <row r="76" spans="1:4" ht="49.5">
      <c r="A76" s="2" t="s">
        <v>490</v>
      </c>
      <c r="B76" s="2" t="s">
        <v>491</v>
      </c>
      <c r="C76" s="2" t="s">
        <v>10</v>
      </c>
      <c r="D76" s="2" t="s">
        <v>9</v>
      </c>
    </row>
    <row r="77" spans="1:4" ht="33">
      <c r="A77" s="2" t="s">
        <v>494</v>
      </c>
      <c r="B77" s="2" t="s">
        <v>495</v>
      </c>
      <c r="C77" s="2" t="s">
        <v>10</v>
      </c>
      <c r="D77" s="2" t="s">
        <v>11</v>
      </c>
    </row>
    <row r="78" spans="1:4" ht="33">
      <c r="A78" s="2" t="s">
        <v>536</v>
      </c>
      <c r="B78" s="2" t="s">
        <v>537</v>
      </c>
      <c r="C78" s="2" t="s">
        <v>10</v>
      </c>
      <c r="D78" s="2" t="s">
        <v>5</v>
      </c>
    </row>
    <row r="79" spans="1:4" ht="49.5">
      <c r="A79" s="2" t="s">
        <v>548</v>
      </c>
      <c r="B79" s="2" t="s">
        <v>549</v>
      </c>
      <c r="C79" s="2" t="s">
        <v>10</v>
      </c>
      <c r="D79" s="2" t="s">
        <v>9</v>
      </c>
    </row>
    <row r="80" spans="1:4" ht="49.5">
      <c r="A80" s="2" t="s">
        <v>584</v>
      </c>
      <c r="B80" s="2" t="s">
        <v>585</v>
      </c>
      <c r="C80" s="2" t="s">
        <v>10</v>
      </c>
      <c r="D80" s="2" t="s">
        <v>5</v>
      </c>
    </row>
    <row r="81" spans="1:4" ht="49.5">
      <c r="A81" s="2" t="s">
        <v>588</v>
      </c>
      <c r="B81" s="2" t="s">
        <v>589</v>
      </c>
      <c r="C81" s="2" t="s">
        <v>10</v>
      </c>
      <c r="D81" s="2" t="s">
        <v>11</v>
      </c>
    </row>
    <row r="82" spans="1:4" ht="66">
      <c r="A82" s="2" t="s">
        <v>662</v>
      </c>
      <c r="B82" s="2" t="s">
        <v>663</v>
      </c>
      <c r="C82" s="2" t="s">
        <v>10</v>
      </c>
      <c r="D82" s="2" t="s">
        <v>5</v>
      </c>
    </row>
    <row r="83" spans="1:4" ht="66">
      <c r="A83" s="2" t="s">
        <v>664</v>
      </c>
      <c r="B83" s="2" t="s">
        <v>665</v>
      </c>
      <c r="C83" s="2" t="s">
        <v>10</v>
      </c>
      <c r="D83" s="2" t="s">
        <v>9</v>
      </c>
    </row>
    <row r="84" spans="1:4" ht="33">
      <c r="A84" s="2" t="s">
        <v>666</v>
      </c>
      <c r="B84" s="2" t="s">
        <v>667</v>
      </c>
      <c r="C84" s="2" t="s">
        <v>10</v>
      </c>
      <c r="D84" s="2" t="s">
        <v>6</v>
      </c>
    </row>
    <row r="85" spans="1:4" ht="66">
      <c r="A85" s="2" t="s">
        <v>668</v>
      </c>
      <c r="B85" s="2" t="s">
        <v>669</v>
      </c>
      <c r="C85" s="2" t="s">
        <v>10</v>
      </c>
      <c r="D85" s="2" t="s">
        <v>9</v>
      </c>
    </row>
    <row r="86" spans="1:4" ht="49.5">
      <c r="A86" s="2" t="s">
        <v>682</v>
      </c>
      <c r="B86" s="2" t="s">
        <v>683</v>
      </c>
      <c r="C86" s="2" t="s">
        <v>10</v>
      </c>
      <c r="D86" s="2" t="s">
        <v>5</v>
      </c>
    </row>
    <row r="87" spans="1:4" ht="66">
      <c r="A87" s="2" t="s">
        <v>686</v>
      </c>
      <c r="B87" s="2" t="s">
        <v>687</v>
      </c>
      <c r="C87" s="2" t="s">
        <v>10</v>
      </c>
      <c r="D87" s="2" t="s">
        <v>5</v>
      </c>
    </row>
    <row r="88" spans="1:4" ht="33">
      <c r="A88" s="2" t="s">
        <v>688</v>
      </c>
      <c r="B88" s="2" t="s">
        <v>689</v>
      </c>
      <c r="C88" s="2" t="s">
        <v>10</v>
      </c>
      <c r="D88" s="2" t="s">
        <v>5</v>
      </c>
    </row>
    <row r="89" spans="1:4" ht="33">
      <c r="A89" s="2" t="s">
        <v>690</v>
      </c>
      <c r="B89" s="2" t="s">
        <v>691</v>
      </c>
      <c r="C89" s="2" t="s">
        <v>10</v>
      </c>
      <c r="D89" s="2" t="s">
        <v>5</v>
      </c>
    </row>
    <row r="90" spans="1:4" ht="33">
      <c r="A90" s="2" t="s">
        <v>692</v>
      </c>
      <c r="B90" s="2" t="s">
        <v>693</v>
      </c>
      <c r="C90" s="2" t="s">
        <v>10</v>
      </c>
      <c r="D90" s="2" t="s">
        <v>5</v>
      </c>
    </row>
    <row r="91" spans="1:4" ht="49.5">
      <c r="A91" s="2" t="s">
        <v>694</v>
      </c>
      <c r="B91" s="2" t="s">
        <v>695</v>
      </c>
      <c r="C91" s="2" t="s">
        <v>10</v>
      </c>
      <c r="D91" s="2" t="s">
        <v>5</v>
      </c>
    </row>
    <row r="92" spans="1:4" ht="49.5">
      <c r="A92" s="2" t="s">
        <v>696</v>
      </c>
      <c r="B92" s="2" t="s">
        <v>697</v>
      </c>
      <c r="C92" s="2" t="s">
        <v>10</v>
      </c>
      <c r="D92" s="2" t="s">
        <v>5</v>
      </c>
    </row>
    <row r="93" spans="1:4" ht="49.5">
      <c r="A93" s="2" t="s">
        <v>698</v>
      </c>
      <c r="B93" s="2" t="s">
        <v>699</v>
      </c>
      <c r="C93" s="2" t="s">
        <v>10</v>
      </c>
      <c r="D93" s="2" t="s">
        <v>5</v>
      </c>
    </row>
    <row r="94" spans="1:4" ht="66">
      <c r="A94" s="2" t="s">
        <v>706</v>
      </c>
      <c r="B94" s="2" t="s">
        <v>707</v>
      </c>
      <c r="C94" s="2" t="s">
        <v>10</v>
      </c>
      <c r="D94" s="2" t="s">
        <v>5</v>
      </c>
    </row>
    <row r="95" spans="1:4" ht="49.5">
      <c r="A95" s="2" t="s">
        <v>730</v>
      </c>
      <c r="B95" s="2" t="s">
        <v>731</v>
      </c>
      <c r="C95" s="2" t="s">
        <v>10</v>
      </c>
      <c r="D95" s="2" t="s">
        <v>5</v>
      </c>
    </row>
    <row r="96" spans="1:4" ht="33">
      <c r="A96" s="2" t="s">
        <v>944</v>
      </c>
      <c r="B96" s="2" t="s">
        <v>945</v>
      </c>
      <c r="C96" s="2" t="s">
        <v>10</v>
      </c>
      <c r="D96" s="2" t="s">
        <v>5</v>
      </c>
    </row>
    <row r="97" spans="1:4" ht="49.5">
      <c r="A97" s="2" t="s">
        <v>954</v>
      </c>
      <c r="B97" s="2" t="s">
        <v>955</v>
      </c>
      <c r="C97" s="2" t="s">
        <v>10</v>
      </c>
      <c r="D97" s="2" t="s">
        <v>9</v>
      </c>
    </row>
    <row r="98" spans="1:4" ht="49.5">
      <c r="A98" s="2" t="s">
        <v>1306</v>
      </c>
      <c r="B98" s="2" t="s">
        <v>1307</v>
      </c>
      <c r="C98" s="2" t="s">
        <v>10</v>
      </c>
      <c r="D98" s="2" t="s">
        <v>9</v>
      </c>
    </row>
    <row r="99" spans="1:4" ht="49.5">
      <c r="A99" s="2" t="s">
        <v>1324</v>
      </c>
      <c r="B99" s="2" t="s">
        <v>1325</v>
      </c>
      <c r="C99" s="2" t="s">
        <v>10</v>
      </c>
      <c r="D99" s="2" t="s">
        <v>5</v>
      </c>
    </row>
    <row r="100" spans="1:4" ht="49.5">
      <c r="A100" s="2" t="s">
        <v>1580</v>
      </c>
      <c r="B100" s="2" t="s">
        <v>1581</v>
      </c>
      <c r="C100" s="2" t="s">
        <v>10</v>
      </c>
      <c r="D100" s="2" t="s">
        <v>5</v>
      </c>
    </row>
    <row r="101" spans="1:4" ht="33">
      <c r="A101" s="2" t="s">
        <v>194</v>
      </c>
      <c r="B101" s="2" t="s">
        <v>195</v>
      </c>
      <c r="C101" s="2" t="s">
        <v>196</v>
      </c>
      <c r="D101" s="2" t="s">
        <v>5</v>
      </c>
    </row>
    <row r="102" spans="1:4" ht="33">
      <c r="A102" s="2" t="s">
        <v>199</v>
      </c>
      <c r="B102" s="2" t="s">
        <v>200</v>
      </c>
      <c r="C102" s="2" t="s">
        <v>196</v>
      </c>
      <c r="D102" s="2" t="s">
        <v>5</v>
      </c>
    </row>
    <row r="103" spans="1:4" ht="33">
      <c r="A103" s="2" t="s">
        <v>203</v>
      </c>
      <c r="B103" s="2" t="s">
        <v>204</v>
      </c>
      <c r="C103" s="2" t="s">
        <v>196</v>
      </c>
      <c r="D103" s="2" t="s">
        <v>9</v>
      </c>
    </row>
    <row r="104" spans="1:4" ht="33">
      <c r="A104" s="2" t="s">
        <v>219</v>
      </c>
      <c r="B104" s="2" t="s">
        <v>220</v>
      </c>
      <c r="C104" s="2" t="s">
        <v>196</v>
      </c>
      <c r="D104" s="2" t="s">
        <v>11</v>
      </c>
    </row>
    <row r="105" spans="1:4" ht="33">
      <c r="A105" s="2" t="s">
        <v>223</v>
      </c>
      <c r="B105" s="2" t="s">
        <v>224</v>
      </c>
      <c r="C105" s="2" t="s">
        <v>196</v>
      </c>
      <c r="D105" s="2" t="s">
        <v>5</v>
      </c>
    </row>
    <row r="106" spans="1:4" ht="33">
      <c r="A106" s="2" t="s">
        <v>225</v>
      </c>
      <c r="B106" s="2" t="s">
        <v>226</v>
      </c>
      <c r="C106" s="2" t="s">
        <v>196</v>
      </c>
      <c r="D106" s="2" t="s">
        <v>5</v>
      </c>
    </row>
    <row r="107" spans="1:4" ht="66">
      <c r="A107" s="2" t="s">
        <v>252</v>
      </c>
      <c r="B107" s="2" t="s">
        <v>253</v>
      </c>
      <c r="C107" s="2" t="s">
        <v>196</v>
      </c>
      <c r="D107" s="2" t="s">
        <v>11</v>
      </c>
    </row>
    <row r="108" spans="1:4" ht="49.5">
      <c r="A108" s="2" t="s">
        <v>254</v>
      </c>
      <c r="B108" s="2" t="s">
        <v>255</v>
      </c>
      <c r="C108" s="2" t="s">
        <v>196</v>
      </c>
      <c r="D108" s="2" t="s">
        <v>11</v>
      </c>
    </row>
    <row r="109" spans="1:4" ht="49.5">
      <c r="A109" s="2" t="s">
        <v>256</v>
      </c>
      <c r="B109" s="2" t="s">
        <v>257</v>
      </c>
      <c r="C109" s="2" t="s">
        <v>196</v>
      </c>
      <c r="D109" s="2" t="s">
        <v>11</v>
      </c>
    </row>
    <row r="110" spans="1:4" ht="49.5">
      <c r="A110" s="2" t="s">
        <v>258</v>
      </c>
      <c r="B110" s="2" t="s">
        <v>259</v>
      </c>
      <c r="C110" s="2" t="s">
        <v>196</v>
      </c>
      <c r="D110" s="2" t="s">
        <v>9</v>
      </c>
    </row>
    <row r="111" spans="1:4" ht="49.5">
      <c r="A111" s="2" t="s">
        <v>260</v>
      </c>
      <c r="B111" s="2" t="s">
        <v>261</v>
      </c>
      <c r="C111" s="2" t="s">
        <v>196</v>
      </c>
      <c r="D111" s="2" t="s">
        <v>9</v>
      </c>
    </row>
    <row r="112" spans="1:4" ht="49.5">
      <c r="A112" s="2" t="s">
        <v>272</v>
      </c>
      <c r="B112" s="2" t="s">
        <v>273</v>
      </c>
      <c r="C112" s="2" t="s">
        <v>196</v>
      </c>
      <c r="D112" s="2" t="s">
        <v>6</v>
      </c>
    </row>
    <row r="113" spans="1:4" ht="33">
      <c r="A113" s="2" t="s">
        <v>274</v>
      </c>
      <c r="B113" s="2" t="s">
        <v>275</v>
      </c>
      <c r="C113" s="2" t="s">
        <v>196</v>
      </c>
      <c r="D113" s="2" t="s">
        <v>6</v>
      </c>
    </row>
    <row r="114" spans="1:4" ht="49.5">
      <c r="A114" s="2" t="s">
        <v>280</v>
      </c>
      <c r="B114" s="2" t="s">
        <v>281</v>
      </c>
      <c r="C114" s="2" t="s">
        <v>196</v>
      </c>
      <c r="D114" s="2" t="s">
        <v>6</v>
      </c>
    </row>
    <row r="115" spans="1:4" ht="33">
      <c r="A115" s="2" t="s">
        <v>284</v>
      </c>
      <c r="B115" s="2" t="s">
        <v>285</v>
      </c>
      <c r="C115" s="2" t="s">
        <v>196</v>
      </c>
      <c r="D115" s="2" t="s">
        <v>6</v>
      </c>
    </row>
    <row r="116" spans="1:4" ht="49.5">
      <c r="A116" s="2" t="s">
        <v>290</v>
      </c>
      <c r="B116" s="2" t="s">
        <v>291</v>
      </c>
      <c r="C116" s="2" t="s">
        <v>196</v>
      </c>
      <c r="D116" s="2" t="s">
        <v>6</v>
      </c>
    </row>
    <row r="117" spans="1:4" ht="33">
      <c r="A117" s="2" t="s">
        <v>294</v>
      </c>
      <c r="B117" s="2" t="s">
        <v>295</v>
      </c>
      <c r="C117" s="2" t="s">
        <v>196</v>
      </c>
      <c r="D117" s="2" t="s">
        <v>6</v>
      </c>
    </row>
    <row r="118" spans="1:4" ht="49.5">
      <c r="A118" s="2" t="s">
        <v>302</v>
      </c>
      <c r="B118" s="2" t="s">
        <v>303</v>
      </c>
      <c r="C118" s="2" t="s">
        <v>196</v>
      </c>
      <c r="D118" s="2" t="s">
        <v>6</v>
      </c>
    </row>
    <row r="119" spans="1:4" ht="33">
      <c r="A119" s="2" t="s">
        <v>310</v>
      </c>
      <c r="B119" s="2" t="s">
        <v>311</v>
      </c>
      <c r="C119" s="2" t="s">
        <v>196</v>
      </c>
      <c r="D119" s="2" t="s">
        <v>6</v>
      </c>
    </row>
    <row r="120" spans="1:4" ht="49.5">
      <c r="A120" s="2" t="s">
        <v>316</v>
      </c>
      <c r="B120" s="2" t="s">
        <v>317</v>
      </c>
      <c r="C120" s="2" t="s">
        <v>196</v>
      </c>
      <c r="D120" s="2" t="s">
        <v>6</v>
      </c>
    </row>
    <row r="121" spans="1:4" ht="49.5">
      <c r="A121" s="2" t="s">
        <v>318</v>
      </c>
      <c r="B121" s="2" t="s">
        <v>319</v>
      </c>
      <c r="C121" s="2" t="s">
        <v>196</v>
      </c>
      <c r="D121" s="2" t="s">
        <v>6</v>
      </c>
    </row>
    <row r="122" spans="1:4" ht="49.5">
      <c r="A122" s="2" t="s">
        <v>322</v>
      </c>
      <c r="B122" s="2" t="s">
        <v>323</v>
      </c>
      <c r="C122" s="2" t="s">
        <v>196</v>
      </c>
      <c r="D122" s="2" t="s">
        <v>6</v>
      </c>
    </row>
    <row r="123" spans="1:4" ht="49.5">
      <c r="A123" s="2" t="s">
        <v>324</v>
      </c>
      <c r="B123" s="2" t="s">
        <v>325</v>
      </c>
      <c r="C123" s="2" t="s">
        <v>196</v>
      </c>
      <c r="D123" s="2" t="s">
        <v>6</v>
      </c>
    </row>
    <row r="124" spans="1:4" ht="49.5">
      <c r="A124" s="2" t="s">
        <v>326</v>
      </c>
      <c r="B124" s="2" t="s">
        <v>327</v>
      </c>
      <c r="C124" s="2" t="s">
        <v>196</v>
      </c>
      <c r="D124" s="2" t="s">
        <v>9</v>
      </c>
    </row>
    <row r="125" spans="1:4" ht="49.5">
      <c r="A125" s="2" t="s">
        <v>328</v>
      </c>
      <c r="B125" s="2" t="s">
        <v>329</v>
      </c>
      <c r="C125" s="2" t="s">
        <v>196</v>
      </c>
      <c r="D125" s="2" t="s">
        <v>6</v>
      </c>
    </row>
    <row r="126" spans="1:4" ht="33">
      <c r="A126" s="2" t="s">
        <v>332</v>
      </c>
      <c r="B126" s="2" t="s">
        <v>333</v>
      </c>
      <c r="C126" s="2" t="s">
        <v>196</v>
      </c>
      <c r="D126" s="2" t="s">
        <v>5</v>
      </c>
    </row>
    <row r="127" spans="1:4" ht="49.5">
      <c r="A127" s="2" t="s">
        <v>334</v>
      </c>
      <c r="B127" s="2" t="s">
        <v>335</v>
      </c>
      <c r="C127" s="2" t="s">
        <v>196</v>
      </c>
      <c r="D127" s="2" t="s">
        <v>6</v>
      </c>
    </row>
    <row r="128" spans="1:4" ht="49.5">
      <c r="A128" s="2" t="s">
        <v>336</v>
      </c>
      <c r="B128" s="2" t="s">
        <v>337</v>
      </c>
      <c r="C128" s="2" t="s">
        <v>196</v>
      </c>
      <c r="D128" s="2" t="s">
        <v>6</v>
      </c>
    </row>
    <row r="129" spans="1:4" ht="49.5">
      <c r="A129" s="2" t="s">
        <v>338</v>
      </c>
      <c r="B129" s="2" t="s">
        <v>339</v>
      </c>
      <c r="C129" s="2" t="s">
        <v>196</v>
      </c>
      <c r="D129" s="2" t="s">
        <v>6</v>
      </c>
    </row>
    <row r="130" spans="1:4" ht="49.5">
      <c r="A130" s="2" t="s">
        <v>340</v>
      </c>
      <c r="B130" s="2" t="s">
        <v>341</v>
      </c>
      <c r="C130" s="2" t="s">
        <v>196</v>
      </c>
      <c r="D130" s="2" t="s">
        <v>6</v>
      </c>
    </row>
    <row r="131" spans="1:4" ht="49.5">
      <c r="A131" s="2" t="s">
        <v>342</v>
      </c>
      <c r="B131" s="2" t="s">
        <v>343</v>
      </c>
      <c r="C131" s="2" t="s">
        <v>196</v>
      </c>
      <c r="D131" s="2" t="s">
        <v>6</v>
      </c>
    </row>
    <row r="132" spans="1:4" ht="49.5">
      <c r="A132" s="2" t="s">
        <v>344</v>
      </c>
      <c r="B132" s="2" t="s">
        <v>345</v>
      </c>
      <c r="C132" s="2" t="s">
        <v>196</v>
      </c>
      <c r="D132" s="2" t="s">
        <v>6</v>
      </c>
    </row>
    <row r="133" spans="1:4" ht="49.5">
      <c r="A133" s="2" t="s">
        <v>346</v>
      </c>
      <c r="B133" s="2" t="s">
        <v>347</v>
      </c>
      <c r="C133" s="2" t="s">
        <v>196</v>
      </c>
      <c r="D133" s="2" t="s">
        <v>6</v>
      </c>
    </row>
    <row r="134" spans="1:4" ht="49.5">
      <c r="A134" s="2" t="s">
        <v>348</v>
      </c>
      <c r="B134" s="2" t="s">
        <v>349</v>
      </c>
      <c r="C134" s="2" t="s">
        <v>196</v>
      </c>
      <c r="D134" s="2" t="s">
        <v>9</v>
      </c>
    </row>
    <row r="135" spans="1:4" ht="33">
      <c r="A135" s="2" t="s">
        <v>350</v>
      </c>
      <c r="B135" s="2" t="s">
        <v>351</v>
      </c>
      <c r="C135" s="2" t="s">
        <v>196</v>
      </c>
      <c r="D135" s="2" t="s">
        <v>9</v>
      </c>
    </row>
    <row r="136" spans="1:4" ht="49.5">
      <c r="A136" s="2" t="s">
        <v>356</v>
      </c>
      <c r="B136" s="2" t="s">
        <v>357</v>
      </c>
      <c r="C136" s="2" t="s">
        <v>196</v>
      </c>
      <c r="D136" s="2" t="s">
        <v>6</v>
      </c>
    </row>
    <row r="137" spans="1:4" ht="49.5">
      <c r="A137" s="2" t="s">
        <v>360</v>
      </c>
      <c r="B137" s="2" t="s">
        <v>361</v>
      </c>
      <c r="C137" s="2" t="s">
        <v>196</v>
      </c>
      <c r="D137" s="2" t="s">
        <v>5</v>
      </c>
    </row>
    <row r="138" spans="1:4" ht="49.5">
      <c r="A138" s="2" t="s">
        <v>362</v>
      </c>
      <c r="B138" s="2" t="s">
        <v>363</v>
      </c>
      <c r="C138" s="2" t="s">
        <v>196</v>
      </c>
      <c r="D138" s="2" t="s">
        <v>6</v>
      </c>
    </row>
    <row r="139" spans="1:4" ht="49.5">
      <c r="A139" s="2" t="s">
        <v>364</v>
      </c>
      <c r="B139" s="2" t="s">
        <v>365</v>
      </c>
      <c r="C139" s="2" t="s">
        <v>196</v>
      </c>
      <c r="D139" s="2" t="s">
        <v>6</v>
      </c>
    </row>
    <row r="140" spans="1:4" ht="33">
      <c r="A140" s="2" t="s">
        <v>368</v>
      </c>
      <c r="B140" s="2" t="s">
        <v>369</v>
      </c>
      <c r="C140" s="2" t="s">
        <v>196</v>
      </c>
      <c r="D140" s="2" t="s">
        <v>6</v>
      </c>
    </row>
    <row r="141" spans="1:4" ht="33">
      <c r="A141" s="2" t="s">
        <v>370</v>
      </c>
      <c r="B141" s="2" t="s">
        <v>371</v>
      </c>
      <c r="C141" s="2" t="s">
        <v>196</v>
      </c>
      <c r="D141" s="2" t="s">
        <v>6</v>
      </c>
    </row>
    <row r="142" spans="1:4" ht="33">
      <c r="A142" s="2" t="s">
        <v>376</v>
      </c>
      <c r="B142" s="2" t="s">
        <v>377</v>
      </c>
      <c r="C142" s="2" t="s">
        <v>196</v>
      </c>
      <c r="D142" s="2" t="s">
        <v>9</v>
      </c>
    </row>
    <row r="143" spans="1:4" ht="33">
      <c r="A143" s="2" t="s">
        <v>378</v>
      </c>
      <c r="B143" s="2" t="s">
        <v>379</v>
      </c>
      <c r="C143" s="2" t="s">
        <v>196</v>
      </c>
      <c r="D143" s="2" t="s">
        <v>5</v>
      </c>
    </row>
    <row r="144" spans="1:4" ht="49.5">
      <c r="A144" s="2" t="s">
        <v>382</v>
      </c>
      <c r="B144" s="2" t="s">
        <v>383</v>
      </c>
      <c r="C144" s="2" t="s">
        <v>196</v>
      </c>
      <c r="D144" s="2" t="s">
        <v>6</v>
      </c>
    </row>
    <row r="145" spans="1:4" ht="33">
      <c r="A145" s="2" t="s">
        <v>386</v>
      </c>
      <c r="B145" s="2" t="s">
        <v>387</v>
      </c>
      <c r="C145" s="2" t="s">
        <v>196</v>
      </c>
      <c r="D145" s="2" t="s">
        <v>6</v>
      </c>
    </row>
    <row r="146" spans="1:4" ht="49.5">
      <c r="A146" s="2" t="s">
        <v>392</v>
      </c>
      <c r="B146" s="2" t="s">
        <v>393</v>
      </c>
      <c r="C146" s="2" t="s">
        <v>196</v>
      </c>
      <c r="D146" s="2" t="s">
        <v>6</v>
      </c>
    </row>
    <row r="147" spans="1:4" ht="49.5">
      <c r="A147" s="2" t="s">
        <v>394</v>
      </c>
      <c r="B147" s="2" t="s">
        <v>395</v>
      </c>
      <c r="C147" s="2" t="s">
        <v>196</v>
      </c>
      <c r="D147" s="2" t="s">
        <v>6</v>
      </c>
    </row>
    <row r="148" spans="1:4" ht="49.5">
      <c r="A148" s="2" t="s">
        <v>398</v>
      </c>
      <c r="B148" s="2" t="s">
        <v>399</v>
      </c>
      <c r="C148" s="2" t="s">
        <v>196</v>
      </c>
      <c r="D148" s="2" t="s">
        <v>6</v>
      </c>
    </row>
    <row r="149" spans="1:4" ht="49.5">
      <c r="A149" s="2" t="s">
        <v>400</v>
      </c>
      <c r="B149" s="2" t="s">
        <v>401</v>
      </c>
      <c r="C149" s="2" t="s">
        <v>196</v>
      </c>
      <c r="D149" s="2" t="s">
        <v>6</v>
      </c>
    </row>
    <row r="150" spans="1:4" ht="49.5">
      <c r="A150" s="2" t="s">
        <v>406</v>
      </c>
      <c r="B150" s="2" t="s">
        <v>407</v>
      </c>
      <c r="C150" s="2" t="s">
        <v>196</v>
      </c>
      <c r="D150" s="2" t="s">
        <v>6</v>
      </c>
    </row>
    <row r="151" spans="1:4" ht="49.5">
      <c r="A151" s="2" t="s">
        <v>408</v>
      </c>
      <c r="B151" s="2" t="s">
        <v>409</v>
      </c>
      <c r="C151" s="2" t="s">
        <v>196</v>
      </c>
      <c r="D151" s="2" t="s">
        <v>9</v>
      </c>
    </row>
    <row r="152" spans="1:4" ht="49.5">
      <c r="A152" s="2" t="s">
        <v>410</v>
      </c>
      <c r="B152" s="2" t="s">
        <v>411</v>
      </c>
      <c r="C152" s="2" t="s">
        <v>196</v>
      </c>
      <c r="D152" s="2" t="s">
        <v>6</v>
      </c>
    </row>
    <row r="153" spans="1:4" ht="49.5">
      <c r="A153" s="2" t="s">
        <v>412</v>
      </c>
      <c r="B153" s="2" t="s">
        <v>413</v>
      </c>
      <c r="C153" s="2" t="s">
        <v>196</v>
      </c>
      <c r="D153" s="2" t="s">
        <v>6</v>
      </c>
    </row>
    <row r="154" spans="1:4" ht="49.5">
      <c r="A154" s="2" t="s">
        <v>416</v>
      </c>
      <c r="B154" s="2" t="s">
        <v>417</v>
      </c>
      <c r="C154" s="2" t="s">
        <v>196</v>
      </c>
      <c r="D154" s="2" t="s">
        <v>6</v>
      </c>
    </row>
    <row r="155" spans="1:4" ht="49.5">
      <c r="A155" s="2" t="s">
        <v>420</v>
      </c>
      <c r="B155" s="2" t="s">
        <v>421</v>
      </c>
      <c r="C155" s="2" t="s">
        <v>196</v>
      </c>
      <c r="D155" s="2" t="s">
        <v>9</v>
      </c>
    </row>
    <row r="156" spans="1:4" ht="49.5">
      <c r="A156" s="2" t="s">
        <v>424</v>
      </c>
      <c r="B156" s="2" t="s">
        <v>425</v>
      </c>
      <c r="C156" s="2" t="s">
        <v>196</v>
      </c>
      <c r="D156" s="2" t="s">
        <v>6</v>
      </c>
    </row>
    <row r="157" spans="1:4" ht="49.5">
      <c r="A157" s="2" t="s">
        <v>428</v>
      </c>
      <c r="B157" s="2" t="s">
        <v>429</v>
      </c>
      <c r="C157" s="2" t="s">
        <v>196</v>
      </c>
      <c r="D157" s="2" t="s">
        <v>6</v>
      </c>
    </row>
    <row r="158" spans="1:4" ht="49.5">
      <c r="A158" s="2" t="s">
        <v>430</v>
      </c>
      <c r="B158" s="2" t="s">
        <v>431</v>
      </c>
      <c r="C158" s="2" t="s">
        <v>196</v>
      </c>
      <c r="D158" s="2" t="s">
        <v>6</v>
      </c>
    </row>
    <row r="159" spans="1:4" ht="49.5">
      <c r="A159" s="2" t="s">
        <v>432</v>
      </c>
      <c r="B159" s="2" t="s">
        <v>433</v>
      </c>
      <c r="C159" s="2" t="s">
        <v>196</v>
      </c>
      <c r="D159" s="2" t="s">
        <v>6</v>
      </c>
    </row>
    <row r="160" spans="1:4" ht="49.5">
      <c r="A160" s="2" t="s">
        <v>440</v>
      </c>
      <c r="B160" s="2" t="s">
        <v>441</v>
      </c>
      <c r="C160" s="2" t="s">
        <v>196</v>
      </c>
      <c r="D160" s="2" t="s">
        <v>6</v>
      </c>
    </row>
    <row r="161" spans="1:4" ht="49.5">
      <c r="A161" s="2" t="s">
        <v>442</v>
      </c>
      <c r="B161" s="2" t="s">
        <v>443</v>
      </c>
      <c r="C161" s="2" t="s">
        <v>196</v>
      </c>
      <c r="D161" s="2" t="s">
        <v>6</v>
      </c>
    </row>
    <row r="162" spans="1:4" ht="49.5">
      <c r="A162" s="2" t="s">
        <v>444</v>
      </c>
      <c r="B162" s="2" t="s">
        <v>445</v>
      </c>
      <c r="C162" s="2" t="s">
        <v>196</v>
      </c>
      <c r="D162" s="2" t="s">
        <v>6</v>
      </c>
    </row>
    <row r="163" spans="1:4" ht="49.5">
      <c r="A163" s="2" t="s">
        <v>446</v>
      </c>
      <c r="B163" s="2" t="s">
        <v>447</v>
      </c>
      <c r="C163" s="2" t="s">
        <v>196</v>
      </c>
      <c r="D163" s="2" t="s">
        <v>6</v>
      </c>
    </row>
    <row r="164" spans="1:4" ht="49.5">
      <c r="A164" s="2" t="s">
        <v>448</v>
      </c>
      <c r="B164" s="2" t="s">
        <v>449</v>
      </c>
      <c r="C164" s="2" t="s">
        <v>196</v>
      </c>
      <c r="D164" s="2" t="s">
        <v>6</v>
      </c>
    </row>
    <row r="165" spans="1:4" ht="49.5">
      <c r="A165" s="2" t="s">
        <v>452</v>
      </c>
      <c r="B165" s="2" t="s">
        <v>453</v>
      </c>
      <c r="C165" s="2" t="s">
        <v>196</v>
      </c>
      <c r="D165" s="2" t="s">
        <v>6</v>
      </c>
    </row>
    <row r="166" spans="1:4" ht="49.5">
      <c r="A166" s="2" t="s">
        <v>454</v>
      </c>
      <c r="B166" s="2" t="s">
        <v>455</v>
      </c>
      <c r="C166" s="2" t="s">
        <v>196</v>
      </c>
      <c r="D166" s="2" t="s">
        <v>6</v>
      </c>
    </row>
    <row r="167" spans="1:4" ht="49.5">
      <c r="A167" s="2" t="s">
        <v>456</v>
      </c>
      <c r="B167" s="2" t="s">
        <v>457</v>
      </c>
      <c r="C167" s="2" t="s">
        <v>196</v>
      </c>
      <c r="D167" s="2" t="s">
        <v>9</v>
      </c>
    </row>
    <row r="168" spans="1:4" ht="33">
      <c r="A168" s="2" t="s">
        <v>458</v>
      </c>
      <c r="B168" s="2" t="s">
        <v>459</v>
      </c>
      <c r="C168" s="2" t="s">
        <v>196</v>
      </c>
      <c r="D168" s="2" t="s">
        <v>5</v>
      </c>
    </row>
    <row r="169" spans="1:4" ht="49.5">
      <c r="A169" s="2" t="s">
        <v>460</v>
      </c>
      <c r="B169" s="2" t="s">
        <v>461</v>
      </c>
      <c r="C169" s="2" t="s">
        <v>196</v>
      </c>
      <c r="D169" s="2" t="s">
        <v>6</v>
      </c>
    </row>
    <row r="170" spans="1:4" ht="49.5">
      <c r="A170" s="2" t="s">
        <v>462</v>
      </c>
      <c r="B170" s="2" t="s">
        <v>463</v>
      </c>
      <c r="C170" s="2" t="s">
        <v>196</v>
      </c>
      <c r="D170" s="2" t="s">
        <v>6</v>
      </c>
    </row>
    <row r="171" spans="1:4" ht="49.5">
      <c r="A171" s="2" t="s">
        <v>464</v>
      </c>
      <c r="B171" s="2" t="s">
        <v>465</v>
      </c>
      <c r="C171" s="2" t="s">
        <v>196</v>
      </c>
      <c r="D171" s="2" t="s">
        <v>6</v>
      </c>
    </row>
    <row r="172" spans="1:4" ht="49.5">
      <c r="A172" s="2" t="s">
        <v>466</v>
      </c>
      <c r="B172" s="2" t="s">
        <v>467</v>
      </c>
      <c r="C172" s="2" t="s">
        <v>196</v>
      </c>
      <c r="D172" s="2" t="s">
        <v>6</v>
      </c>
    </row>
    <row r="173" spans="1:4" ht="49.5">
      <c r="A173" s="2" t="s">
        <v>468</v>
      </c>
      <c r="B173" s="2" t="s">
        <v>469</v>
      </c>
      <c r="C173" s="2" t="s">
        <v>196</v>
      </c>
      <c r="D173" s="2" t="s">
        <v>9</v>
      </c>
    </row>
    <row r="174" spans="1:4" ht="49.5">
      <c r="A174" s="2" t="s">
        <v>470</v>
      </c>
      <c r="B174" s="2" t="s">
        <v>471</v>
      </c>
      <c r="C174" s="2" t="s">
        <v>196</v>
      </c>
      <c r="D174" s="2" t="s">
        <v>6</v>
      </c>
    </row>
    <row r="175" spans="1:4" ht="49.5">
      <c r="A175" s="2" t="s">
        <v>472</v>
      </c>
      <c r="B175" s="2" t="s">
        <v>473</v>
      </c>
      <c r="C175" s="2" t="s">
        <v>196</v>
      </c>
      <c r="D175" s="2" t="s">
        <v>6</v>
      </c>
    </row>
    <row r="176" spans="1:4" ht="49.5">
      <c r="A176" s="2" t="s">
        <v>474</v>
      </c>
      <c r="B176" s="2" t="s">
        <v>475</v>
      </c>
      <c r="C176" s="2" t="s">
        <v>196</v>
      </c>
      <c r="D176" s="2" t="s">
        <v>6</v>
      </c>
    </row>
    <row r="177" spans="1:4" ht="33">
      <c r="A177" s="2" t="s">
        <v>476</v>
      </c>
      <c r="B177" s="2" t="s">
        <v>477</v>
      </c>
      <c r="C177" s="2" t="s">
        <v>196</v>
      </c>
      <c r="D177" s="2" t="s">
        <v>9</v>
      </c>
    </row>
    <row r="178" spans="1:4" ht="49.5">
      <c r="A178" s="2" t="s">
        <v>480</v>
      </c>
      <c r="B178" s="2" t="s">
        <v>481</v>
      </c>
      <c r="C178" s="2" t="s">
        <v>196</v>
      </c>
      <c r="D178" s="2" t="s">
        <v>9</v>
      </c>
    </row>
    <row r="179" spans="1:4" ht="49.5">
      <c r="A179" s="2" t="s">
        <v>482</v>
      </c>
      <c r="B179" s="2" t="s">
        <v>483</v>
      </c>
      <c r="C179" s="2" t="s">
        <v>196</v>
      </c>
      <c r="D179" s="2" t="s">
        <v>6</v>
      </c>
    </row>
    <row r="180" spans="1:4" ht="49.5">
      <c r="A180" s="2" t="s">
        <v>484</v>
      </c>
      <c r="B180" s="2" t="s">
        <v>485</v>
      </c>
      <c r="C180" s="2" t="s">
        <v>196</v>
      </c>
      <c r="D180" s="2" t="s">
        <v>5</v>
      </c>
    </row>
    <row r="181" spans="1:4" ht="49.5">
      <c r="A181" s="2" t="s">
        <v>488</v>
      </c>
      <c r="B181" s="2" t="s">
        <v>489</v>
      </c>
      <c r="C181" s="2" t="s">
        <v>196</v>
      </c>
      <c r="D181" s="2" t="s">
        <v>6</v>
      </c>
    </row>
    <row r="182" spans="1:4" ht="33">
      <c r="A182" s="2" t="s">
        <v>492</v>
      </c>
      <c r="B182" s="2" t="s">
        <v>493</v>
      </c>
      <c r="C182" s="2" t="s">
        <v>196</v>
      </c>
      <c r="D182" s="2" t="s">
        <v>9</v>
      </c>
    </row>
    <row r="183" spans="1:4" ht="49.5">
      <c r="A183" s="2" t="s">
        <v>496</v>
      </c>
      <c r="B183" s="2" t="s">
        <v>497</v>
      </c>
      <c r="C183" s="2" t="s">
        <v>196</v>
      </c>
      <c r="D183" s="2" t="s">
        <v>6</v>
      </c>
    </row>
    <row r="184" spans="1:4" ht="49.5">
      <c r="A184" s="2" t="s">
        <v>504</v>
      </c>
      <c r="B184" s="2" t="s">
        <v>505</v>
      </c>
      <c r="C184" s="2" t="s">
        <v>196</v>
      </c>
      <c r="D184" s="2" t="s">
        <v>6</v>
      </c>
    </row>
    <row r="185" spans="1:4" ht="49.5">
      <c r="A185" s="2" t="s">
        <v>514</v>
      </c>
      <c r="B185" s="2" t="s">
        <v>515</v>
      </c>
      <c r="C185" s="2" t="s">
        <v>196</v>
      </c>
      <c r="D185" s="2" t="s">
        <v>6</v>
      </c>
    </row>
    <row r="186" spans="1:4" ht="49.5">
      <c r="A186" s="2" t="s">
        <v>518</v>
      </c>
      <c r="B186" s="2" t="s">
        <v>519</v>
      </c>
      <c r="C186" s="2" t="s">
        <v>196</v>
      </c>
      <c r="D186" s="2" t="s">
        <v>6</v>
      </c>
    </row>
    <row r="187" spans="1:4" ht="49.5">
      <c r="A187" s="2" t="s">
        <v>520</v>
      </c>
      <c r="B187" s="2" t="s">
        <v>521</v>
      </c>
      <c r="C187" s="2" t="s">
        <v>196</v>
      </c>
      <c r="D187" s="2" t="s">
        <v>6</v>
      </c>
    </row>
    <row r="188" spans="1:4" ht="66">
      <c r="A188" s="2" t="s">
        <v>524</v>
      </c>
      <c r="B188" s="2" t="s">
        <v>525</v>
      </c>
      <c r="C188" s="2" t="s">
        <v>196</v>
      </c>
      <c r="D188" s="2" t="s">
        <v>5</v>
      </c>
    </row>
    <row r="189" spans="1:4" ht="49.5">
      <c r="A189" s="2" t="s">
        <v>532</v>
      </c>
      <c r="B189" s="2" t="s">
        <v>533</v>
      </c>
      <c r="C189" s="2" t="s">
        <v>196</v>
      </c>
      <c r="D189" s="2" t="s">
        <v>5</v>
      </c>
    </row>
    <row r="190" spans="1:4" ht="49.5">
      <c r="A190" s="2" t="s">
        <v>534</v>
      </c>
      <c r="B190" s="2" t="s">
        <v>535</v>
      </c>
      <c r="C190" s="2" t="s">
        <v>196</v>
      </c>
      <c r="D190" s="2" t="s">
        <v>6</v>
      </c>
    </row>
    <row r="191" spans="1:4" ht="49.5">
      <c r="A191" s="2" t="s">
        <v>550</v>
      </c>
      <c r="B191" s="2" t="s">
        <v>551</v>
      </c>
      <c r="C191" s="2" t="s">
        <v>196</v>
      </c>
      <c r="D191" s="2" t="s">
        <v>5</v>
      </c>
    </row>
    <row r="192" spans="1:4" ht="66">
      <c r="A192" s="2" t="s">
        <v>552</v>
      </c>
      <c r="B192" s="2" t="s">
        <v>553</v>
      </c>
      <c r="C192" s="2" t="s">
        <v>196</v>
      </c>
      <c r="D192" s="2" t="s">
        <v>5</v>
      </c>
    </row>
    <row r="193" spans="1:4" ht="49.5">
      <c r="A193" s="2" t="s">
        <v>554</v>
      </c>
      <c r="B193" s="2" t="s">
        <v>555</v>
      </c>
      <c r="C193" s="2" t="s">
        <v>196</v>
      </c>
      <c r="D193" s="2" t="s">
        <v>5</v>
      </c>
    </row>
    <row r="194" spans="1:4" ht="49.5">
      <c r="A194" s="2" t="s">
        <v>556</v>
      </c>
      <c r="B194" s="2" t="s">
        <v>557</v>
      </c>
      <c r="C194" s="2" t="s">
        <v>196</v>
      </c>
      <c r="D194" s="2" t="s">
        <v>6</v>
      </c>
    </row>
    <row r="195" spans="1:4" ht="49.5">
      <c r="A195" s="2" t="s">
        <v>558</v>
      </c>
      <c r="B195" s="2" t="s">
        <v>559</v>
      </c>
      <c r="C195" s="2" t="s">
        <v>196</v>
      </c>
      <c r="D195" s="2" t="s">
        <v>9</v>
      </c>
    </row>
    <row r="196" spans="1:4" ht="49.5">
      <c r="A196" s="2" t="s">
        <v>560</v>
      </c>
      <c r="B196" s="2" t="s">
        <v>561</v>
      </c>
      <c r="C196" s="2" t="s">
        <v>196</v>
      </c>
      <c r="D196" s="2" t="s">
        <v>6</v>
      </c>
    </row>
    <row r="197" spans="1:4" ht="66">
      <c r="A197" s="2" t="s">
        <v>580</v>
      </c>
      <c r="B197" s="2" t="s">
        <v>581</v>
      </c>
      <c r="C197" s="2" t="s">
        <v>196</v>
      </c>
      <c r="D197" s="2" t="s">
        <v>11</v>
      </c>
    </row>
    <row r="198" spans="1:4" ht="49.5">
      <c r="A198" s="2" t="s">
        <v>582</v>
      </c>
      <c r="B198" s="2" t="s">
        <v>583</v>
      </c>
      <c r="C198" s="2" t="s">
        <v>196</v>
      </c>
      <c r="D198" s="2" t="s">
        <v>5</v>
      </c>
    </row>
    <row r="199" spans="1:4" ht="49.5">
      <c r="A199" s="2" t="s">
        <v>586</v>
      </c>
      <c r="B199" s="2" t="s">
        <v>587</v>
      </c>
      <c r="C199" s="2" t="s">
        <v>196</v>
      </c>
      <c r="D199" s="2" t="s">
        <v>5</v>
      </c>
    </row>
    <row r="200" spans="1:4" ht="82.5">
      <c r="A200" s="2" t="s">
        <v>598</v>
      </c>
      <c r="B200" s="2" t="s">
        <v>599</v>
      </c>
      <c r="C200" s="2" t="s">
        <v>196</v>
      </c>
      <c r="D200" s="2" t="s">
        <v>6</v>
      </c>
    </row>
    <row r="201" spans="1:4" ht="82.5">
      <c r="A201" s="2" t="s">
        <v>600</v>
      </c>
      <c r="B201" s="2" t="s">
        <v>601</v>
      </c>
      <c r="C201" s="2" t="s">
        <v>196</v>
      </c>
      <c r="D201" s="2" t="s">
        <v>6</v>
      </c>
    </row>
    <row r="202" spans="1:4" ht="49.5">
      <c r="A202" s="2" t="s">
        <v>656</v>
      </c>
      <c r="B202" s="2" t="s">
        <v>657</v>
      </c>
      <c r="C202" s="2" t="s">
        <v>196</v>
      </c>
      <c r="D202" s="2" t="s">
        <v>9</v>
      </c>
    </row>
    <row r="203" spans="1:4" ht="49.5">
      <c r="A203" s="2" t="s">
        <v>670</v>
      </c>
      <c r="B203" s="2" t="s">
        <v>671</v>
      </c>
      <c r="C203" s="2" t="s">
        <v>196</v>
      </c>
      <c r="D203" s="2" t="s">
        <v>6</v>
      </c>
    </row>
    <row r="204" spans="1:4" ht="49.5">
      <c r="A204" s="2" t="s">
        <v>672</v>
      </c>
      <c r="B204" s="2" t="s">
        <v>673</v>
      </c>
      <c r="C204" s="2" t="s">
        <v>196</v>
      </c>
      <c r="D204" s="2" t="s">
        <v>6</v>
      </c>
    </row>
    <row r="205" spans="1:4" ht="49.5">
      <c r="A205" s="2" t="s">
        <v>674</v>
      </c>
      <c r="B205" s="2" t="s">
        <v>675</v>
      </c>
      <c r="C205" s="2" t="s">
        <v>196</v>
      </c>
      <c r="D205" s="2" t="s">
        <v>6</v>
      </c>
    </row>
    <row r="206" spans="1:4" ht="49.5">
      <c r="A206" s="2" t="s">
        <v>684</v>
      </c>
      <c r="B206" s="2" t="s">
        <v>685</v>
      </c>
      <c r="C206" s="2" t="s">
        <v>196</v>
      </c>
      <c r="D206" s="2" t="s">
        <v>6</v>
      </c>
    </row>
    <row r="207" spans="1:4" ht="66">
      <c r="A207" s="2" t="s">
        <v>700</v>
      </c>
      <c r="B207" s="2" t="s">
        <v>701</v>
      </c>
      <c r="C207" s="2" t="s">
        <v>196</v>
      </c>
      <c r="D207" s="2" t="s">
        <v>5</v>
      </c>
    </row>
    <row r="208" spans="1:4" ht="66">
      <c r="A208" s="2" t="s">
        <v>702</v>
      </c>
      <c r="B208" s="2" t="s">
        <v>703</v>
      </c>
      <c r="C208" s="2" t="s">
        <v>196</v>
      </c>
      <c r="D208" s="2" t="s">
        <v>5</v>
      </c>
    </row>
    <row r="209" spans="1:4" ht="49.5">
      <c r="A209" s="2" t="s">
        <v>704</v>
      </c>
      <c r="B209" s="2" t="s">
        <v>705</v>
      </c>
      <c r="C209" s="2" t="s">
        <v>196</v>
      </c>
      <c r="D209" s="2" t="s">
        <v>5</v>
      </c>
    </row>
    <row r="210" spans="1:4" ht="49.5">
      <c r="A210" s="2" t="s">
        <v>708</v>
      </c>
      <c r="B210" s="2" t="s">
        <v>709</v>
      </c>
      <c r="C210" s="2" t="s">
        <v>196</v>
      </c>
      <c r="D210" s="2" t="s">
        <v>5</v>
      </c>
    </row>
    <row r="211" spans="1:4" ht="49.5">
      <c r="A211" s="2" t="s">
        <v>710</v>
      </c>
      <c r="B211" s="2" t="s">
        <v>711</v>
      </c>
      <c r="C211" s="2" t="s">
        <v>196</v>
      </c>
      <c r="D211" s="2" t="s">
        <v>5</v>
      </c>
    </row>
    <row r="212" spans="1:4" ht="49.5">
      <c r="A212" s="2" t="s">
        <v>712</v>
      </c>
      <c r="B212" s="2" t="s">
        <v>713</v>
      </c>
      <c r="C212" s="2" t="s">
        <v>196</v>
      </c>
      <c r="D212" s="2" t="s">
        <v>5</v>
      </c>
    </row>
    <row r="213" spans="1:4" ht="49.5">
      <c r="A213" s="2" t="s">
        <v>714</v>
      </c>
      <c r="B213" s="2" t="s">
        <v>715</v>
      </c>
      <c r="C213" s="2" t="s">
        <v>196</v>
      </c>
      <c r="D213" s="2" t="s">
        <v>11</v>
      </c>
    </row>
    <row r="214" spans="1:4" ht="49.5">
      <c r="A214" s="2" t="s">
        <v>716</v>
      </c>
      <c r="B214" s="2" t="s">
        <v>717</v>
      </c>
      <c r="C214" s="2" t="s">
        <v>196</v>
      </c>
      <c r="D214" s="2" t="s">
        <v>9</v>
      </c>
    </row>
    <row r="215" spans="1:4" ht="49.5">
      <c r="A215" s="2" t="s">
        <v>718</v>
      </c>
      <c r="B215" s="2" t="s">
        <v>719</v>
      </c>
      <c r="C215" s="2" t="s">
        <v>196</v>
      </c>
      <c r="D215" s="2" t="s">
        <v>5</v>
      </c>
    </row>
    <row r="216" spans="1:4" ht="49.5">
      <c r="A216" s="2" t="s">
        <v>720</v>
      </c>
      <c r="B216" s="2" t="s">
        <v>721</v>
      </c>
      <c r="C216" s="2" t="s">
        <v>196</v>
      </c>
      <c r="D216" s="2" t="s">
        <v>5</v>
      </c>
    </row>
    <row r="217" spans="1:4" ht="49.5">
      <c r="A217" s="2" t="s">
        <v>722</v>
      </c>
      <c r="B217" s="2" t="s">
        <v>723</v>
      </c>
      <c r="C217" s="2" t="s">
        <v>196</v>
      </c>
      <c r="D217" s="2" t="s">
        <v>5</v>
      </c>
    </row>
    <row r="218" spans="1:4" ht="49.5">
      <c r="A218" s="2" t="s">
        <v>724</v>
      </c>
      <c r="B218" s="2" t="s">
        <v>725</v>
      </c>
      <c r="C218" s="2" t="s">
        <v>196</v>
      </c>
      <c r="D218" s="2" t="s">
        <v>5</v>
      </c>
    </row>
    <row r="219" spans="1:4" ht="66">
      <c r="A219" s="2" t="s">
        <v>726</v>
      </c>
      <c r="B219" s="2" t="s">
        <v>727</v>
      </c>
      <c r="C219" s="2" t="s">
        <v>196</v>
      </c>
      <c r="D219" s="2" t="s">
        <v>9</v>
      </c>
    </row>
    <row r="220" spans="1:4" ht="49.5">
      <c r="A220" s="2" t="s">
        <v>728</v>
      </c>
      <c r="B220" s="2" t="s">
        <v>729</v>
      </c>
      <c r="C220" s="2" t="s">
        <v>196</v>
      </c>
      <c r="D220" s="2" t="s">
        <v>5</v>
      </c>
    </row>
    <row r="221" spans="1:4" ht="49.5">
      <c r="A221" s="2" t="s">
        <v>762</v>
      </c>
      <c r="B221" s="2" t="s">
        <v>763</v>
      </c>
      <c r="C221" s="2" t="s">
        <v>196</v>
      </c>
      <c r="D221" s="2" t="s">
        <v>6</v>
      </c>
    </row>
    <row r="222" spans="1:4" ht="49.5">
      <c r="A222" s="2" t="s">
        <v>766</v>
      </c>
      <c r="B222" s="2" t="s">
        <v>767</v>
      </c>
      <c r="C222" s="2" t="s">
        <v>196</v>
      </c>
      <c r="D222" s="2" t="s">
        <v>6</v>
      </c>
    </row>
    <row r="223" spans="1:4" ht="49.5">
      <c r="A223" s="2" t="s">
        <v>768</v>
      </c>
      <c r="B223" s="2" t="s">
        <v>769</v>
      </c>
      <c r="C223" s="2" t="s">
        <v>196</v>
      </c>
      <c r="D223" s="2" t="s">
        <v>6</v>
      </c>
    </row>
    <row r="224" spans="1:4" ht="66">
      <c r="A224" s="2" t="s">
        <v>786</v>
      </c>
      <c r="B224" s="2" t="s">
        <v>787</v>
      </c>
      <c r="C224" s="2" t="s">
        <v>196</v>
      </c>
      <c r="D224" s="2" t="s">
        <v>6</v>
      </c>
    </row>
    <row r="225" spans="1:4" ht="66">
      <c r="A225" s="2" t="s">
        <v>788</v>
      </c>
      <c r="B225" s="2" t="s">
        <v>789</v>
      </c>
      <c r="C225" s="2" t="s">
        <v>196</v>
      </c>
      <c r="D225" s="2" t="s">
        <v>6</v>
      </c>
    </row>
    <row r="226" spans="1:4" ht="66">
      <c r="A226" s="2" t="s">
        <v>790</v>
      </c>
      <c r="B226" s="2" t="s">
        <v>791</v>
      </c>
      <c r="C226" s="2" t="s">
        <v>196</v>
      </c>
      <c r="D226" s="2" t="s">
        <v>6</v>
      </c>
    </row>
    <row r="227" spans="1:4" ht="66">
      <c r="A227" s="2" t="s">
        <v>792</v>
      </c>
      <c r="B227" s="2" t="s">
        <v>793</v>
      </c>
      <c r="C227" s="2" t="s">
        <v>196</v>
      </c>
      <c r="D227" s="2" t="s">
        <v>6</v>
      </c>
    </row>
    <row r="228" spans="1:4" ht="66">
      <c r="A228" s="2" t="s">
        <v>814</v>
      </c>
      <c r="B228" s="2" t="s">
        <v>815</v>
      </c>
      <c r="C228" s="2" t="s">
        <v>196</v>
      </c>
      <c r="D228" s="2" t="s">
        <v>6</v>
      </c>
    </row>
    <row r="229" spans="1:4" ht="66">
      <c r="A229" s="2" t="s">
        <v>816</v>
      </c>
      <c r="B229" s="2" t="s">
        <v>817</v>
      </c>
      <c r="C229" s="2" t="s">
        <v>196</v>
      </c>
      <c r="D229" s="2" t="s">
        <v>6</v>
      </c>
    </row>
    <row r="230" spans="1:4" ht="66">
      <c r="A230" s="2" t="s">
        <v>818</v>
      </c>
      <c r="B230" s="2" t="s">
        <v>819</v>
      </c>
      <c r="C230" s="2" t="s">
        <v>196</v>
      </c>
      <c r="D230" s="2" t="s">
        <v>6</v>
      </c>
    </row>
    <row r="231" spans="1:4" ht="66">
      <c r="A231" s="2" t="s">
        <v>858</v>
      </c>
      <c r="B231" s="2" t="s">
        <v>859</v>
      </c>
      <c r="C231" s="2" t="s">
        <v>196</v>
      </c>
      <c r="D231" s="2" t="s">
        <v>6</v>
      </c>
    </row>
    <row r="232" spans="1:4" ht="66">
      <c r="A232" s="2" t="s">
        <v>894</v>
      </c>
      <c r="B232" s="2" t="s">
        <v>895</v>
      </c>
      <c r="C232" s="2" t="s">
        <v>196</v>
      </c>
      <c r="D232" s="2" t="s">
        <v>6</v>
      </c>
    </row>
    <row r="233" spans="1:4" ht="66">
      <c r="A233" s="2" t="s">
        <v>896</v>
      </c>
      <c r="B233" s="2" t="s">
        <v>897</v>
      </c>
      <c r="C233" s="2" t="s">
        <v>196</v>
      </c>
      <c r="D233" s="2" t="s">
        <v>6</v>
      </c>
    </row>
    <row r="234" spans="1:4" ht="66">
      <c r="A234" s="2" t="s">
        <v>900</v>
      </c>
      <c r="B234" s="2" t="s">
        <v>901</v>
      </c>
      <c r="C234" s="2" t="s">
        <v>196</v>
      </c>
      <c r="D234" s="2" t="s">
        <v>6</v>
      </c>
    </row>
    <row r="235" spans="1:4" ht="66">
      <c r="A235" s="2" t="s">
        <v>902</v>
      </c>
      <c r="B235" s="2" t="s">
        <v>903</v>
      </c>
      <c r="C235" s="2" t="s">
        <v>196</v>
      </c>
      <c r="D235" s="2" t="s">
        <v>6</v>
      </c>
    </row>
    <row r="236" spans="1:4" ht="66">
      <c r="A236" s="2" t="s">
        <v>904</v>
      </c>
      <c r="B236" s="2" t="s">
        <v>905</v>
      </c>
      <c r="C236" s="2" t="s">
        <v>196</v>
      </c>
      <c r="D236" s="2" t="s">
        <v>6</v>
      </c>
    </row>
    <row r="237" spans="1:4" ht="49.5">
      <c r="A237" s="2" t="s">
        <v>940</v>
      </c>
      <c r="B237" s="2" t="s">
        <v>941</v>
      </c>
      <c r="C237" s="2" t="s">
        <v>196</v>
      </c>
      <c r="D237" s="2" t="s">
        <v>5</v>
      </c>
    </row>
    <row r="238" spans="1:4" ht="49.5">
      <c r="A238" s="2" t="s">
        <v>942</v>
      </c>
      <c r="B238" s="2" t="s">
        <v>943</v>
      </c>
      <c r="C238" s="2" t="s">
        <v>196</v>
      </c>
      <c r="D238" s="2" t="s">
        <v>5</v>
      </c>
    </row>
    <row r="239" spans="1:4" ht="33">
      <c r="A239" s="2" t="s">
        <v>946</v>
      </c>
      <c r="B239" s="2" t="s">
        <v>947</v>
      </c>
      <c r="C239" s="2" t="s">
        <v>196</v>
      </c>
      <c r="D239" s="2" t="s">
        <v>5</v>
      </c>
    </row>
    <row r="240" spans="1:4" ht="33">
      <c r="A240" s="2" t="s">
        <v>948</v>
      </c>
      <c r="B240" s="2" t="s">
        <v>949</v>
      </c>
      <c r="C240" s="2" t="s">
        <v>196</v>
      </c>
      <c r="D240" s="2" t="s">
        <v>5</v>
      </c>
    </row>
    <row r="241" spans="1:4" ht="49.5">
      <c r="A241" s="2" t="s">
        <v>950</v>
      </c>
      <c r="B241" s="2" t="s">
        <v>951</v>
      </c>
      <c r="C241" s="2" t="s">
        <v>196</v>
      </c>
      <c r="D241" s="2" t="s">
        <v>11</v>
      </c>
    </row>
    <row r="242" spans="1:4" ht="49.5">
      <c r="A242" s="2" t="s">
        <v>956</v>
      </c>
      <c r="B242" s="2" t="s">
        <v>957</v>
      </c>
      <c r="C242" s="2" t="s">
        <v>196</v>
      </c>
      <c r="D242" s="2" t="s">
        <v>6</v>
      </c>
    </row>
    <row r="243" spans="1:4" ht="49.5">
      <c r="A243" s="2" t="s">
        <v>990</v>
      </c>
      <c r="B243" s="2" t="s">
        <v>991</v>
      </c>
      <c r="C243" s="2" t="s">
        <v>196</v>
      </c>
      <c r="D243" s="2" t="s">
        <v>6</v>
      </c>
    </row>
    <row r="244" spans="1:4" ht="49.5">
      <c r="A244" s="2" t="s">
        <v>992</v>
      </c>
      <c r="B244" s="2" t="s">
        <v>993</v>
      </c>
      <c r="C244" s="2" t="s">
        <v>196</v>
      </c>
      <c r="D244" s="2" t="s">
        <v>6</v>
      </c>
    </row>
    <row r="245" spans="1:4" ht="49.5">
      <c r="A245" s="2" t="s">
        <v>994</v>
      </c>
      <c r="B245" s="2" t="s">
        <v>995</v>
      </c>
      <c r="C245" s="2" t="s">
        <v>196</v>
      </c>
      <c r="D245" s="2" t="s">
        <v>6</v>
      </c>
    </row>
    <row r="246" spans="1:4" ht="49.5">
      <c r="A246" s="2" t="s">
        <v>996</v>
      </c>
      <c r="B246" s="2" t="s">
        <v>997</v>
      </c>
      <c r="C246" s="2" t="s">
        <v>196</v>
      </c>
      <c r="D246" s="2" t="s">
        <v>6</v>
      </c>
    </row>
    <row r="247" spans="1:4" ht="49.5">
      <c r="A247" s="2" t="s">
        <v>998</v>
      </c>
      <c r="B247" s="2" t="s">
        <v>999</v>
      </c>
      <c r="C247" s="2" t="s">
        <v>196</v>
      </c>
      <c r="D247" s="2" t="s">
        <v>6</v>
      </c>
    </row>
    <row r="248" spans="1:4" ht="49.5">
      <c r="A248" s="2" t="s">
        <v>1000</v>
      </c>
      <c r="B248" s="2" t="s">
        <v>1001</v>
      </c>
      <c r="C248" s="2" t="s">
        <v>196</v>
      </c>
      <c r="D248" s="2" t="s">
        <v>6</v>
      </c>
    </row>
    <row r="249" spans="1:4" ht="49.5">
      <c r="A249" s="2" t="s">
        <v>1002</v>
      </c>
      <c r="B249" s="2" t="s">
        <v>1003</v>
      </c>
      <c r="C249" s="2" t="s">
        <v>196</v>
      </c>
      <c r="D249" s="2" t="s">
        <v>6</v>
      </c>
    </row>
    <row r="250" spans="1:4" ht="49.5">
      <c r="A250" s="2" t="s">
        <v>1004</v>
      </c>
      <c r="B250" s="2" t="s">
        <v>1005</v>
      </c>
      <c r="C250" s="2" t="s">
        <v>196</v>
      </c>
      <c r="D250" s="2" t="s">
        <v>6</v>
      </c>
    </row>
    <row r="251" spans="1:4" ht="49.5">
      <c r="A251" s="2" t="s">
        <v>1006</v>
      </c>
      <c r="B251" s="2" t="s">
        <v>1007</v>
      </c>
      <c r="C251" s="2" t="s">
        <v>196</v>
      </c>
      <c r="D251" s="2" t="s">
        <v>6</v>
      </c>
    </row>
    <row r="252" spans="1:4" ht="49.5">
      <c r="A252" s="2" t="s">
        <v>1008</v>
      </c>
      <c r="B252" s="2" t="s">
        <v>1009</v>
      </c>
      <c r="C252" s="2" t="s">
        <v>196</v>
      </c>
      <c r="D252" s="2" t="s">
        <v>6</v>
      </c>
    </row>
    <row r="253" spans="1:4" ht="49.5">
      <c r="A253" s="2" t="s">
        <v>1010</v>
      </c>
      <c r="B253" s="2" t="s">
        <v>1011</v>
      </c>
      <c r="C253" s="2" t="s">
        <v>196</v>
      </c>
      <c r="D253" s="2" t="s">
        <v>6</v>
      </c>
    </row>
    <row r="254" spans="1:4" ht="49.5">
      <c r="A254" s="2" t="s">
        <v>1012</v>
      </c>
      <c r="B254" s="2" t="s">
        <v>1013</v>
      </c>
      <c r="C254" s="2" t="s">
        <v>196</v>
      </c>
      <c r="D254" s="2" t="s">
        <v>6</v>
      </c>
    </row>
    <row r="255" spans="1:4" ht="49.5">
      <c r="A255" s="2" t="s">
        <v>1014</v>
      </c>
      <c r="B255" s="2" t="s">
        <v>1015</v>
      </c>
      <c r="C255" s="2" t="s">
        <v>196</v>
      </c>
      <c r="D255" s="2" t="s">
        <v>6</v>
      </c>
    </row>
    <row r="256" spans="1:4" ht="49.5">
      <c r="A256" s="2" t="s">
        <v>1016</v>
      </c>
      <c r="B256" s="2" t="s">
        <v>1017</v>
      </c>
      <c r="C256" s="2" t="s">
        <v>196</v>
      </c>
      <c r="D256" s="2" t="s">
        <v>6</v>
      </c>
    </row>
    <row r="257" spans="1:4" ht="49.5">
      <c r="A257" s="2" t="s">
        <v>1018</v>
      </c>
      <c r="B257" s="2" t="s">
        <v>1019</v>
      </c>
      <c r="C257" s="2" t="s">
        <v>196</v>
      </c>
      <c r="D257" s="2" t="s">
        <v>6</v>
      </c>
    </row>
    <row r="258" spans="1:4" ht="49.5">
      <c r="A258" s="2" t="s">
        <v>1020</v>
      </c>
      <c r="B258" s="2" t="s">
        <v>1021</v>
      </c>
      <c r="C258" s="2" t="s">
        <v>196</v>
      </c>
      <c r="D258" s="2" t="s">
        <v>6</v>
      </c>
    </row>
    <row r="259" spans="1:4" ht="49.5">
      <c r="A259" s="2" t="s">
        <v>1024</v>
      </c>
      <c r="B259" s="2" t="s">
        <v>1025</v>
      </c>
      <c r="C259" s="2" t="s">
        <v>196</v>
      </c>
      <c r="D259" s="2" t="s">
        <v>6</v>
      </c>
    </row>
    <row r="260" spans="1:4" ht="49.5">
      <c r="A260" s="2" t="s">
        <v>1026</v>
      </c>
      <c r="B260" s="2" t="s">
        <v>1027</v>
      </c>
      <c r="C260" s="2" t="s">
        <v>196</v>
      </c>
      <c r="D260" s="2" t="s">
        <v>6</v>
      </c>
    </row>
    <row r="261" spans="1:4" ht="49.5">
      <c r="A261" s="2" t="s">
        <v>1028</v>
      </c>
      <c r="B261" s="2" t="s">
        <v>1029</v>
      </c>
      <c r="C261" s="2" t="s">
        <v>196</v>
      </c>
      <c r="D261" s="2" t="s">
        <v>9</v>
      </c>
    </row>
    <row r="262" spans="1:4" ht="49.5">
      <c r="A262" s="2" t="s">
        <v>1030</v>
      </c>
      <c r="B262" s="2" t="s">
        <v>1031</v>
      </c>
      <c r="C262" s="2" t="s">
        <v>196</v>
      </c>
      <c r="D262" s="2" t="s">
        <v>6</v>
      </c>
    </row>
    <row r="263" spans="1:4" ht="49.5">
      <c r="A263" s="2" t="s">
        <v>1038</v>
      </c>
      <c r="B263" s="2" t="s">
        <v>1039</v>
      </c>
      <c r="C263" s="2" t="s">
        <v>196</v>
      </c>
      <c r="D263" s="2" t="s">
        <v>6</v>
      </c>
    </row>
    <row r="264" spans="1:4" ht="49.5">
      <c r="A264" s="2" t="s">
        <v>1040</v>
      </c>
      <c r="B264" s="2" t="s">
        <v>1041</v>
      </c>
      <c r="C264" s="2" t="s">
        <v>196</v>
      </c>
      <c r="D264" s="2" t="s">
        <v>6</v>
      </c>
    </row>
    <row r="265" spans="1:4" ht="49.5">
      <c r="A265" s="2" t="s">
        <v>1042</v>
      </c>
      <c r="B265" s="2" t="s">
        <v>1043</v>
      </c>
      <c r="C265" s="2" t="s">
        <v>196</v>
      </c>
      <c r="D265" s="2" t="s">
        <v>6</v>
      </c>
    </row>
    <row r="266" spans="1:4" ht="49.5">
      <c r="A266" s="2" t="s">
        <v>1048</v>
      </c>
      <c r="B266" s="2" t="s">
        <v>1049</v>
      </c>
      <c r="C266" s="2" t="s">
        <v>196</v>
      </c>
      <c r="D266" s="2" t="s">
        <v>6</v>
      </c>
    </row>
    <row r="267" spans="1:4" ht="49.5">
      <c r="A267" s="2" t="s">
        <v>1050</v>
      </c>
      <c r="B267" s="2" t="s">
        <v>1051</v>
      </c>
      <c r="C267" s="2" t="s">
        <v>196</v>
      </c>
      <c r="D267" s="2" t="s">
        <v>6</v>
      </c>
    </row>
    <row r="268" spans="1:4" ht="49.5">
      <c r="A268" s="2" t="s">
        <v>1052</v>
      </c>
      <c r="B268" s="2" t="s">
        <v>1053</v>
      </c>
      <c r="C268" s="2" t="s">
        <v>196</v>
      </c>
      <c r="D268" s="2" t="s">
        <v>6</v>
      </c>
    </row>
    <row r="269" spans="1:4" ht="49.5">
      <c r="A269" s="2" t="s">
        <v>1054</v>
      </c>
      <c r="B269" s="2" t="s">
        <v>1055</v>
      </c>
      <c r="C269" s="2" t="s">
        <v>196</v>
      </c>
      <c r="D269" s="2" t="s">
        <v>6</v>
      </c>
    </row>
    <row r="270" spans="1:4" ht="49.5">
      <c r="A270" s="2" t="s">
        <v>1056</v>
      </c>
      <c r="B270" s="2" t="s">
        <v>1057</v>
      </c>
      <c r="C270" s="2" t="s">
        <v>196</v>
      </c>
      <c r="D270" s="2" t="s">
        <v>6</v>
      </c>
    </row>
    <row r="271" spans="1:4" ht="49.5">
      <c r="A271" s="2" t="s">
        <v>1058</v>
      </c>
      <c r="B271" s="2" t="s">
        <v>1059</v>
      </c>
      <c r="C271" s="2" t="s">
        <v>196</v>
      </c>
      <c r="D271" s="2" t="s">
        <v>6</v>
      </c>
    </row>
    <row r="272" spans="1:4" ht="49.5">
      <c r="A272" s="2" t="s">
        <v>1060</v>
      </c>
      <c r="B272" s="2" t="s">
        <v>1061</v>
      </c>
      <c r="C272" s="2" t="s">
        <v>196</v>
      </c>
      <c r="D272" s="2" t="s">
        <v>6</v>
      </c>
    </row>
    <row r="273" spans="1:4" ht="49.5">
      <c r="A273" s="2" t="s">
        <v>1062</v>
      </c>
      <c r="B273" s="2" t="s">
        <v>1063</v>
      </c>
      <c r="C273" s="2" t="s">
        <v>196</v>
      </c>
      <c r="D273" s="2" t="s">
        <v>6</v>
      </c>
    </row>
    <row r="274" spans="1:4" ht="49.5">
      <c r="A274" s="2" t="s">
        <v>1064</v>
      </c>
      <c r="B274" s="2" t="s">
        <v>1065</v>
      </c>
      <c r="C274" s="2" t="s">
        <v>196</v>
      </c>
      <c r="D274" s="2" t="s">
        <v>6</v>
      </c>
    </row>
    <row r="275" spans="1:4" ht="49.5">
      <c r="A275" s="2" t="s">
        <v>1066</v>
      </c>
      <c r="B275" s="2" t="s">
        <v>1067</v>
      </c>
      <c r="C275" s="2" t="s">
        <v>196</v>
      </c>
      <c r="D275" s="2" t="s">
        <v>6</v>
      </c>
    </row>
    <row r="276" spans="1:4" ht="49.5">
      <c r="A276" s="2" t="s">
        <v>1068</v>
      </c>
      <c r="B276" s="2" t="s">
        <v>1069</v>
      </c>
      <c r="C276" s="2" t="s">
        <v>196</v>
      </c>
      <c r="D276" s="2" t="s">
        <v>6</v>
      </c>
    </row>
    <row r="277" spans="1:4" ht="49.5">
      <c r="A277" s="2" t="s">
        <v>1070</v>
      </c>
      <c r="B277" s="2" t="s">
        <v>1071</v>
      </c>
      <c r="C277" s="2" t="s">
        <v>196</v>
      </c>
      <c r="D277" s="2" t="s">
        <v>6</v>
      </c>
    </row>
    <row r="278" spans="1:4" ht="49.5">
      <c r="A278" s="2" t="s">
        <v>1072</v>
      </c>
      <c r="B278" s="2" t="s">
        <v>1073</v>
      </c>
      <c r="C278" s="2" t="s">
        <v>196</v>
      </c>
      <c r="D278" s="2" t="s">
        <v>6</v>
      </c>
    </row>
    <row r="279" spans="1:4" ht="49.5">
      <c r="A279" s="2" t="s">
        <v>1074</v>
      </c>
      <c r="B279" s="2" t="s">
        <v>1075</v>
      </c>
      <c r="C279" s="2" t="s">
        <v>196</v>
      </c>
      <c r="D279" s="2" t="s">
        <v>6</v>
      </c>
    </row>
    <row r="280" spans="1:4" ht="49.5">
      <c r="A280" s="2" t="s">
        <v>1076</v>
      </c>
      <c r="B280" s="2" t="s">
        <v>1077</v>
      </c>
      <c r="C280" s="2" t="s">
        <v>196</v>
      </c>
      <c r="D280" s="2" t="s">
        <v>6</v>
      </c>
    </row>
    <row r="281" spans="1:4" ht="49.5">
      <c r="A281" s="2" t="s">
        <v>1078</v>
      </c>
      <c r="B281" s="2" t="s">
        <v>1079</v>
      </c>
      <c r="C281" s="2" t="s">
        <v>196</v>
      </c>
      <c r="D281" s="2" t="s">
        <v>6</v>
      </c>
    </row>
    <row r="282" spans="1:4" ht="49.5">
      <c r="A282" s="2" t="s">
        <v>1082</v>
      </c>
      <c r="B282" s="2" t="s">
        <v>1083</v>
      </c>
      <c r="C282" s="2" t="s">
        <v>196</v>
      </c>
      <c r="D282" s="2" t="s">
        <v>6</v>
      </c>
    </row>
    <row r="283" spans="1:4" ht="49.5">
      <c r="A283" s="2" t="s">
        <v>1086</v>
      </c>
      <c r="B283" s="2" t="s">
        <v>1087</v>
      </c>
      <c r="C283" s="2" t="s">
        <v>196</v>
      </c>
      <c r="D283" s="2" t="s">
        <v>6</v>
      </c>
    </row>
    <row r="284" spans="1:4" ht="49.5">
      <c r="A284" s="2" t="s">
        <v>1110</v>
      </c>
      <c r="B284" s="2" t="s">
        <v>1111</v>
      </c>
      <c r="C284" s="2" t="s">
        <v>196</v>
      </c>
      <c r="D284" s="2" t="s">
        <v>6</v>
      </c>
    </row>
    <row r="285" spans="1:4" ht="49.5">
      <c r="A285" s="2" t="s">
        <v>1112</v>
      </c>
      <c r="B285" s="2" t="s">
        <v>1113</v>
      </c>
      <c r="C285" s="2" t="s">
        <v>196</v>
      </c>
      <c r="D285" s="2" t="s">
        <v>6</v>
      </c>
    </row>
    <row r="286" spans="1:4" ht="49.5">
      <c r="A286" s="2" t="s">
        <v>1120</v>
      </c>
      <c r="B286" s="2" t="s">
        <v>1121</v>
      </c>
      <c r="C286" s="2" t="s">
        <v>196</v>
      </c>
      <c r="D286" s="2" t="s">
        <v>6</v>
      </c>
    </row>
    <row r="287" spans="1:4" ht="49.5">
      <c r="A287" s="2" t="s">
        <v>1124</v>
      </c>
      <c r="B287" s="2" t="s">
        <v>1125</v>
      </c>
      <c r="C287" s="2" t="s">
        <v>196</v>
      </c>
      <c r="D287" s="2" t="s">
        <v>6</v>
      </c>
    </row>
    <row r="288" spans="1:4" ht="49.5">
      <c r="A288" s="2" t="s">
        <v>1128</v>
      </c>
      <c r="B288" s="2" t="s">
        <v>1129</v>
      </c>
      <c r="C288" s="2" t="s">
        <v>196</v>
      </c>
      <c r="D288" s="2" t="s">
        <v>9</v>
      </c>
    </row>
    <row r="289" spans="1:4" ht="49.5">
      <c r="A289" s="2" t="s">
        <v>1130</v>
      </c>
      <c r="B289" s="2" t="s">
        <v>1131</v>
      </c>
      <c r="C289" s="2" t="s">
        <v>196</v>
      </c>
      <c r="D289" s="2" t="s">
        <v>6</v>
      </c>
    </row>
    <row r="290" spans="1:4" ht="49.5">
      <c r="A290" s="2" t="s">
        <v>1132</v>
      </c>
      <c r="B290" s="2" t="s">
        <v>1133</v>
      </c>
      <c r="C290" s="2" t="s">
        <v>196</v>
      </c>
      <c r="D290" s="2" t="s">
        <v>6</v>
      </c>
    </row>
    <row r="291" spans="1:4" ht="49.5">
      <c r="A291" s="2" t="s">
        <v>1134</v>
      </c>
      <c r="B291" s="2" t="s">
        <v>1135</v>
      </c>
      <c r="C291" s="2" t="s">
        <v>196</v>
      </c>
      <c r="D291" s="2" t="s">
        <v>6</v>
      </c>
    </row>
    <row r="292" spans="1:4" ht="49.5">
      <c r="A292" s="2" t="s">
        <v>1138</v>
      </c>
      <c r="B292" s="2" t="s">
        <v>1139</v>
      </c>
      <c r="C292" s="2" t="s">
        <v>196</v>
      </c>
      <c r="D292" s="2" t="s">
        <v>6</v>
      </c>
    </row>
    <row r="293" spans="1:4" ht="49.5">
      <c r="A293" s="2" t="s">
        <v>1140</v>
      </c>
      <c r="B293" s="2" t="s">
        <v>1141</v>
      </c>
      <c r="C293" s="2" t="s">
        <v>196</v>
      </c>
      <c r="D293" s="2" t="s">
        <v>6</v>
      </c>
    </row>
    <row r="294" spans="1:4" ht="49.5">
      <c r="A294" s="2" t="s">
        <v>1142</v>
      </c>
      <c r="B294" s="2" t="s">
        <v>1143</v>
      </c>
      <c r="C294" s="2" t="s">
        <v>196</v>
      </c>
      <c r="D294" s="2" t="s">
        <v>6</v>
      </c>
    </row>
    <row r="295" spans="1:4" ht="49.5">
      <c r="A295" s="2" t="s">
        <v>1144</v>
      </c>
      <c r="B295" s="2" t="s">
        <v>1145</v>
      </c>
      <c r="C295" s="2" t="s">
        <v>196</v>
      </c>
      <c r="D295" s="2" t="s">
        <v>6</v>
      </c>
    </row>
    <row r="296" spans="1:4" ht="49.5">
      <c r="A296" s="2" t="s">
        <v>1146</v>
      </c>
      <c r="B296" s="2" t="s">
        <v>1147</v>
      </c>
      <c r="C296" s="2" t="s">
        <v>196</v>
      </c>
      <c r="D296" s="2" t="s">
        <v>6</v>
      </c>
    </row>
    <row r="297" spans="1:4" ht="49.5">
      <c r="A297" s="2" t="s">
        <v>1148</v>
      </c>
      <c r="B297" s="2" t="s">
        <v>1149</v>
      </c>
      <c r="C297" s="2" t="s">
        <v>196</v>
      </c>
      <c r="D297" s="2" t="s">
        <v>6</v>
      </c>
    </row>
    <row r="298" spans="1:4" ht="49.5">
      <c r="A298" s="2" t="s">
        <v>1150</v>
      </c>
      <c r="B298" s="2" t="s">
        <v>1151</v>
      </c>
      <c r="C298" s="2" t="s">
        <v>196</v>
      </c>
      <c r="D298" s="2" t="s">
        <v>6</v>
      </c>
    </row>
    <row r="299" spans="1:4" ht="49.5">
      <c r="A299" s="2" t="s">
        <v>1152</v>
      </c>
      <c r="B299" s="2" t="s">
        <v>1153</v>
      </c>
      <c r="C299" s="2" t="s">
        <v>196</v>
      </c>
      <c r="D299" s="2" t="s">
        <v>6</v>
      </c>
    </row>
    <row r="300" spans="1:4" ht="49.5">
      <c r="A300" s="2" t="s">
        <v>1168</v>
      </c>
      <c r="B300" s="2" t="s">
        <v>1169</v>
      </c>
      <c r="C300" s="2" t="s">
        <v>196</v>
      </c>
      <c r="D300" s="2" t="s">
        <v>6</v>
      </c>
    </row>
    <row r="301" spans="1:4" ht="49.5">
      <c r="A301" s="2" t="s">
        <v>1170</v>
      </c>
      <c r="B301" s="2" t="s">
        <v>1171</v>
      </c>
      <c r="C301" s="2" t="s">
        <v>196</v>
      </c>
      <c r="D301" s="2" t="s">
        <v>6</v>
      </c>
    </row>
    <row r="302" spans="1:4" ht="49.5">
      <c r="A302" s="2" t="s">
        <v>1172</v>
      </c>
      <c r="B302" s="2" t="s">
        <v>1173</v>
      </c>
      <c r="C302" s="2" t="s">
        <v>196</v>
      </c>
      <c r="D302" s="2" t="s">
        <v>6</v>
      </c>
    </row>
    <row r="303" spans="1:4" ht="49.5">
      <c r="A303" s="2" t="s">
        <v>1174</v>
      </c>
      <c r="B303" s="2" t="s">
        <v>1175</v>
      </c>
      <c r="C303" s="2" t="s">
        <v>196</v>
      </c>
      <c r="D303" s="2" t="s">
        <v>6</v>
      </c>
    </row>
    <row r="304" spans="1:4" ht="49.5">
      <c r="A304" s="2" t="s">
        <v>1176</v>
      </c>
      <c r="B304" s="2" t="s">
        <v>1177</v>
      </c>
      <c r="C304" s="2" t="s">
        <v>196</v>
      </c>
      <c r="D304" s="2" t="s">
        <v>6</v>
      </c>
    </row>
    <row r="305" spans="1:4" ht="49.5">
      <c r="A305" s="2" t="s">
        <v>1180</v>
      </c>
      <c r="B305" s="2" t="s">
        <v>1181</v>
      </c>
      <c r="C305" s="2" t="s">
        <v>196</v>
      </c>
      <c r="D305" s="2" t="s">
        <v>6</v>
      </c>
    </row>
    <row r="306" spans="1:4" ht="49.5">
      <c r="A306" s="2" t="s">
        <v>1186</v>
      </c>
      <c r="B306" s="2" t="s">
        <v>1187</v>
      </c>
      <c r="C306" s="2" t="s">
        <v>196</v>
      </c>
      <c r="D306" s="2" t="s">
        <v>6</v>
      </c>
    </row>
    <row r="307" spans="1:4" ht="49.5">
      <c r="A307" s="2" t="s">
        <v>1190</v>
      </c>
      <c r="B307" s="2" t="s">
        <v>1191</v>
      </c>
      <c r="C307" s="2" t="s">
        <v>196</v>
      </c>
      <c r="D307" s="2" t="s">
        <v>6</v>
      </c>
    </row>
    <row r="308" spans="1:4" ht="49.5">
      <c r="A308" s="2" t="s">
        <v>1192</v>
      </c>
      <c r="B308" s="2" t="s">
        <v>1193</v>
      </c>
      <c r="C308" s="2" t="s">
        <v>196</v>
      </c>
      <c r="D308" s="2" t="s">
        <v>6</v>
      </c>
    </row>
    <row r="309" spans="1:4" ht="49.5">
      <c r="A309" s="2" t="s">
        <v>1194</v>
      </c>
      <c r="B309" s="2" t="s">
        <v>1195</v>
      </c>
      <c r="C309" s="2" t="s">
        <v>196</v>
      </c>
      <c r="D309" s="2" t="s">
        <v>6</v>
      </c>
    </row>
    <row r="310" spans="1:4" ht="49.5">
      <c r="A310" s="2" t="s">
        <v>1196</v>
      </c>
      <c r="B310" s="2" t="s">
        <v>1197</v>
      </c>
      <c r="C310" s="2" t="s">
        <v>196</v>
      </c>
      <c r="D310" s="2" t="s">
        <v>6</v>
      </c>
    </row>
    <row r="311" spans="1:4" ht="49.5">
      <c r="A311" s="2" t="s">
        <v>1198</v>
      </c>
      <c r="B311" s="2" t="s">
        <v>1199</v>
      </c>
      <c r="C311" s="2" t="s">
        <v>196</v>
      </c>
      <c r="D311" s="2" t="s">
        <v>6</v>
      </c>
    </row>
    <row r="312" spans="1:4" ht="49.5">
      <c r="A312" s="2" t="s">
        <v>1200</v>
      </c>
      <c r="B312" s="2" t="s">
        <v>1201</v>
      </c>
      <c r="C312" s="2" t="s">
        <v>196</v>
      </c>
      <c r="D312" s="2" t="s">
        <v>6</v>
      </c>
    </row>
    <row r="313" spans="1:4" ht="49.5">
      <c r="A313" s="2" t="s">
        <v>1202</v>
      </c>
      <c r="B313" s="2" t="s">
        <v>1203</v>
      </c>
      <c r="C313" s="2" t="s">
        <v>196</v>
      </c>
      <c r="D313" s="2" t="s">
        <v>6</v>
      </c>
    </row>
    <row r="314" spans="1:4" ht="49.5">
      <c r="A314" s="2" t="s">
        <v>1204</v>
      </c>
      <c r="B314" s="2" t="s">
        <v>1205</v>
      </c>
      <c r="C314" s="2" t="s">
        <v>196</v>
      </c>
      <c r="D314" s="2" t="s">
        <v>6</v>
      </c>
    </row>
    <row r="315" spans="1:4" ht="49.5">
      <c r="A315" s="2" t="s">
        <v>1206</v>
      </c>
      <c r="B315" s="2" t="s">
        <v>1207</v>
      </c>
      <c r="C315" s="2" t="s">
        <v>196</v>
      </c>
      <c r="D315" s="2" t="s">
        <v>6</v>
      </c>
    </row>
    <row r="316" spans="1:4" ht="49.5">
      <c r="A316" s="2" t="s">
        <v>1208</v>
      </c>
      <c r="B316" s="2" t="s">
        <v>1209</v>
      </c>
      <c r="C316" s="2" t="s">
        <v>196</v>
      </c>
      <c r="D316" s="2" t="s">
        <v>6</v>
      </c>
    </row>
    <row r="317" spans="1:4" ht="49.5">
      <c r="A317" s="2" t="s">
        <v>1210</v>
      </c>
      <c r="B317" s="2" t="s">
        <v>1211</v>
      </c>
      <c r="C317" s="2" t="s">
        <v>196</v>
      </c>
      <c r="D317" s="2" t="s">
        <v>6</v>
      </c>
    </row>
    <row r="318" spans="1:4" ht="49.5">
      <c r="A318" s="2" t="s">
        <v>1212</v>
      </c>
      <c r="B318" s="2" t="s">
        <v>1213</v>
      </c>
      <c r="C318" s="2" t="s">
        <v>196</v>
      </c>
      <c r="D318" s="2" t="s">
        <v>6</v>
      </c>
    </row>
    <row r="319" spans="1:4" ht="49.5">
      <c r="A319" s="2" t="s">
        <v>1214</v>
      </c>
      <c r="B319" s="2" t="s">
        <v>1215</v>
      </c>
      <c r="C319" s="2" t="s">
        <v>196</v>
      </c>
      <c r="D319" s="2" t="s">
        <v>6</v>
      </c>
    </row>
    <row r="320" spans="1:4" ht="49.5">
      <c r="A320" s="2" t="s">
        <v>1216</v>
      </c>
      <c r="B320" s="2" t="s">
        <v>1217</v>
      </c>
      <c r="C320" s="2" t="s">
        <v>196</v>
      </c>
      <c r="D320" s="2" t="s">
        <v>6</v>
      </c>
    </row>
    <row r="321" spans="1:4" ht="49.5">
      <c r="A321" s="2" t="s">
        <v>1218</v>
      </c>
      <c r="B321" s="2" t="s">
        <v>1219</v>
      </c>
      <c r="C321" s="2" t="s">
        <v>196</v>
      </c>
      <c r="D321" s="2" t="s">
        <v>6</v>
      </c>
    </row>
    <row r="322" spans="1:4" ht="49.5">
      <c r="A322" s="2" t="s">
        <v>1220</v>
      </c>
      <c r="B322" s="2" t="s">
        <v>1221</v>
      </c>
      <c r="C322" s="2" t="s">
        <v>196</v>
      </c>
      <c r="D322" s="2" t="s">
        <v>6</v>
      </c>
    </row>
    <row r="323" spans="1:4" ht="49.5">
      <c r="A323" s="2" t="s">
        <v>1222</v>
      </c>
      <c r="B323" s="2" t="s">
        <v>1223</v>
      </c>
      <c r="C323" s="2" t="s">
        <v>196</v>
      </c>
      <c r="D323" s="2" t="s">
        <v>6</v>
      </c>
    </row>
    <row r="324" spans="1:4" ht="49.5">
      <c r="A324" s="2" t="s">
        <v>1224</v>
      </c>
      <c r="B324" s="2" t="s">
        <v>1225</v>
      </c>
      <c r="C324" s="2" t="s">
        <v>196</v>
      </c>
      <c r="D324" s="2" t="s">
        <v>6</v>
      </c>
    </row>
    <row r="325" spans="1:4" ht="49.5">
      <c r="A325" s="2" t="s">
        <v>1226</v>
      </c>
      <c r="B325" s="2" t="s">
        <v>1227</v>
      </c>
      <c r="C325" s="2" t="s">
        <v>196</v>
      </c>
      <c r="D325" s="2" t="s">
        <v>6</v>
      </c>
    </row>
    <row r="326" spans="1:4" ht="49.5">
      <c r="A326" s="2" t="s">
        <v>1228</v>
      </c>
      <c r="B326" s="2" t="s">
        <v>1229</v>
      </c>
      <c r="C326" s="2" t="s">
        <v>196</v>
      </c>
      <c r="D326" s="2" t="s">
        <v>6</v>
      </c>
    </row>
    <row r="327" spans="1:4" ht="49.5">
      <c r="A327" s="2" t="s">
        <v>1230</v>
      </c>
      <c r="B327" s="2" t="s">
        <v>1231</v>
      </c>
      <c r="C327" s="2" t="s">
        <v>196</v>
      </c>
      <c r="D327" s="2" t="s">
        <v>6</v>
      </c>
    </row>
    <row r="328" spans="1:4" ht="49.5">
      <c r="A328" s="2" t="s">
        <v>1232</v>
      </c>
      <c r="B328" s="2" t="s">
        <v>1233</v>
      </c>
      <c r="C328" s="2" t="s">
        <v>196</v>
      </c>
      <c r="D328" s="2" t="s">
        <v>6</v>
      </c>
    </row>
    <row r="329" spans="1:4" ht="49.5">
      <c r="A329" s="2" t="s">
        <v>1234</v>
      </c>
      <c r="B329" s="2" t="s">
        <v>1235</v>
      </c>
      <c r="C329" s="2" t="s">
        <v>196</v>
      </c>
      <c r="D329" s="2" t="s">
        <v>6</v>
      </c>
    </row>
    <row r="330" spans="1:4" ht="49.5">
      <c r="A330" s="2" t="s">
        <v>1236</v>
      </c>
      <c r="B330" s="2" t="s">
        <v>1237</v>
      </c>
      <c r="C330" s="2" t="s">
        <v>196</v>
      </c>
      <c r="D330" s="2" t="s">
        <v>6</v>
      </c>
    </row>
    <row r="331" spans="1:4" ht="49.5">
      <c r="A331" s="2" t="s">
        <v>1238</v>
      </c>
      <c r="B331" s="2" t="s">
        <v>1239</v>
      </c>
      <c r="C331" s="2" t="s">
        <v>196</v>
      </c>
      <c r="D331" s="2" t="s">
        <v>6</v>
      </c>
    </row>
    <row r="332" spans="1:4" ht="49.5">
      <c r="A332" s="2" t="s">
        <v>1240</v>
      </c>
      <c r="B332" s="2" t="s">
        <v>1241</v>
      </c>
      <c r="C332" s="2" t="s">
        <v>196</v>
      </c>
      <c r="D332" s="2" t="s">
        <v>6</v>
      </c>
    </row>
    <row r="333" spans="1:4" ht="49.5">
      <c r="A333" s="2" t="s">
        <v>1242</v>
      </c>
      <c r="B333" s="2" t="s">
        <v>1243</v>
      </c>
      <c r="C333" s="2" t="s">
        <v>196</v>
      </c>
      <c r="D333" s="2" t="s">
        <v>6</v>
      </c>
    </row>
    <row r="334" spans="1:4" ht="49.5">
      <c r="A334" s="2" t="s">
        <v>1244</v>
      </c>
      <c r="B334" s="2" t="s">
        <v>1245</v>
      </c>
      <c r="C334" s="2" t="s">
        <v>196</v>
      </c>
      <c r="D334" s="2" t="s">
        <v>6</v>
      </c>
    </row>
    <row r="335" spans="1:4" ht="49.5">
      <c r="A335" s="2" t="s">
        <v>1246</v>
      </c>
      <c r="B335" s="2" t="s">
        <v>1247</v>
      </c>
      <c r="C335" s="2" t="s">
        <v>196</v>
      </c>
      <c r="D335" s="2" t="s">
        <v>6</v>
      </c>
    </row>
    <row r="336" spans="1:4" ht="49.5">
      <c r="A336" s="2" t="s">
        <v>1248</v>
      </c>
      <c r="B336" s="2" t="s">
        <v>1249</v>
      </c>
      <c r="C336" s="2" t="s">
        <v>196</v>
      </c>
      <c r="D336" s="2" t="s">
        <v>6</v>
      </c>
    </row>
    <row r="337" spans="1:4" ht="49.5">
      <c r="A337" s="2" t="s">
        <v>1250</v>
      </c>
      <c r="B337" s="2" t="s">
        <v>1251</v>
      </c>
      <c r="C337" s="2" t="s">
        <v>196</v>
      </c>
      <c r="D337" s="2" t="s">
        <v>6</v>
      </c>
    </row>
    <row r="338" spans="1:4" ht="49.5">
      <c r="A338" s="2" t="s">
        <v>1252</v>
      </c>
      <c r="B338" s="2" t="s">
        <v>1253</v>
      </c>
      <c r="C338" s="2" t="s">
        <v>196</v>
      </c>
      <c r="D338" s="2" t="s">
        <v>6</v>
      </c>
    </row>
    <row r="339" spans="1:4" ht="49.5">
      <c r="A339" s="2" t="s">
        <v>1254</v>
      </c>
      <c r="B339" s="2" t="s">
        <v>1255</v>
      </c>
      <c r="C339" s="2" t="s">
        <v>196</v>
      </c>
      <c r="D339" s="2" t="s">
        <v>6</v>
      </c>
    </row>
    <row r="340" spans="1:4" ht="49.5">
      <c r="A340" s="2" t="s">
        <v>1256</v>
      </c>
      <c r="B340" s="2" t="s">
        <v>1257</v>
      </c>
      <c r="C340" s="2" t="s">
        <v>196</v>
      </c>
      <c r="D340" s="2" t="s">
        <v>6</v>
      </c>
    </row>
    <row r="341" spans="1:4" ht="49.5">
      <c r="A341" s="2" t="s">
        <v>1258</v>
      </c>
      <c r="B341" s="2" t="s">
        <v>1259</v>
      </c>
      <c r="C341" s="2" t="s">
        <v>196</v>
      </c>
      <c r="D341" s="2" t="s">
        <v>6</v>
      </c>
    </row>
    <row r="342" spans="1:4" ht="49.5">
      <c r="A342" s="2" t="s">
        <v>1260</v>
      </c>
      <c r="B342" s="2" t="s">
        <v>1261</v>
      </c>
      <c r="C342" s="2" t="s">
        <v>196</v>
      </c>
      <c r="D342" s="2" t="s">
        <v>6</v>
      </c>
    </row>
    <row r="343" spans="1:4" ht="49.5">
      <c r="A343" s="2" t="s">
        <v>1262</v>
      </c>
      <c r="B343" s="2" t="s">
        <v>1263</v>
      </c>
      <c r="C343" s="2" t="s">
        <v>196</v>
      </c>
      <c r="D343" s="2" t="s">
        <v>6</v>
      </c>
    </row>
    <row r="344" spans="1:4" ht="49.5">
      <c r="A344" s="2" t="s">
        <v>1264</v>
      </c>
      <c r="B344" s="2" t="s">
        <v>1265</v>
      </c>
      <c r="C344" s="2" t="s">
        <v>196</v>
      </c>
      <c r="D344" s="2" t="s">
        <v>6</v>
      </c>
    </row>
    <row r="345" spans="1:4" ht="49.5">
      <c r="A345" s="2" t="s">
        <v>1266</v>
      </c>
      <c r="B345" s="2" t="s">
        <v>1267</v>
      </c>
      <c r="C345" s="2" t="s">
        <v>196</v>
      </c>
      <c r="D345" s="2" t="s">
        <v>6</v>
      </c>
    </row>
    <row r="346" spans="1:4" ht="49.5">
      <c r="A346" s="2" t="s">
        <v>1268</v>
      </c>
      <c r="B346" s="2" t="s">
        <v>1269</v>
      </c>
      <c r="C346" s="2" t="s">
        <v>196</v>
      </c>
      <c r="D346" s="2" t="s">
        <v>6</v>
      </c>
    </row>
    <row r="347" spans="1:4" ht="49.5">
      <c r="A347" s="2" t="s">
        <v>1270</v>
      </c>
      <c r="B347" s="2" t="s">
        <v>1271</v>
      </c>
      <c r="C347" s="2" t="s">
        <v>196</v>
      </c>
      <c r="D347" s="2" t="s">
        <v>6</v>
      </c>
    </row>
    <row r="348" spans="1:4" ht="49.5">
      <c r="A348" s="2" t="s">
        <v>1272</v>
      </c>
      <c r="B348" s="2" t="s">
        <v>1273</v>
      </c>
      <c r="C348" s="2" t="s">
        <v>196</v>
      </c>
      <c r="D348" s="2" t="s">
        <v>6</v>
      </c>
    </row>
    <row r="349" spans="1:4" ht="49.5">
      <c r="A349" s="2" t="s">
        <v>1274</v>
      </c>
      <c r="B349" s="2" t="s">
        <v>1275</v>
      </c>
      <c r="C349" s="2" t="s">
        <v>196</v>
      </c>
      <c r="D349" s="2" t="s">
        <v>6</v>
      </c>
    </row>
    <row r="350" spans="1:4" ht="49.5">
      <c r="A350" s="2" t="s">
        <v>1276</v>
      </c>
      <c r="B350" s="2" t="s">
        <v>1277</v>
      </c>
      <c r="C350" s="2" t="s">
        <v>196</v>
      </c>
      <c r="D350" s="2" t="s">
        <v>6</v>
      </c>
    </row>
    <row r="351" spans="1:4" ht="49.5">
      <c r="A351" s="2" t="s">
        <v>1278</v>
      </c>
      <c r="B351" s="2" t="s">
        <v>1279</v>
      </c>
      <c r="C351" s="2" t="s">
        <v>196</v>
      </c>
      <c r="D351" s="2" t="s">
        <v>6</v>
      </c>
    </row>
    <row r="352" spans="1:4" ht="49.5">
      <c r="A352" s="2" t="s">
        <v>1280</v>
      </c>
      <c r="B352" s="2" t="s">
        <v>1281</v>
      </c>
      <c r="C352" s="2" t="s">
        <v>196</v>
      </c>
      <c r="D352" s="2" t="s">
        <v>6</v>
      </c>
    </row>
    <row r="353" spans="1:4" ht="49.5">
      <c r="A353" s="2" t="s">
        <v>1282</v>
      </c>
      <c r="B353" s="2" t="s">
        <v>1283</v>
      </c>
      <c r="C353" s="2" t="s">
        <v>196</v>
      </c>
      <c r="D353" s="2" t="s">
        <v>6</v>
      </c>
    </row>
    <row r="354" spans="1:4" ht="49.5">
      <c r="A354" s="2" t="s">
        <v>1284</v>
      </c>
      <c r="B354" s="2" t="s">
        <v>1285</v>
      </c>
      <c r="C354" s="2" t="s">
        <v>196</v>
      </c>
      <c r="D354" s="2" t="s">
        <v>11</v>
      </c>
    </row>
    <row r="355" spans="1:4" ht="49.5">
      <c r="A355" s="2" t="s">
        <v>1286</v>
      </c>
      <c r="B355" s="2" t="s">
        <v>1287</v>
      </c>
      <c r="C355" s="2" t="s">
        <v>196</v>
      </c>
      <c r="D355" s="2" t="s">
        <v>6</v>
      </c>
    </row>
    <row r="356" spans="1:4" ht="49.5">
      <c r="A356" s="2" t="s">
        <v>1288</v>
      </c>
      <c r="B356" s="2" t="s">
        <v>1289</v>
      </c>
      <c r="C356" s="2" t="s">
        <v>196</v>
      </c>
      <c r="D356" s="2" t="s">
        <v>6</v>
      </c>
    </row>
    <row r="357" spans="1:4" ht="49.5">
      <c r="A357" s="2" t="s">
        <v>1290</v>
      </c>
      <c r="B357" s="2" t="s">
        <v>1291</v>
      </c>
      <c r="C357" s="2" t="s">
        <v>196</v>
      </c>
      <c r="D357" s="2" t="s">
        <v>6</v>
      </c>
    </row>
    <row r="358" spans="1:4" ht="49.5">
      <c r="A358" s="2" t="s">
        <v>1292</v>
      </c>
      <c r="B358" s="2" t="s">
        <v>1293</v>
      </c>
      <c r="C358" s="2" t="s">
        <v>196</v>
      </c>
      <c r="D358" s="2" t="s">
        <v>6</v>
      </c>
    </row>
    <row r="359" spans="1:4" ht="49.5">
      <c r="A359" s="2" t="s">
        <v>1294</v>
      </c>
      <c r="B359" s="2" t="s">
        <v>1295</v>
      </c>
      <c r="C359" s="2" t="s">
        <v>196</v>
      </c>
      <c r="D359" s="2" t="s">
        <v>6</v>
      </c>
    </row>
    <row r="360" spans="1:4" ht="49.5">
      <c r="A360" s="2" t="s">
        <v>1296</v>
      </c>
      <c r="B360" s="2" t="s">
        <v>1297</v>
      </c>
      <c r="C360" s="2" t="s">
        <v>196</v>
      </c>
      <c r="D360" s="2" t="s">
        <v>6</v>
      </c>
    </row>
    <row r="361" spans="1:4" ht="49.5">
      <c r="A361" s="2" t="s">
        <v>1298</v>
      </c>
      <c r="B361" s="2" t="s">
        <v>1299</v>
      </c>
      <c r="C361" s="2" t="s">
        <v>196</v>
      </c>
      <c r="D361" s="2" t="s">
        <v>6</v>
      </c>
    </row>
    <row r="362" spans="1:4" ht="49.5">
      <c r="A362" s="2" t="s">
        <v>1300</v>
      </c>
      <c r="B362" s="2" t="s">
        <v>1301</v>
      </c>
      <c r="C362" s="2" t="s">
        <v>196</v>
      </c>
      <c r="D362" s="2" t="s">
        <v>6</v>
      </c>
    </row>
    <row r="363" spans="1:4" ht="49.5">
      <c r="A363" s="2" t="s">
        <v>1302</v>
      </c>
      <c r="B363" s="2" t="s">
        <v>1303</v>
      </c>
      <c r="C363" s="2" t="s">
        <v>196</v>
      </c>
      <c r="D363" s="2" t="s">
        <v>6</v>
      </c>
    </row>
    <row r="364" spans="1:4" ht="49.5">
      <c r="A364" s="2" t="s">
        <v>1304</v>
      </c>
      <c r="B364" s="2" t="s">
        <v>1305</v>
      </c>
      <c r="C364" s="2" t="s">
        <v>196</v>
      </c>
      <c r="D364" s="2" t="s">
        <v>6</v>
      </c>
    </row>
    <row r="365" spans="1:4" ht="49.5">
      <c r="A365" s="2" t="s">
        <v>1308</v>
      </c>
      <c r="B365" s="2" t="s">
        <v>1309</v>
      </c>
      <c r="C365" s="2" t="s">
        <v>196</v>
      </c>
      <c r="D365" s="2" t="s">
        <v>6</v>
      </c>
    </row>
    <row r="366" spans="1:4" ht="49.5">
      <c r="A366" s="2" t="s">
        <v>1310</v>
      </c>
      <c r="B366" s="2" t="s">
        <v>1311</v>
      </c>
      <c r="C366" s="2" t="s">
        <v>196</v>
      </c>
      <c r="D366" s="2" t="s">
        <v>6</v>
      </c>
    </row>
    <row r="367" spans="1:4" ht="49.5">
      <c r="A367" s="2" t="s">
        <v>1322</v>
      </c>
      <c r="B367" s="2" t="s">
        <v>1323</v>
      </c>
      <c r="C367" s="2" t="s">
        <v>196</v>
      </c>
      <c r="D367" s="2" t="s">
        <v>6</v>
      </c>
    </row>
    <row r="368" spans="1:4" ht="82.5">
      <c r="A368" s="2" t="s">
        <v>1326</v>
      </c>
      <c r="B368" s="2" t="s">
        <v>1327</v>
      </c>
      <c r="C368" s="2" t="s">
        <v>196</v>
      </c>
      <c r="D368" s="2" t="s">
        <v>6</v>
      </c>
    </row>
    <row r="369" spans="1:4" ht="82.5">
      <c r="A369" s="2" t="s">
        <v>1328</v>
      </c>
      <c r="B369" s="2" t="s">
        <v>1329</v>
      </c>
      <c r="C369" s="2" t="s">
        <v>196</v>
      </c>
      <c r="D369" s="2" t="s">
        <v>6</v>
      </c>
    </row>
    <row r="370" spans="1:4" ht="66">
      <c r="A370" s="2" t="s">
        <v>1330</v>
      </c>
      <c r="B370" s="2" t="s">
        <v>1331</v>
      </c>
      <c r="C370" s="2" t="s">
        <v>196</v>
      </c>
      <c r="D370" s="2" t="s">
        <v>5</v>
      </c>
    </row>
    <row r="371" spans="1:4" ht="66">
      <c r="A371" s="2" t="s">
        <v>1332</v>
      </c>
      <c r="B371" s="2" t="s">
        <v>1333</v>
      </c>
      <c r="C371" s="2" t="s">
        <v>196</v>
      </c>
      <c r="D371" s="2" t="s">
        <v>11</v>
      </c>
    </row>
    <row r="372" spans="1:4" ht="49.5">
      <c r="A372" s="2" t="s">
        <v>1358</v>
      </c>
      <c r="B372" s="2" t="s">
        <v>1359</v>
      </c>
      <c r="C372" s="2" t="s">
        <v>196</v>
      </c>
      <c r="D372" s="2" t="s">
        <v>6</v>
      </c>
    </row>
    <row r="373" spans="1:4" ht="49.5">
      <c r="A373" s="2" t="s">
        <v>1364</v>
      </c>
      <c r="B373" s="2" t="s">
        <v>1365</v>
      </c>
      <c r="C373" s="2" t="s">
        <v>196</v>
      </c>
      <c r="D373" s="2" t="s">
        <v>6</v>
      </c>
    </row>
    <row r="374" spans="1:4" ht="49.5">
      <c r="A374" s="2" t="s">
        <v>1372</v>
      </c>
      <c r="B374" s="2" t="s">
        <v>1373</v>
      </c>
      <c r="C374" s="2" t="s">
        <v>196</v>
      </c>
      <c r="D374" s="2" t="s">
        <v>9</v>
      </c>
    </row>
    <row r="375" spans="1:4" ht="33">
      <c r="A375" s="2" t="s">
        <v>1374</v>
      </c>
      <c r="B375" s="2" t="s">
        <v>1375</v>
      </c>
      <c r="C375" s="2" t="s">
        <v>196</v>
      </c>
      <c r="D375" s="2" t="s">
        <v>9</v>
      </c>
    </row>
    <row r="376" spans="1:4" ht="33">
      <c r="A376" s="2" t="s">
        <v>1376</v>
      </c>
      <c r="B376" s="2" t="s">
        <v>1377</v>
      </c>
      <c r="C376" s="2" t="s">
        <v>196</v>
      </c>
      <c r="D376" s="2" t="s">
        <v>6</v>
      </c>
    </row>
    <row r="377" spans="1:4" ht="66">
      <c r="A377" s="2" t="s">
        <v>1472</v>
      </c>
      <c r="B377" s="2" t="s">
        <v>1473</v>
      </c>
      <c r="C377" s="2" t="s">
        <v>196</v>
      </c>
      <c r="D377" s="2" t="s">
        <v>6</v>
      </c>
    </row>
    <row r="378" spans="1:4" ht="49.5">
      <c r="A378" s="2" t="s">
        <v>1476</v>
      </c>
      <c r="B378" s="2" t="s">
        <v>1477</v>
      </c>
      <c r="C378" s="2" t="s">
        <v>196</v>
      </c>
      <c r="D378" s="2" t="s">
        <v>6</v>
      </c>
    </row>
    <row r="379" spans="1:4" ht="66">
      <c r="A379" s="2" t="s">
        <v>1478</v>
      </c>
      <c r="B379" s="2" t="s">
        <v>1479</v>
      </c>
      <c r="C379" s="2" t="s">
        <v>196</v>
      </c>
      <c r="D379" s="2" t="s">
        <v>6</v>
      </c>
    </row>
    <row r="380" spans="1:4" ht="49.5">
      <c r="A380" s="2" t="s">
        <v>1480</v>
      </c>
      <c r="B380" s="2" t="s">
        <v>1481</v>
      </c>
      <c r="C380" s="2" t="s">
        <v>196</v>
      </c>
      <c r="D380" s="2" t="s">
        <v>6</v>
      </c>
    </row>
    <row r="381" spans="1:4" ht="49.5">
      <c r="A381" s="2" t="s">
        <v>1482</v>
      </c>
      <c r="B381" s="2" t="s">
        <v>1483</v>
      </c>
      <c r="C381" s="2" t="s">
        <v>196</v>
      </c>
      <c r="D381" s="2" t="s">
        <v>6</v>
      </c>
    </row>
    <row r="382" spans="1:4" ht="66">
      <c r="A382" s="2" t="s">
        <v>1484</v>
      </c>
      <c r="B382" s="2" t="s">
        <v>1485</v>
      </c>
      <c r="C382" s="2" t="s">
        <v>196</v>
      </c>
      <c r="D382" s="2" t="s">
        <v>6</v>
      </c>
    </row>
    <row r="383" spans="1:4" ht="49.5">
      <c r="A383" s="2" t="s">
        <v>1500</v>
      </c>
      <c r="B383" s="2" t="s">
        <v>1501</v>
      </c>
      <c r="C383" s="2" t="s">
        <v>196</v>
      </c>
      <c r="D383" s="2" t="s">
        <v>6</v>
      </c>
    </row>
    <row r="384" spans="1:4" ht="66">
      <c r="A384" s="2" t="s">
        <v>1504</v>
      </c>
      <c r="B384" s="2" t="s">
        <v>1505</v>
      </c>
      <c r="C384" s="2" t="s">
        <v>196</v>
      </c>
      <c r="D384" s="2" t="s">
        <v>6</v>
      </c>
    </row>
    <row r="385" spans="1:4" ht="49.5">
      <c r="A385" s="2" t="s">
        <v>1506</v>
      </c>
      <c r="B385" s="2" t="s">
        <v>1507</v>
      </c>
      <c r="C385" s="2" t="s">
        <v>196</v>
      </c>
      <c r="D385" s="2" t="s">
        <v>6</v>
      </c>
    </row>
    <row r="386" spans="1:4" ht="49.5">
      <c r="A386" s="2" t="s">
        <v>1508</v>
      </c>
      <c r="B386" s="2" t="s">
        <v>1509</v>
      </c>
      <c r="C386" s="2" t="s">
        <v>196</v>
      </c>
      <c r="D386" s="2" t="s">
        <v>6</v>
      </c>
    </row>
    <row r="387" spans="1:4" ht="66">
      <c r="A387" s="2" t="s">
        <v>1512</v>
      </c>
      <c r="B387" s="2" t="s">
        <v>1513</v>
      </c>
      <c r="C387" s="2" t="s">
        <v>196</v>
      </c>
      <c r="D387" s="2" t="s">
        <v>6</v>
      </c>
    </row>
    <row r="388" spans="1:4" ht="66">
      <c r="A388" s="2" t="s">
        <v>1516</v>
      </c>
      <c r="B388" s="2" t="s">
        <v>1517</v>
      </c>
      <c r="C388" s="2" t="s">
        <v>196</v>
      </c>
      <c r="D388" s="2" t="s">
        <v>6</v>
      </c>
    </row>
    <row r="389" spans="1:4" ht="66">
      <c r="A389" s="2" t="s">
        <v>1518</v>
      </c>
      <c r="B389" s="2" t="s">
        <v>1519</v>
      </c>
      <c r="C389" s="2" t="s">
        <v>196</v>
      </c>
      <c r="D389" s="2" t="s">
        <v>6</v>
      </c>
    </row>
    <row r="390" spans="1:4" ht="66">
      <c r="A390" s="2" t="s">
        <v>1520</v>
      </c>
      <c r="B390" s="2" t="s">
        <v>1521</v>
      </c>
      <c r="C390" s="2" t="s">
        <v>196</v>
      </c>
      <c r="D390" s="2" t="s">
        <v>6</v>
      </c>
    </row>
    <row r="391" spans="1:4" ht="49.5">
      <c r="A391" s="2" t="s">
        <v>1522</v>
      </c>
      <c r="B391" s="2" t="s">
        <v>1523</v>
      </c>
      <c r="C391" s="2" t="s">
        <v>196</v>
      </c>
      <c r="D391" s="2" t="s">
        <v>6</v>
      </c>
    </row>
    <row r="392" spans="1:4" ht="49.5">
      <c r="A392" s="2" t="s">
        <v>1536</v>
      </c>
      <c r="B392" s="2" t="s">
        <v>1537</v>
      </c>
      <c r="C392" s="2" t="s">
        <v>196</v>
      </c>
      <c r="D392" s="2" t="s">
        <v>6</v>
      </c>
    </row>
    <row r="393" spans="1:4" ht="66">
      <c r="A393" s="2" t="s">
        <v>1540</v>
      </c>
      <c r="B393" s="2" t="s">
        <v>1541</v>
      </c>
      <c r="C393" s="2" t="s">
        <v>196</v>
      </c>
      <c r="D393" s="2" t="s">
        <v>6</v>
      </c>
    </row>
    <row r="394" spans="1:4" ht="66">
      <c r="A394" s="2" t="s">
        <v>1542</v>
      </c>
      <c r="B394" s="2" t="s">
        <v>1543</v>
      </c>
      <c r="C394" s="2" t="s">
        <v>196</v>
      </c>
      <c r="D394" s="2" t="s">
        <v>6</v>
      </c>
    </row>
    <row r="395" spans="1:4" ht="66">
      <c r="A395" s="2" t="s">
        <v>1546</v>
      </c>
      <c r="B395" s="2" t="s">
        <v>1547</v>
      </c>
      <c r="C395" s="2" t="s">
        <v>196</v>
      </c>
      <c r="D395" s="2" t="s">
        <v>6</v>
      </c>
    </row>
    <row r="396" spans="1:4" ht="66">
      <c r="A396" s="2" t="s">
        <v>1548</v>
      </c>
      <c r="B396" s="2" t="s">
        <v>1549</v>
      </c>
      <c r="C396" s="2" t="s">
        <v>196</v>
      </c>
      <c r="D396" s="2" t="s">
        <v>6</v>
      </c>
    </row>
    <row r="397" spans="1:4" ht="49.5">
      <c r="A397" s="2" t="s">
        <v>1550</v>
      </c>
      <c r="B397" s="2" t="s">
        <v>1551</v>
      </c>
      <c r="C397" s="2" t="s">
        <v>196</v>
      </c>
      <c r="D397" s="2" t="s">
        <v>6</v>
      </c>
    </row>
    <row r="398" spans="1:4" ht="49.5">
      <c r="A398" s="2" t="s">
        <v>1552</v>
      </c>
      <c r="B398" s="2" t="s">
        <v>1553</v>
      </c>
      <c r="C398" s="2" t="s">
        <v>196</v>
      </c>
      <c r="D398" s="2" t="s">
        <v>6</v>
      </c>
    </row>
    <row r="399" spans="1:4" ht="49.5">
      <c r="A399" s="2" t="s">
        <v>1554</v>
      </c>
      <c r="B399" s="2" t="s">
        <v>1555</v>
      </c>
      <c r="C399" s="2" t="s">
        <v>196</v>
      </c>
      <c r="D399" s="2" t="s">
        <v>6</v>
      </c>
    </row>
    <row r="400" spans="1:4" ht="49.5">
      <c r="A400" s="2" t="s">
        <v>1556</v>
      </c>
      <c r="B400" s="2" t="s">
        <v>1557</v>
      </c>
      <c r="C400" s="2" t="s">
        <v>196</v>
      </c>
      <c r="D400" s="2" t="s">
        <v>6</v>
      </c>
    </row>
    <row r="401" spans="1:4" ht="49.5">
      <c r="A401" s="2" t="s">
        <v>1558</v>
      </c>
      <c r="B401" s="2" t="s">
        <v>1559</v>
      </c>
      <c r="C401" s="2" t="s">
        <v>196</v>
      </c>
      <c r="D401" s="2" t="s">
        <v>6</v>
      </c>
    </row>
    <row r="402" spans="1:4" ht="66">
      <c r="A402" s="2" t="s">
        <v>1560</v>
      </c>
      <c r="B402" s="2" t="s">
        <v>1561</v>
      </c>
      <c r="C402" s="2" t="s">
        <v>196</v>
      </c>
      <c r="D402" s="2" t="s">
        <v>6</v>
      </c>
    </row>
    <row r="403" spans="1:4" ht="49.5">
      <c r="A403" s="2" t="s">
        <v>1562</v>
      </c>
      <c r="B403" s="2" t="s">
        <v>1563</v>
      </c>
      <c r="C403" s="2" t="s">
        <v>196</v>
      </c>
      <c r="D403" s="2" t="s">
        <v>6</v>
      </c>
    </row>
    <row r="404" spans="1:4" ht="49.5">
      <c r="A404" s="2" t="s">
        <v>1564</v>
      </c>
      <c r="B404" s="2" t="s">
        <v>1565</v>
      </c>
      <c r="C404" s="2" t="s">
        <v>196</v>
      </c>
      <c r="D404" s="2" t="s">
        <v>6</v>
      </c>
    </row>
    <row r="405" spans="1:4" ht="66">
      <c r="A405" s="2" t="s">
        <v>1566</v>
      </c>
      <c r="B405" s="2" t="s">
        <v>1567</v>
      </c>
      <c r="C405" s="2" t="s">
        <v>196</v>
      </c>
      <c r="D405" s="2" t="s">
        <v>6</v>
      </c>
    </row>
    <row r="406" spans="1:4" ht="66">
      <c r="A406" s="2" t="s">
        <v>1568</v>
      </c>
      <c r="B406" s="2" t="s">
        <v>1569</v>
      </c>
      <c r="C406" s="2" t="s">
        <v>196</v>
      </c>
      <c r="D406" s="2" t="s">
        <v>6</v>
      </c>
    </row>
    <row r="407" spans="1:4" ht="49.5">
      <c r="A407" s="2" t="s">
        <v>1576</v>
      </c>
      <c r="B407" s="2" t="s">
        <v>1577</v>
      </c>
      <c r="C407" s="2" t="s">
        <v>196</v>
      </c>
      <c r="D407" s="2" t="s">
        <v>6</v>
      </c>
    </row>
    <row r="408" spans="1:4" ht="49.5">
      <c r="A408" s="2" t="s">
        <v>1578</v>
      </c>
      <c r="B408" s="2" t="s">
        <v>1579</v>
      </c>
      <c r="C408" s="2" t="s">
        <v>196</v>
      </c>
      <c r="D408" s="2" t="s">
        <v>6</v>
      </c>
    </row>
    <row r="409" spans="1:4" ht="49.5">
      <c r="A409" s="2" t="s">
        <v>1582</v>
      </c>
      <c r="B409" s="2" t="s">
        <v>1583</v>
      </c>
      <c r="C409" s="2" t="s">
        <v>196</v>
      </c>
      <c r="D409" s="2" t="s">
        <v>6</v>
      </c>
    </row>
    <row r="410" spans="1:4" ht="49.5">
      <c r="A410" s="2" t="s">
        <v>1584</v>
      </c>
      <c r="B410" s="2" t="s">
        <v>1585</v>
      </c>
      <c r="C410" s="2" t="s">
        <v>196</v>
      </c>
      <c r="D410" s="2" t="s">
        <v>6</v>
      </c>
    </row>
    <row r="411" spans="1:4" ht="49.5">
      <c r="A411" s="2" t="s">
        <v>1644</v>
      </c>
      <c r="B411" s="2" t="s">
        <v>1645</v>
      </c>
      <c r="C411" s="2" t="s">
        <v>196</v>
      </c>
      <c r="D411" s="2" t="s">
        <v>6</v>
      </c>
    </row>
    <row r="412" spans="1:4" ht="49.5">
      <c r="A412" s="2" t="s">
        <v>1648</v>
      </c>
      <c r="B412" s="2" t="s">
        <v>1649</v>
      </c>
      <c r="C412" s="2" t="s">
        <v>196</v>
      </c>
      <c r="D412" s="2" t="s">
        <v>6</v>
      </c>
    </row>
    <row r="413" spans="1:4" ht="49.5">
      <c r="A413" s="2" t="s">
        <v>1650</v>
      </c>
      <c r="B413" s="2" t="s">
        <v>1651</v>
      </c>
      <c r="C413" s="2" t="s">
        <v>196</v>
      </c>
      <c r="D413" s="2" t="s">
        <v>6</v>
      </c>
    </row>
    <row r="414" spans="1:4" ht="49.5">
      <c r="A414" s="2" t="s">
        <v>1652</v>
      </c>
      <c r="B414" s="2" t="s">
        <v>1653</v>
      </c>
      <c r="C414" s="2" t="s">
        <v>196</v>
      </c>
      <c r="D414" s="2" t="s">
        <v>6</v>
      </c>
    </row>
    <row r="415" spans="1:4" ht="49.5">
      <c r="A415" s="2" t="s">
        <v>1654</v>
      </c>
      <c r="B415" s="2" t="s">
        <v>1655</v>
      </c>
      <c r="C415" s="2" t="s">
        <v>196</v>
      </c>
      <c r="D415" s="2" t="s">
        <v>6</v>
      </c>
    </row>
    <row r="416" spans="1:4" ht="49.5">
      <c r="A416" s="2" t="s">
        <v>1656</v>
      </c>
      <c r="B416" s="2" t="s">
        <v>1657</v>
      </c>
      <c r="C416" s="2" t="s">
        <v>196</v>
      </c>
      <c r="D416" s="2" t="s">
        <v>6</v>
      </c>
    </row>
    <row r="417" spans="1:4" ht="49.5">
      <c r="A417" s="2" t="s">
        <v>1658</v>
      </c>
      <c r="B417" s="2" t="s">
        <v>1659</v>
      </c>
      <c r="C417" s="2" t="s">
        <v>196</v>
      </c>
      <c r="D417" s="2" t="s">
        <v>6</v>
      </c>
    </row>
    <row r="418" spans="1:4" ht="49.5">
      <c r="A418" s="2" t="s">
        <v>1660</v>
      </c>
      <c r="B418" s="2" t="s">
        <v>1661</v>
      </c>
      <c r="C418" s="2" t="s">
        <v>196</v>
      </c>
      <c r="D418" s="2" t="s">
        <v>11</v>
      </c>
    </row>
    <row r="419" spans="1:4" ht="49.5">
      <c r="A419" s="2" t="s">
        <v>1662</v>
      </c>
      <c r="B419" s="2" t="s">
        <v>1663</v>
      </c>
      <c r="C419" s="2" t="s">
        <v>196</v>
      </c>
      <c r="D419" s="2" t="s">
        <v>6</v>
      </c>
    </row>
    <row r="420" spans="1:4" ht="49.5">
      <c r="A420" s="2" t="s">
        <v>1664</v>
      </c>
      <c r="B420" s="2" t="s">
        <v>1665</v>
      </c>
      <c r="C420" s="2" t="s">
        <v>196</v>
      </c>
      <c r="D420" s="2" t="s">
        <v>6</v>
      </c>
    </row>
    <row r="421" spans="1:4" ht="49.5">
      <c r="A421" s="2" t="s">
        <v>1706</v>
      </c>
      <c r="B421" s="2" t="s">
        <v>1707</v>
      </c>
      <c r="C421" s="2" t="s">
        <v>196</v>
      </c>
      <c r="D421" s="2" t="s">
        <v>6</v>
      </c>
    </row>
    <row r="422" spans="1:4" ht="49.5">
      <c r="A422" s="2" t="s">
        <v>1708</v>
      </c>
      <c r="B422" s="2" t="s">
        <v>1709</v>
      </c>
      <c r="C422" s="2" t="s">
        <v>196</v>
      </c>
      <c r="D422" s="2" t="s">
        <v>11</v>
      </c>
    </row>
    <row r="423" spans="1:4" ht="49.5">
      <c r="A423" s="2" t="s">
        <v>1710</v>
      </c>
      <c r="B423" s="2" t="s">
        <v>1711</v>
      </c>
      <c r="C423" s="2" t="s">
        <v>196</v>
      </c>
      <c r="D423" s="2" t="s">
        <v>6</v>
      </c>
    </row>
    <row r="424" spans="1:4" ht="49.5">
      <c r="A424" s="2" t="s">
        <v>1712</v>
      </c>
      <c r="B424" s="2" t="s">
        <v>1713</v>
      </c>
      <c r="C424" s="2" t="s">
        <v>196</v>
      </c>
      <c r="D424" s="2" t="s">
        <v>6</v>
      </c>
    </row>
    <row r="425" spans="1:4" ht="49.5">
      <c r="A425" s="2" t="s">
        <v>1714</v>
      </c>
      <c r="B425" s="2" t="s">
        <v>1715</v>
      </c>
      <c r="C425" s="2" t="s">
        <v>196</v>
      </c>
      <c r="D425" s="2" t="s">
        <v>6</v>
      </c>
    </row>
    <row r="426" spans="1:4" ht="49.5">
      <c r="A426" s="2" t="s">
        <v>1716</v>
      </c>
      <c r="B426" s="2" t="s">
        <v>1717</v>
      </c>
      <c r="C426" s="2" t="s">
        <v>196</v>
      </c>
      <c r="D426" s="2" t="s">
        <v>6</v>
      </c>
    </row>
    <row r="427" spans="1:4" ht="49.5">
      <c r="A427" s="2" t="s">
        <v>1718</v>
      </c>
      <c r="B427" s="2" t="s">
        <v>1719</v>
      </c>
      <c r="C427" s="2" t="s">
        <v>196</v>
      </c>
      <c r="D427" s="2" t="s">
        <v>6</v>
      </c>
    </row>
    <row r="428" spans="1:4" ht="49.5">
      <c r="A428" s="2" t="s">
        <v>1720</v>
      </c>
      <c r="B428" s="2" t="s">
        <v>1721</v>
      </c>
      <c r="C428" s="2" t="s">
        <v>196</v>
      </c>
      <c r="D428" s="2" t="s">
        <v>6</v>
      </c>
    </row>
    <row r="429" spans="1:4" ht="49.5">
      <c r="A429" s="2" t="s">
        <v>1722</v>
      </c>
      <c r="B429" s="2" t="s">
        <v>1723</v>
      </c>
      <c r="C429" s="2" t="s">
        <v>196</v>
      </c>
      <c r="D429" s="2" t="s">
        <v>6</v>
      </c>
    </row>
    <row r="430" spans="1:4" ht="49.5">
      <c r="A430" s="2" t="s">
        <v>1724</v>
      </c>
      <c r="B430" s="2" t="s">
        <v>1725</v>
      </c>
      <c r="C430" s="2" t="s">
        <v>196</v>
      </c>
      <c r="D430" s="2" t="s">
        <v>6</v>
      </c>
    </row>
    <row r="431" spans="1:4" ht="49.5">
      <c r="A431" s="2" t="s">
        <v>1726</v>
      </c>
      <c r="B431" s="2" t="s">
        <v>1727</v>
      </c>
      <c r="C431" s="2" t="s">
        <v>196</v>
      </c>
      <c r="D431" s="2" t="s">
        <v>6</v>
      </c>
    </row>
    <row r="432" spans="1:4" ht="49.5">
      <c r="A432" s="2" t="s">
        <v>1728</v>
      </c>
      <c r="B432" s="2" t="s">
        <v>1729</v>
      </c>
      <c r="C432" s="2" t="s">
        <v>196</v>
      </c>
      <c r="D432" s="2" t="s">
        <v>6</v>
      </c>
    </row>
    <row r="433" spans="1:4" ht="66">
      <c r="A433" s="2" t="s">
        <v>125</v>
      </c>
      <c r="B433" s="2" t="s">
        <v>126</v>
      </c>
      <c r="C433" s="2" t="s">
        <v>124</v>
      </c>
      <c r="D433" s="2" t="s">
        <v>11</v>
      </c>
    </row>
    <row r="434" spans="1:4" ht="66">
      <c r="A434" s="2" t="s">
        <v>127</v>
      </c>
      <c r="B434" s="2" t="s">
        <v>128</v>
      </c>
      <c r="C434" s="2" t="s">
        <v>124</v>
      </c>
      <c r="D434" s="2" t="s">
        <v>11</v>
      </c>
    </row>
    <row r="435" spans="1:4" ht="66">
      <c r="A435" s="2" t="s">
        <v>129</v>
      </c>
      <c r="B435" s="2" t="s">
        <v>130</v>
      </c>
      <c r="C435" s="2" t="s">
        <v>124</v>
      </c>
      <c r="D435" s="2" t="s">
        <v>11</v>
      </c>
    </row>
    <row r="436" spans="1:4" ht="66">
      <c r="A436" s="2" t="s">
        <v>131</v>
      </c>
      <c r="B436" s="2" t="s">
        <v>132</v>
      </c>
      <c r="C436" s="2" t="s">
        <v>124</v>
      </c>
      <c r="D436" s="2" t="s">
        <v>9</v>
      </c>
    </row>
    <row r="437" spans="1:4" ht="66">
      <c r="A437" s="2" t="s">
        <v>133</v>
      </c>
      <c r="B437" s="2" t="s">
        <v>134</v>
      </c>
      <c r="C437" s="2" t="s">
        <v>124</v>
      </c>
      <c r="D437" s="2" t="s">
        <v>11</v>
      </c>
    </row>
    <row r="438" spans="1:4" ht="66">
      <c r="A438" s="2" t="s">
        <v>135</v>
      </c>
      <c r="B438" s="2" t="s">
        <v>136</v>
      </c>
      <c r="C438" s="2" t="s">
        <v>124</v>
      </c>
      <c r="D438" s="2" t="s">
        <v>11</v>
      </c>
    </row>
    <row r="439" spans="1:4" ht="66">
      <c r="A439" s="2" t="s">
        <v>137</v>
      </c>
      <c r="B439" s="2" t="s">
        <v>138</v>
      </c>
      <c r="C439" s="2" t="s">
        <v>124</v>
      </c>
      <c r="D439" s="2" t="s">
        <v>5</v>
      </c>
    </row>
    <row r="440" spans="1:4" ht="49.5">
      <c r="A440" s="2" t="s">
        <v>139</v>
      </c>
      <c r="B440" s="2" t="s">
        <v>140</v>
      </c>
      <c r="C440" s="2" t="s">
        <v>124</v>
      </c>
      <c r="D440" s="2" t="s">
        <v>11</v>
      </c>
    </row>
    <row r="441" spans="1:4" ht="49.5">
      <c r="A441" s="2" t="s">
        <v>141</v>
      </c>
      <c r="B441" s="2" t="s">
        <v>142</v>
      </c>
      <c r="C441" s="2" t="s">
        <v>124</v>
      </c>
      <c r="D441" s="2" t="s">
        <v>11</v>
      </c>
    </row>
    <row r="442" spans="1:4" ht="49.5">
      <c r="A442" s="2" t="s">
        <v>143</v>
      </c>
      <c r="B442" s="2" t="s">
        <v>144</v>
      </c>
      <c r="C442" s="2" t="s">
        <v>124</v>
      </c>
      <c r="D442" s="2" t="s">
        <v>9</v>
      </c>
    </row>
    <row r="443" spans="1:4" ht="49.5">
      <c r="A443" s="2" t="s">
        <v>145</v>
      </c>
      <c r="B443" s="2" t="s">
        <v>146</v>
      </c>
      <c r="C443" s="2" t="s">
        <v>124</v>
      </c>
      <c r="D443" s="2" t="s">
        <v>11</v>
      </c>
    </row>
    <row r="444" spans="1:4" ht="49.5">
      <c r="A444" s="2" t="s">
        <v>147</v>
      </c>
      <c r="B444" s="2" t="s">
        <v>148</v>
      </c>
      <c r="C444" s="2" t="s">
        <v>124</v>
      </c>
      <c r="D444" s="2" t="s">
        <v>5</v>
      </c>
    </row>
    <row r="445" spans="1:4" ht="49.5">
      <c r="A445" s="2" t="s">
        <v>149</v>
      </c>
      <c r="B445" s="2" t="s">
        <v>150</v>
      </c>
      <c r="C445" s="2" t="s">
        <v>124</v>
      </c>
      <c r="D445" s="2" t="s">
        <v>11</v>
      </c>
    </row>
    <row r="446" spans="1:4" ht="49.5">
      <c r="A446" s="2" t="s">
        <v>151</v>
      </c>
      <c r="B446" s="2" t="s">
        <v>152</v>
      </c>
      <c r="C446" s="2" t="s">
        <v>124</v>
      </c>
      <c r="D446" s="2" t="s">
        <v>11</v>
      </c>
    </row>
    <row r="447" spans="1:4" ht="49.5">
      <c r="A447" s="2" t="s">
        <v>153</v>
      </c>
      <c r="B447" s="2" t="s">
        <v>154</v>
      </c>
      <c r="C447" s="2" t="s">
        <v>124</v>
      </c>
      <c r="D447" s="2" t="s">
        <v>11</v>
      </c>
    </row>
    <row r="448" spans="1:4" ht="49.5">
      <c r="A448" s="2" t="s">
        <v>155</v>
      </c>
      <c r="B448" s="2" t="s">
        <v>156</v>
      </c>
      <c r="C448" s="2" t="s">
        <v>124</v>
      </c>
      <c r="D448" s="2" t="s">
        <v>11</v>
      </c>
    </row>
    <row r="449" spans="1:4" ht="49.5">
      <c r="A449" s="2" t="s">
        <v>157</v>
      </c>
      <c r="B449" s="2" t="s">
        <v>158</v>
      </c>
      <c r="C449" s="2" t="s">
        <v>124</v>
      </c>
      <c r="D449" s="2" t="s">
        <v>11</v>
      </c>
    </row>
    <row r="450" spans="1:4" ht="49.5">
      <c r="A450" s="2" t="s">
        <v>159</v>
      </c>
      <c r="B450" s="2" t="s">
        <v>160</v>
      </c>
      <c r="C450" s="2" t="s">
        <v>124</v>
      </c>
      <c r="D450" s="2" t="s">
        <v>11</v>
      </c>
    </row>
    <row r="451" spans="1:4" ht="49.5">
      <c r="A451" s="2" t="s">
        <v>161</v>
      </c>
      <c r="B451" s="2" t="s">
        <v>162</v>
      </c>
      <c r="C451" s="2" t="s">
        <v>124</v>
      </c>
      <c r="D451" s="2" t="s">
        <v>11</v>
      </c>
    </row>
    <row r="452" spans="1:4" ht="49.5">
      <c r="A452" s="2" t="s">
        <v>163</v>
      </c>
      <c r="B452" s="2" t="s">
        <v>164</v>
      </c>
      <c r="C452" s="2" t="s">
        <v>124</v>
      </c>
      <c r="D452" s="2" t="s">
        <v>11</v>
      </c>
    </row>
    <row r="453" spans="1:4" ht="49.5">
      <c r="A453" s="2" t="s">
        <v>165</v>
      </c>
      <c r="B453" s="2" t="s">
        <v>166</v>
      </c>
      <c r="C453" s="2" t="s">
        <v>124</v>
      </c>
      <c r="D453" s="2" t="s">
        <v>9</v>
      </c>
    </row>
    <row r="454" spans="1:4" ht="49.5">
      <c r="A454" s="2" t="s">
        <v>167</v>
      </c>
      <c r="B454" s="2" t="s">
        <v>168</v>
      </c>
      <c r="C454" s="2" t="s">
        <v>124</v>
      </c>
      <c r="D454" s="2" t="s">
        <v>11</v>
      </c>
    </row>
    <row r="455" spans="1:4" ht="49.5">
      <c r="A455" s="2" t="s">
        <v>169</v>
      </c>
      <c r="B455" s="2" t="s">
        <v>170</v>
      </c>
      <c r="C455" s="2" t="s">
        <v>124</v>
      </c>
      <c r="D455" s="2" t="s">
        <v>9</v>
      </c>
    </row>
    <row r="456" spans="1:4" ht="49.5">
      <c r="A456" s="2" t="s">
        <v>171</v>
      </c>
      <c r="B456" s="2" t="s">
        <v>172</v>
      </c>
      <c r="C456" s="2" t="s">
        <v>124</v>
      </c>
      <c r="D456" s="2" t="s">
        <v>11</v>
      </c>
    </row>
    <row r="457" spans="1:4" ht="49.5">
      <c r="A457" s="2" t="s">
        <v>173</v>
      </c>
      <c r="B457" s="2" t="s">
        <v>174</v>
      </c>
      <c r="C457" s="2" t="s">
        <v>124</v>
      </c>
      <c r="D457" s="2" t="s">
        <v>11</v>
      </c>
    </row>
    <row r="458" spans="1:4" ht="49.5">
      <c r="A458" s="2" t="s">
        <v>175</v>
      </c>
      <c r="B458" s="2" t="s">
        <v>176</v>
      </c>
      <c r="C458" s="2" t="s">
        <v>124</v>
      </c>
      <c r="D458" s="2" t="s">
        <v>5</v>
      </c>
    </row>
    <row r="459" spans="1:4" ht="66">
      <c r="A459" s="2" t="s">
        <v>177</v>
      </c>
      <c r="B459" s="2" t="s">
        <v>178</v>
      </c>
      <c r="C459" s="2" t="s">
        <v>124</v>
      </c>
      <c r="D459" s="2" t="s">
        <v>11</v>
      </c>
    </row>
    <row r="460" spans="1:4" ht="66">
      <c r="A460" s="2" t="s">
        <v>179</v>
      </c>
      <c r="B460" s="2" t="s">
        <v>180</v>
      </c>
      <c r="C460" s="2" t="s">
        <v>124</v>
      </c>
      <c r="D460" s="2" t="s">
        <v>5</v>
      </c>
    </row>
    <row r="461" spans="1:4" ht="33">
      <c r="A461" s="2" t="s">
        <v>205</v>
      </c>
      <c r="B461" s="2" t="s">
        <v>206</v>
      </c>
      <c r="C461" s="2" t="s">
        <v>14</v>
      </c>
      <c r="D461" s="2" t="s">
        <v>11</v>
      </c>
    </row>
    <row r="462" spans="1:4" ht="33">
      <c r="A462" s="2" t="s">
        <v>207</v>
      </c>
      <c r="B462" s="2" t="s">
        <v>208</v>
      </c>
      <c r="C462" s="2" t="s">
        <v>14</v>
      </c>
      <c r="D462" s="2" t="s">
        <v>6</v>
      </c>
    </row>
    <row r="463" spans="1:4" ht="33">
      <c r="A463" s="2" t="s">
        <v>209</v>
      </c>
      <c r="B463" s="2" t="s">
        <v>210</v>
      </c>
      <c r="C463" s="2" t="s">
        <v>14</v>
      </c>
      <c r="D463" s="2" t="s">
        <v>11</v>
      </c>
    </row>
    <row r="464" spans="1:4" ht="33">
      <c r="A464" s="2" t="s">
        <v>211</v>
      </c>
      <c r="B464" s="2" t="s">
        <v>212</v>
      </c>
      <c r="C464" s="2" t="s">
        <v>14</v>
      </c>
      <c r="D464" s="2" t="s">
        <v>6</v>
      </c>
    </row>
    <row r="465" spans="1:4" ht="33">
      <c r="A465" s="2" t="s">
        <v>213</v>
      </c>
      <c r="B465" s="2" t="s">
        <v>214</v>
      </c>
      <c r="C465" s="2" t="s">
        <v>14</v>
      </c>
      <c r="D465" s="2" t="s">
        <v>6</v>
      </c>
    </row>
    <row r="466" spans="1:4" ht="33">
      <c r="A466" s="2" t="s">
        <v>215</v>
      </c>
      <c r="B466" s="2" t="s">
        <v>216</v>
      </c>
      <c r="C466" s="2" t="s">
        <v>14</v>
      </c>
      <c r="D466" s="2" t="s">
        <v>11</v>
      </c>
    </row>
    <row r="467" spans="1:4" ht="33">
      <c r="A467" s="2" t="s">
        <v>217</v>
      </c>
      <c r="B467" s="2" t="s">
        <v>218</v>
      </c>
      <c r="C467" s="2" t="s">
        <v>14</v>
      </c>
      <c r="D467" s="2" t="s">
        <v>9</v>
      </c>
    </row>
    <row r="468" spans="1:4" ht="49.5">
      <c r="A468" s="2" t="s">
        <v>231</v>
      </c>
      <c r="B468" s="2" t="s">
        <v>232</v>
      </c>
      <c r="C468" s="2" t="s">
        <v>14</v>
      </c>
      <c r="D468" s="2" t="s">
        <v>6</v>
      </c>
    </row>
    <row r="469" spans="1:4" ht="49.5">
      <c r="A469" s="2" t="s">
        <v>233</v>
      </c>
      <c r="B469" s="2" t="s">
        <v>234</v>
      </c>
      <c r="C469" s="2" t="s">
        <v>14</v>
      </c>
      <c r="D469" s="2" t="s">
        <v>6</v>
      </c>
    </row>
    <row r="470" spans="1:4" ht="49.5">
      <c r="A470" s="2" t="s">
        <v>235</v>
      </c>
      <c r="B470" s="2" t="s">
        <v>236</v>
      </c>
      <c r="C470" s="2" t="s">
        <v>14</v>
      </c>
      <c r="D470" s="2" t="s">
        <v>6</v>
      </c>
    </row>
    <row r="471" spans="1:4" ht="49.5">
      <c r="A471" s="2" t="s">
        <v>237</v>
      </c>
      <c r="B471" s="2" t="s">
        <v>238</v>
      </c>
      <c r="C471" s="2" t="s">
        <v>14</v>
      </c>
      <c r="D471" s="2" t="s">
        <v>6</v>
      </c>
    </row>
    <row r="472" spans="1:4" ht="49.5">
      <c r="A472" s="2" t="s">
        <v>244</v>
      </c>
      <c r="B472" s="2" t="s">
        <v>245</v>
      </c>
      <c r="C472" s="2" t="s">
        <v>14</v>
      </c>
      <c r="D472" s="2" t="s">
        <v>6</v>
      </c>
    </row>
    <row r="473" spans="1:4" ht="49.5">
      <c r="A473" s="2" t="s">
        <v>246</v>
      </c>
      <c r="B473" s="2" t="s">
        <v>247</v>
      </c>
      <c r="C473" s="2" t="s">
        <v>14</v>
      </c>
      <c r="D473" s="2" t="s">
        <v>6</v>
      </c>
    </row>
    <row r="474" spans="1:4" ht="49.5">
      <c r="A474" s="2" t="s">
        <v>248</v>
      </c>
      <c r="B474" s="2" t="s">
        <v>249</v>
      </c>
      <c r="C474" s="2" t="s">
        <v>14</v>
      </c>
      <c r="D474" s="2" t="s">
        <v>6</v>
      </c>
    </row>
    <row r="475" spans="1:4" ht="49.5">
      <c r="A475" s="2" t="s">
        <v>250</v>
      </c>
      <c r="B475" s="2" t="s">
        <v>251</v>
      </c>
      <c r="C475" s="2" t="s">
        <v>14</v>
      </c>
      <c r="D475" s="2" t="s">
        <v>6</v>
      </c>
    </row>
    <row r="476" spans="1:4" ht="49.5">
      <c r="A476" s="2" t="s">
        <v>270</v>
      </c>
      <c r="B476" s="2" t="s">
        <v>271</v>
      </c>
      <c r="C476" s="2" t="s">
        <v>14</v>
      </c>
      <c r="D476" s="2" t="s">
        <v>6</v>
      </c>
    </row>
    <row r="477" spans="1:4" ht="49.5">
      <c r="A477" s="2" t="s">
        <v>278</v>
      </c>
      <c r="B477" s="2" t="s">
        <v>279</v>
      </c>
      <c r="C477" s="2" t="s">
        <v>14</v>
      </c>
      <c r="D477" s="2" t="s">
        <v>6</v>
      </c>
    </row>
    <row r="478" spans="1:4" ht="49.5">
      <c r="A478" s="2" t="s">
        <v>286</v>
      </c>
      <c r="B478" s="2" t="s">
        <v>287</v>
      </c>
      <c r="C478" s="2" t="s">
        <v>14</v>
      </c>
      <c r="D478" s="2" t="s">
        <v>6</v>
      </c>
    </row>
    <row r="479" spans="1:4" ht="49.5">
      <c r="A479" s="2" t="s">
        <v>292</v>
      </c>
      <c r="B479" s="2" t="s">
        <v>293</v>
      </c>
      <c r="C479" s="2" t="s">
        <v>14</v>
      </c>
      <c r="D479" s="2" t="s">
        <v>6</v>
      </c>
    </row>
    <row r="480" spans="1:4" ht="49.5">
      <c r="A480" s="2" t="s">
        <v>296</v>
      </c>
      <c r="B480" s="2" t="s">
        <v>297</v>
      </c>
      <c r="C480" s="2" t="s">
        <v>14</v>
      </c>
      <c r="D480" s="2" t="s">
        <v>6</v>
      </c>
    </row>
    <row r="481" spans="1:4" ht="49.5">
      <c r="A481" s="2" t="s">
        <v>298</v>
      </c>
      <c r="B481" s="2" t="s">
        <v>299</v>
      </c>
      <c r="C481" s="2" t="s">
        <v>14</v>
      </c>
      <c r="D481" s="2" t="s">
        <v>6</v>
      </c>
    </row>
    <row r="482" spans="1:4" ht="49.5">
      <c r="A482" s="2" t="s">
        <v>300</v>
      </c>
      <c r="B482" s="2" t="s">
        <v>301</v>
      </c>
      <c r="C482" s="2" t="s">
        <v>14</v>
      </c>
      <c r="D482" s="2" t="s">
        <v>6</v>
      </c>
    </row>
    <row r="483" spans="1:4" ht="49.5">
      <c r="A483" s="2" t="s">
        <v>304</v>
      </c>
      <c r="B483" s="2" t="s">
        <v>305</v>
      </c>
      <c r="C483" s="2" t="s">
        <v>14</v>
      </c>
      <c r="D483" s="2" t="s">
        <v>6</v>
      </c>
    </row>
    <row r="484" spans="1:4" ht="49.5">
      <c r="A484" s="2" t="s">
        <v>306</v>
      </c>
      <c r="B484" s="2" t="s">
        <v>307</v>
      </c>
      <c r="C484" s="2" t="s">
        <v>14</v>
      </c>
      <c r="D484" s="2" t="s">
        <v>6</v>
      </c>
    </row>
    <row r="485" spans="1:4" ht="49.5">
      <c r="A485" s="2" t="s">
        <v>308</v>
      </c>
      <c r="B485" s="2" t="s">
        <v>309</v>
      </c>
      <c r="C485" s="2" t="s">
        <v>14</v>
      </c>
      <c r="D485" s="2" t="s">
        <v>6</v>
      </c>
    </row>
    <row r="486" spans="1:4" ht="49.5">
      <c r="A486" s="2" t="s">
        <v>314</v>
      </c>
      <c r="B486" s="2" t="s">
        <v>315</v>
      </c>
      <c r="C486" s="2" t="s">
        <v>14</v>
      </c>
      <c r="D486" s="2" t="s">
        <v>6</v>
      </c>
    </row>
    <row r="487" spans="1:4" ht="49.5">
      <c r="A487" s="2" t="s">
        <v>320</v>
      </c>
      <c r="B487" s="2" t="s">
        <v>321</v>
      </c>
      <c r="C487" s="2" t="s">
        <v>14</v>
      </c>
      <c r="D487" s="2" t="s">
        <v>6</v>
      </c>
    </row>
    <row r="488" spans="1:4" ht="49.5">
      <c r="A488" s="2" t="s">
        <v>354</v>
      </c>
      <c r="B488" s="2" t="s">
        <v>355</v>
      </c>
      <c r="C488" s="2" t="s">
        <v>14</v>
      </c>
      <c r="D488" s="2" t="s">
        <v>9</v>
      </c>
    </row>
    <row r="489" spans="1:4" ht="49.5">
      <c r="A489" s="2" t="s">
        <v>366</v>
      </c>
      <c r="B489" s="2" t="s">
        <v>367</v>
      </c>
      <c r="C489" s="2" t="s">
        <v>14</v>
      </c>
      <c r="D489" s="2" t="s">
        <v>9</v>
      </c>
    </row>
    <row r="490" spans="1:4" ht="49.5">
      <c r="A490" s="2" t="s">
        <v>380</v>
      </c>
      <c r="B490" s="2" t="s">
        <v>381</v>
      </c>
      <c r="C490" s="2" t="s">
        <v>14</v>
      </c>
      <c r="D490" s="2" t="s">
        <v>6</v>
      </c>
    </row>
    <row r="491" spans="1:4" ht="49.5">
      <c r="A491" s="2" t="s">
        <v>384</v>
      </c>
      <c r="B491" s="2" t="s">
        <v>385</v>
      </c>
      <c r="C491" s="2" t="s">
        <v>14</v>
      </c>
      <c r="D491" s="2" t="s">
        <v>6</v>
      </c>
    </row>
    <row r="492" spans="1:4" ht="49.5">
      <c r="A492" s="2" t="s">
        <v>388</v>
      </c>
      <c r="B492" s="2" t="s">
        <v>389</v>
      </c>
      <c r="C492" s="2" t="s">
        <v>14</v>
      </c>
      <c r="D492" s="2" t="s">
        <v>6</v>
      </c>
    </row>
    <row r="493" spans="1:4" ht="49.5">
      <c r="A493" s="2" t="s">
        <v>390</v>
      </c>
      <c r="B493" s="2" t="s">
        <v>391</v>
      </c>
      <c r="C493" s="2" t="s">
        <v>14</v>
      </c>
      <c r="D493" s="2" t="s">
        <v>6</v>
      </c>
    </row>
    <row r="494" spans="1:4" ht="33">
      <c r="A494" s="2" t="s">
        <v>396</v>
      </c>
      <c r="B494" s="2" t="s">
        <v>397</v>
      </c>
      <c r="C494" s="2" t="s">
        <v>14</v>
      </c>
      <c r="D494" s="2" t="s">
        <v>9</v>
      </c>
    </row>
    <row r="495" spans="1:4" ht="49.5">
      <c r="A495" s="2" t="s">
        <v>402</v>
      </c>
      <c r="B495" s="2" t="s">
        <v>403</v>
      </c>
      <c r="C495" s="2" t="s">
        <v>14</v>
      </c>
      <c r="D495" s="2" t="s">
        <v>6</v>
      </c>
    </row>
    <row r="496" spans="1:4" ht="49.5">
      <c r="A496" s="2" t="s">
        <v>404</v>
      </c>
      <c r="B496" s="2" t="s">
        <v>405</v>
      </c>
      <c r="C496" s="2" t="s">
        <v>14</v>
      </c>
      <c r="D496" s="2" t="s">
        <v>6</v>
      </c>
    </row>
    <row r="497" spans="1:4" ht="49.5">
      <c r="A497" s="2" t="s">
        <v>418</v>
      </c>
      <c r="B497" s="2" t="s">
        <v>419</v>
      </c>
      <c r="C497" s="2" t="s">
        <v>14</v>
      </c>
      <c r="D497" s="2" t="s">
        <v>6</v>
      </c>
    </row>
    <row r="498" spans="1:4" ht="49.5">
      <c r="A498" s="2" t="s">
        <v>422</v>
      </c>
      <c r="B498" s="2" t="s">
        <v>423</v>
      </c>
      <c r="C498" s="2" t="s">
        <v>14</v>
      </c>
      <c r="D498" s="2" t="s">
        <v>6</v>
      </c>
    </row>
    <row r="499" spans="1:4" ht="49.5">
      <c r="A499" s="2" t="s">
        <v>426</v>
      </c>
      <c r="B499" s="2" t="s">
        <v>427</v>
      </c>
      <c r="C499" s="2" t="s">
        <v>14</v>
      </c>
      <c r="D499" s="2" t="s">
        <v>6</v>
      </c>
    </row>
    <row r="500" spans="1:4" ht="49.5">
      <c r="A500" s="2" t="s">
        <v>434</v>
      </c>
      <c r="B500" s="2" t="s">
        <v>435</v>
      </c>
      <c r="C500" s="2" t="s">
        <v>14</v>
      </c>
      <c r="D500" s="2" t="s">
        <v>6</v>
      </c>
    </row>
    <row r="501" spans="1:4" ht="49.5">
      <c r="A501" s="2" t="s">
        <v>438</v>
      </c>
      <c r="B501" s="2" t="s">
        <v>439</v>
      </c>
      <c r="C501" s="2" t="s">
        <v>14</v>
      </c>
      <c r="D501" s="2" t="s">
        <v>11</v>
      </c>
    </row>
    <row r="502" spans="1:4" ht="49.5">
      <c r="A502" s="2" t="s">
        <v>450</v>
      </c>
      <c r="B502" s="2" t="s">
        <v>451</v>
      </c>
      <c r="C502" s="2" t="s">
        <v>14</v>
      </c>
      <c r="D502" s="2" t="s">
        <v>6</v>
      </c>
    </row>
    <row r="503" spans="1:4" ht="49.5">
      <c r="A503" s="2" t="s">
        <v>498</v>
      </c>
      <c r="B503" s="2" t="s">
        <v>499</v>
      </c>
      <c r="C503" s="2" t="s">
        <v>14</v>
      </c>
      <c r="D503" s="2" t="s">
        <v>11</v>
      </c>
    </row>
    <row r="504" spans="1:4" ht="49.5">
      <c r="A504" s="2" t="s">
        <v>500</v>
      </c>
      <c r="B504" s="2" t="s">
        <v>501</v>
      </c>
      <c r="C504" s="2" t="s">
        <v>14</v>
      </c>
      <c r="D504" s="2" t="s">
        <v>6</v>
      </c>
    </row>
    <row r="505" spans="1:4" ht="49.5">
      <c r="A505" s="2" t="s">
        <v>506</v>
      </c>
      <c r="B505" s="2" t="s">
        <v>507</v>
      </c>
      <c r="C505" s="2" t="s">
        <v>14</v>
      </c>
      <c r="D505" s="2" t="s">
        <v>6</v>
      </c>
    </row>
    <row r="506" spans="1:4" ht="49.5">
      <c r="A506" s="2" t="s">
        <v>508</v>
      </c>
      <c r="B506" s="2" t="s">
        <v>509</v>
      </c>
      <c r="C506" s="2" t="s">
        <v>14</v>
      </c>
      <c r="D506" s="2" t="s">
        <v>6</v>
      </c>
    </row>
    <row r="507" spans="1:4" ht="49.5">
      <c r="A507" s="2" t="s">
        <v>510</v>
      </c>
      <c r="B507" s="2" t="s">
        <v>511</v>
      </c>
      <c r="C507" s="2" t="s">
        <v>14</v>
      </c>
      <c r="D507" s="2" t="s">
        <v>6</v>
      </c>
    </row>
    <row r="508" spans="1:4" ht="49.5">
      <c r="A508" s="2" t="s">
        <v>512</v>
      </c>
      <c r="B508" s="2" t="s">
        <v>513</v>
      </c>
      <c r="C508" s="2" t="s">
        <v>14</v>
      </c>
      <c r="D508" s="2" t="s">
        <v>9</v>
      </c>
    </row>
    <row r="509" spans="1:4" ht="49.5">
      <c r="A509" s="2" t="s">
        <v>516</v>
      </c>
      <c r="B509" s="2" t="s">
        <v>517</v>
      </c>
      <c r="C509" s="2" t="s">
        <v>14</v>
      </c>
      <c r="D509" s="2" t="s">
        <v>6</v>
      </c>
    </row>
    <row r="510" spans="1:4" ht="49.5">
      <c r="A510" s="2" t="s">
        <v>522</v>
      </c>
      <c r="B510" s="2" t="s">
        <v>523</v>
      </c>
      <c r="C510" s="2" t="s">
        <v>14</v>
      </c>
      <c r="D510" s="2" t="s">
        <v>6</v>
      </c>
    </row>
    <row r="511" spans="1:4" ht="49.5">
      <c r="A511" s="2" t="s">
        <v>526</v>
      </c>
      <c r="B511" s="2" t="s">
        <v>527</v>
      </c>
      <c r="C511" s="2" t="s">
        <v>14</v>
      </c>
      <c r="D511" s="2" t="s">
        <v>6</v>
      </c>
    </row>
    <row r="512" spans="1:4" ht="49.5">
      <c r="A512" s="2" t="s">
        <v>528</v>
      </c>
      <c r="B512" s="2" t="s">
        <v>529</v>
      </c>
      <c r="C512" s="2" t="s">
        <v>14</v>
      </c>
      <c r="D512" s="2" t="s">
        <v>6</v>
      </c>
    </row>
    <row r="513" spans="1:4" ht="49.5">
      <c r="A513" s="2" t="s">
        <v>530</v>
      </c>
      <c r="B513" s="2" t="s">
        <v>531</v>
      </c>
      <c r="C513" s="2" t="s">
        <v>14</v>
      </c>
      <c r="D513" s="2" t="s">
        <v>6</v>
      </c>
    </row>
    <row r="514" spans="1:4" ht="33">
      <c r="A514" s="2" t="s">
        <v>538</v>
      </c>
      <c r="B514" s="2" t="s">
        <v>539</v>
      </c>
      <c r="C514" s="2" t="s">
        <v>14</v>
      </c>
      <c r="D514" s="2" t="s">
        <v>6</v>
      </c>
    </row>
    <row r="515" spans="1:4" ht="49.5">
      <c r="A515" s="2" t="s">
        <v>540</v>
      </c>
      <c r="B515" s="2" t="s">
        <v>541</v>
      </c>
      <c r="C515" s="2" t="s">
        <v>14</v>
      </c>
      <c r="D515" s="2" t="s">
        <v>6</v>
      </c>
    </row>
    <row r="516" spans="1:4" ht="49.5">
      <c r="A516" s="2" t="s">
        <v>542</v>
      </c>
      <c r="B516" s="2" t="s">
        <v>543</v>
      </c>
      <c r="C516" s="2" t="s">
        <v>14</v>
      </c>
      <c r="D516" s="2" t="s">
        <v>6</v>
      </c>
    </row>
    <row r="517" spans="1:4" ht="49.5">
      <c r="A517" s="2" t="s">
        <v>544</v>
      </c>
      <c r="B517" s="2" t="s">
        <v>545</v>
      </c>
      <c r="C517" s="2" t="s">
        <v>14</v>
      </c>
      <c r="D517" s="2" t="s">
        <v>6</v>
      </c>
    </row>
    <row r="518" spans="1:4" ht="49.5">
      <c r="A518" s="2" t="s">
        <v>546</v>
      </c>
      <c r="B518" s="2" t="s">
        <v>547</v>
      </c>
      <c r="C518" s="2" t="s">
        <v>14</v>
      </c>
      <c r="D518" s="2" t="s">
        <v>6</v>
      </c>
    </row>
    <row r="519" spans="1:4" ht="49.5">
      <c r="A519" s="2" t="s">
        <v>562</v>
      </c>
      <c r="B519" s="2" t="s">
        <v>563</v>
      </c>
      <c r="C519" s="2" t="s">
        <v>14</v>
      </c>
      <c r="D519" s="2" t="s">
        <v>6</v>
      </c>
    </row>
    <row r="520" spans="1:4" ht="82.5">
      <c r="A520" s="2" t="s">
        <v>590</v>
      </c>
      <c r="B520" s="2" t="s">
        <v>591</v>
      </c>
      <c r="C520" s="2" t="s">
        <v>14</v>
      </c>
      <c r="D520" s="2" t="s">
        <v>6</v>
      </c>
    </row>
    <row r="521" spans="1:4" ht="82.5">
      <c r="A521" s="2" t="s">
        <v>592</v>
      </c>
      <c r="B521" s="2" t="s">
        <v>593</v>
      </c>
      <c r="C521" s="2" t="s">
        <v>14</v>
      </c>
      <c r="D521" s="2" t="s">
        <v>6</v>
      </c>
    </row>
    <row r="522" spans="1:4" ht="82.5">
      <c r="A522" s="2" t="s">
        <v>594</v>
      </c>
      <c r="B522" s="2" t="s">
        <v>595</v>
      </c>
      <c r="C522" s="2" t="s">
        <v>14</v>
      </c>
      <c r="D522" s="2" t="s">
        <v>6</v>
      </c>
    </row>
    <row r="523" spans="1:4" ht="82.5">
      <c r="A523" s="2" t="s">
        <v>596</v>
      </c>
      <c r="B523" s="2" t="s">
        <v>597</v>
      </c>
      <c r="C523" s="2" t="s">
        <v>14</v>
      </c>
      <c r="D523" s="2" t="s">
        <v>6</v>
      </c>
    </row>
    <row r="524" spans="1:4" ht="66">
      <c r="A524" s="2" t="s">
        <v>602</v>
      </c>
      <c r="B524" s="2" t="s">
        <v>603</v>
      </c>
      <c r="C524" s="2" t="s">
        <v>14</v>
      </c>
      <c r="D524" s="2" t="s">
        <v>6</v>
      </c>
    </row>
    <row r="525" spans="1:4" ht="66">
      <c r="A525" s="2" t="s">
        <v>606</v>
      </c>
      <c r="B525" s="2" t="s">
        <v>607</v>
      </c>
      <c r="C525" s="2" t="s">
        <v>14</v>
      </c>
      <c r="D525" s="2" t="s">
        <v>9</v>
      </c>
    </row>
    <row r="526" spans="1:4" ht="66">
      <c r="A526" s="2" t="s">
        <v>614</v>
      </c>
      <c r="B526" s="2" t="s">
        <v>615</v>
      </c>
      <c r="C526" s="2" t="s">
        <v>14</v>
      </c>
      <c r="D526" s="2" t="s">
        <v>6</v>
      </c>
    </row>
    <row r="527" spans="1:4" ht="66">
      <c r="A527" s="2" t="s">
        <v>616</v>
      </c>
      <c r="B527" s="2" t="s">
        <v>617</v>
      </c>
      <c r="C527" s="2" t="s">
        <v>14</v>
      </c>
      <c r="D527" s="2" t="s">
        <v>6</v>
      </c>
    </row>
    <row r="528" spans="1:4" ht="66">
      <c r="A528" s="2" t="s">
        <v>638</v>
      </c>
      <c r="B528" s="2" t="s">
        <v>639</v>
      </c>
      <c r="C528" s="2" t="s">
        <v>14</v>
      </c>
      <c r="D528" s="2" t="s">
        <v>6</v>
      </c>
    </row>
    <row r="529" spans="1:4" ht="49.5">
      <c r="A529" s="2" t="s">
        <v>652</v>
      </c>
      <c r="B529" s="2" t="s">
        <v>653</v>
      </c>
      <c r="C529" s="2" t="s">
        <v>14</v>
      </c>
      <c r="D529" s="2" t="s">
        <v>6</v>
      </c>
    </row>
    <row r="530" spans="1:4" ht="49.5">
      <c r="A530" s="2" t="s">
        <v>654</v>
      </c>
      <c r="B530" s="2" t="s">
        <v>655</v>
      </c>
      <c r="C530" s="2" t="s">
        <v>14</v>
      </c>
      <c r="D530" s="2" t="s">
        <v>6</v>
      </c>
    </row>
    <row r="531" spans="1:4" ht="33">
      <c r="A531" s="2" t="s">
        <v>658</v>
      </c>
      <c r="B531" s="2" t="s">
        <v>659</v>
      </c>
      <c r="C531" s="2" t="s">
        <v>14</v>
      </c>
      <c r="D531" s="2" t="s">
        <v>9</v>
      </c>
    </row>
    <row r="532" spans="1:4" ht="49.5">
      <c r="A532" s="2" t="s">
        <v>676</v>
      </c>
      <c r="B532" s="2" t="s">
        <v>677</v>
      </c>
      <c r="C532" s="2" t="s">
        <v>14</v>
      </c>
      <c r="D532" s="2" t="s">
        <v>6</v>
      </c>
    </row>
    <row r="533" spans="1:4" ht="49.5">
      <c r="A533" s="2" t="s">
        <v>678</v>
      </c>
      <c r="B533" s="2" t="s">
        <v>679</v>
      </c>
      <c r="C533" s="2" t="s">
        <v>14</v>
      </c>
      <c r="D533" s="2" t="s">
        <v>6</v>
      </c>
    </row>
    <row r="534" spans="1:4" ht="49.5">
      <c r="A534" s="2" t="s">
        <v>680</v>
      </c>
      <c r="B534" s="2" t="s">
        <v>681</v>
      </c>
      <c r="C534" s="2" t="s">
        <v>14</v>
      </c>
      <c r="D534" s="2" t="s">
        <v>6</v>
      </c>
    </row>
    <row r="535" spans="1:4" ht="33">
      <c r="A535" s="2" t="s">
        <v>732</v>
      </c>
      <c r="B535" s="2" t="s">
        <v>733</v>
      </c>
      <c r="C535" s="2" t="s">
        <v>14</v>
      </c>
      <c r="D535" s="2" t="s">
        <v>9</v>
      </c>
    </row>
    <row r="536" spans="1:4" ht="49.5">
      <c r="A536" s="2" t="s">
        <v>734</v>
      </c>
      <c r="B536" s="2" t="s">
        <v>735</v>
      </c>
      <c r="C536" s="2" t="s">
        <v>14</v>
      </c>
      <c r="D536" s="2" t="s">
        <v>6</v>
      </c>
    </row>
    <row r="537" spans="1:4" ht="33">
      <c r="A537" s="2" t="s">
        <v>736</v>
      </c>
      <c r="B537" s="2" t="s">
        <v>737</v>
      </c>
      <c r="C537" s="2" t="s">
        <v>14</v>
      </c>
      <c r="D537" s="2" t="s">
        <v>6</v>
      </c>
    </row>
    <row r="538" spans="1:4" ht="33">
      <c r="A538" s="2" t="s">
        <v>738</v>
      </c>
      <c r="B538" s="2" t="s">
        <v>739</v>
      </c>
      <c r="C538" s="2" t="s">
        <v>14</v>
      </c>
      <c r="D538" s="2" t="s">
        <v>6</v>
      </c>
    </row>
    <row r="539" spans="1:4" ht="33">
      <c r="A539" s="2" t="s">
        <v>740</v>
      </c>
      <c r="B539" s="2" t="s">
        <v>741</v>
      </c>
      <c r="C539" s="2" t="s">
        <v>14</v>
      </c>
      <c r="D539" s="2" t="s">
        <v>9</v>
      </c>
    </row>
    <row r="540" spans="1:4" ht="49.5">
      <c r="A540" s="2" t="s">
        <v>742</v>
      </c>
      <c r="B540" s="2" t="s">
        <v>743</v>
      </c>
      <c r="C540" s="2" t="s">
        <v>14</v>
      </c>
      <c r="D540" s="2" t="s">
        <v>9</v>
      </c>
    </row>
    <row r="541" spans="1:4" ht="33">
      <c r="A541" s="2" t="s">
        <v>744</v>
      </c>
      <c r="B541" s="2" t="s">
        <v>745</v>
      </c>
      <c r="C541" s="2" t="s">
        <v>14</v>
      </c>
      <c r="D541" s="2" t="s">
        <v>6</v>
      </c>
    </row>
    <row r="542" spans="1:4" ht="33">
      <c r="A542" s="2" t="s">
        <v>746</v>
      </c>
      <c r="B542" s="2" t="s">
        <v>747</v>
      </c>
      <c r="C542" s="2" t="s">
        <v>14</v>
      </c>
      <c r="D542" s="2" t="s">
        <v>9</v>
      </c>
    </row>
    <row r="543" spans="1:4" ht="33">
      <c r="A543" s="2" t="s">
        <v>748</v>
      </c>
      <c r="B543" s="2" t="s">
        <v>749</v>
      </c>
      <c r="C543" s="2" t="s">
        <v>14</v>
      </c>
      <c r="D543" s="2" t="s">
        <v>6</v>
      </c>
    </row>
    <row r="544" spans="1:4" ht="33">
      <c r="A544" s="2" t="s">
        <v>750</v>
      </c>
      <c r="B544" s="2" t="s">
        <v>751</v>
      </c>
      <c r="C544" s="2" t="s">
        <v>14</v>
      </c>
      <c r="D544" s="2" t="s">
        <v>6</v>
      </c>
    </row>
    <row r="545" spans="1:4" ht="33">
      <c r="A545" s="2" t="s">
        <v>752</v>
      </c>
      <c r="B545" s="2" t="s">
        <v>753</v>
      </c>
      <c r="C545" s="2" t="s">
        <v>14</v>
      </c>
      <c r="D545" s="2" t="s">
        <v>6</v>
      </c>
    </row>
    <row r="546" spans="1:4" ht="49.5">
      <c r="A546" s="2" t="s">
        <v>754</v>
      </c>
      <c r="B546" s="2" t="s">
        <v>755</v>
      </c>
      <c r="C546" s="2" t="s">
        <v>14</v>
      </c>
      <c r="D546" s="2" t="s">
        <v>6</v>
      </c>
    </row>
    <row r="547" spans="1:4" ht="49.5">
      <c r="A547" s="2" t="s">
        <v>756</v>
      </c>
      <c r="B547" s="2" t="s">
        <v>757</v>
      </c>
      <c r="C547" s="2" t="s">
        <v>14</v>
      </c>
      <c r="D547" s="2" t="s">
        <v>6</v>
      </c>
    </row>
    <row r="548" spans="1:4" ht="33">
      <c r="A548" s="2" t="s">
        <v>758</v>
      </c>
      <c r="B548" s="2" t="s">
        <v>759</v>
      </c>
      <c r="C548" s="2" t="s">
        <v>14</v>
      </c>
      <c r="D548" s="2" t="s">
        <v>6</v>
      </c>
    </row>
    <row r="549" spans="1:4" ht="49.5">
      <c r="A549" s="2" t="s">
        <v>760</v>
      </c>
      <c r="B549" s="2" t="s">
        <v>761</v>
      </c>
      <c r="C549" s="2" t="s">
        <v>14</v>
      </c>
      <c r="D549" s="2" t="s">
        <v>6</v>
      </c>
    </row>
    <row r="550" spans="1:4" ht="33">
      <c r="A550" s="2" t="s">
        <v>764</v>
      </c>
      <c r="B550" s="2" t="s">
        <v>765</v>
      </c>
      <c r="C550" s="2" t="s">
        <v>14</v>
      </c>
      <c r="D550" s="2" t="s">
        <v>9</v>
      </c>
    </row>
    <row r="551" spans="1:4" ht="49.5">
      <c r="A551" s="2" t="s">
        <v>770</v>
      </c>
      <c r="B551" s="2" t="s">
        <v>771</v>
      </c>
      <c r="C551" s="2" t="s">
        <v>14</v>
      </c>
      <c r="D551" s="2" t="s">
        <v>6</v>
      </c>
    </row>
    <row r="552" spans="1:4" ht="66">
      <c r="A552" s="2" t="s">
        <v>772</v>
      </c>
      <c r="B552" s="2" t="s">
        <v>773</v>
      </c>
      <c r="C552" s="2" t="s">
        <v>14</v>
      </c>
      <c r="D552" s="2" t="s">
        <v>6</v>
      </c>
    </row>
    <row r="553" spans="1:4" ht="66">
      <c r="A553" s="2" t="s">
        <v>774</v>
      </c>
      <c r="B553" s="2" t="s">
        <v>775</v>
      </c>
      <c r="C553" s="2" t="s">
        <v>14</v>
      </c>
      <c r="D553" s="2" t="s">
        <v>6</v>
      </c>
    </row>
    <row r="554" spans="1:4" ht="66">
      <c r="A554" s="2" t="s">
        <v>776</v>
      </c>
      <c r="B554" s="2" t="s">
        <v>777</v>
      </c>
      <c r="C554" s="2" t="s">
        <v>14</v>
      </c>
      <c r="D554" s="2" t="s">
        <v>6</v>
      </c>
    </row>
    <row r="555" spans="1:4" ht="66">
      <c r="A555" s="2" t="s">
        <v>794</v>
      </c>
      <c r="B555" s="2" t="s">
        <v>795</v>
      </c>
      <c r="C555" s="2" t="s">
        <v>14</v>
      </c>
      <c r="D555" s="2" t="s">
        <v>6</v>
      </c>
    </row>
    <row r="556" spans="1:4" ht="66">
      <c r="A556" s="2" t="s">
        <v>796</v>
      </c>
      <c r="B556" s="2" t="s">
        <v>797</v>
      </c>
      <c r="C556" s="2" t="s">
        <v>14</v>
      </c>
      <c r="D556" s="2" t="s">
        <v>6</v>
      </c>
    </row>
    <row r="557" spans="1:4" ht="66">
      <c r="A557" s="2" t="s">
        <v>800</v>
      </c>
      <c r="B557" s="2" t="s">
        <v>801</v>
      </c>
      <c r="C557" s="2" t="s">
        <v>14</v>
      </c>
      <c r="D557" s="2" t="s">
        <v>6</v>
      </c>
    </row>
    <row r="558" spans="1:4" ht="66">
      <c r="A558" s="2" t="s">
        <v>802</v>
      </c>
      <c r="B558" s="2" t="s">
        <v>803</v>
      </c>
      <c r="C558" s="2" t="s">
        <v>14</v>
      </c>
      <c r="D558" s="2" t="s">
        <v>6</v>
      </c>
    </row>
    <row r="559" spans="1:4" ht="66">
      <c r="A559" s="2" t="s">
        <v>804</v>
      </c>
      <c r="B559" s="2" t="s">
        <v>805</v>
      </c>
      <c r="C559" s="2" t="s">
        <v>14</v>
      </c>
      <c r="D559" s="2" t="s">
        <v>6</v>
      </c>
    </row>
    <row r="560" spans="1:4" ht="66">
      <c r="A560" s="2" t="s">
        <v>820</v>
      </c>
      <c r="B560" s="2" t="s">
        <v>821</v>
      </c>
      <c r="C560" s="2" t="s">
        <v>14</v>
      </c>
      <c r="D560" s="2" t="s">
        <v>6</v>
      </c>
    </row>
    <row r="561" spans="1:4" ht="66">
      <c r="A561" s="2" t="s">
        <v>822</v>
      </c>
      <c r="B561" s="2" t="s">
        <v>823</v>
      </c>
      <c r="C561" s="2" t="s">
        <v>14</v>
      </c>
      <c r="D561" s="2" t="s">
        <v>6</v>
      </c>
    </row>
    <row r="562" spans="1:4" ht="66">
      <c r="A562" s="2" t="s">
        <v>824</v>
      </c>
      <c r="B562" s="2" t="s">
        <v>825</v>
      </c>
      <c r="C562" s="2" t="s">
        <v>14</v>
      </c>
      <c r="D562" s="2" t="s">
        <v>6</v>
      </c>
    </row>
    <row r="563" spans="1:4" ht="66">
      <c r="A563" s="2" t="s">
        <v>826</v>
      </c>
      <c r="B563" s="2" t="s">
        <v>827</v>
      </c>
      <c r="C563" s="2" t="s">
        <v>14</v>
      </c>
      <c r="D563" s="2" t="s">
        <v>6</v>
      </c>
    </row>
    <row r="564" spans="1:4" ht="66">
      <c r="A564" s="2" t="s">
        <v>828</v>
      </c>
      <c r="B564" s="2" t="s">
        <v>829</v>
      </c>
      <c r="C564" s="2" t="s">
        <v>14</v>
      </c>
      <c r="D564" s="2" t="s">
        <v>6</v>
      </c>
    </row>
    <row r="565" spans="1:4" ht="66">
      <c r="A565" s="2" t="s">
        <v>844</v>
      </c>
      <c r="B565" s="2" t="s">
        <v>845</v>
      </c>
      <c r="C565" s="2" t="s">
        <v>14</v>
      </c>
      <c r="D565" s="2" t="s">
        <v>6</v>
      </c>
    </row>
    <row r="566" spans="1:4" ht="66">
      <c r="A566" s="2" t="s">
        <v>846</v>
      </c>
      <c r="B566" s="2" t="s">
        <v>847</v>
      </c>
      <c r="C566" s="2" t="s">
        <v>14</v>
      </c>
      <c r="D566" s="2" t="s">
        <v>6</v>
      </c>
    </row>
    <row r="567" spans="1:4" ht="66">
      <c r="A567" s="2" t="s">
        <v>848</v>
      </c>
      <c r="B567" s="2" t="s">
        <v>849</v>
      </c>
      <c r="C567" s="2" t="s">
        <v>14</v>
      </c>
      <c r="D567" s="2" t="s">
        <v>6</v>
      </c>
    </row>
    <row r="568" spans="1:4" ht="66">
      <c r="A568" s="2" t="s">
        <v>850</v>
      </c>
      <c r="B568" s="2" t="s">
        <v>851</v>
      </c>
      <c r="C568" s="2" t="s">
        <v>14</v>
      </c>
      <c r="D568" s="2" t="s">
        <v>6</v>
      </c>
    </row>
    <row r="569" spans="1:4" ht="66">
      <c r="A569" s="2" t="s">
        <v>852</v>
      </c>
      <c r="B569" s="2" t="s">
        <v>853</v>
      </c>
      <c r="C569" s="2" t="s">
        <v>14</v>
      </c>
      <c r="D569" s="2" t="s">
        <v>6</v>
      </c>
    </row>
    <row r="570" spans="1:4" ht="66">
      <c r="A570" s="2" t="s">
        <v>854</v>
      </c>
      <c r="B570" s="2" t="s">
        <v>855</v>
      </c>
      <c r="C570" s="2" t="s">
        <v>14</v>
      </c>
      <c r="D570" s="2" t="s">
        <v>6</v>
      </c>
    </row>
    <row r="571" spans="1:4" ht="66">
      <c r="A571" s="2" t="s">
        <v>860</v>
      </c>
      <c r="B571" s="2" t="s">
        <v>861</v>
      </c>
      <c r="C571" s="2" t="s">
        <v>14</v>
      </c>
      <c r="D571" s="2" t="s">
        <v>6</v>
      </c>
    </row>
    <row r="572" spans="1:4" ht="66">
      <c r="A572" s="2" t="s">
        <v>876</v>
      </c>
      <c r="B572" s="2" t="s">
        <v>877</v>
      </c>
      <c r="C572" s="2" t="s">
        <v>14</v>
      </c>
      <c r="D572" s="2" t="s">
        <v>6</v>
      </c>
    </row>
    <row r="573" spans="1:4" ht="66">
      <c r="A573" s="2" t="s">
        <v>878</v>
      </c>
      <c r="B573" s="2" t="s">
        <v>879</v>
      </c>
      <c r="C573" s="2" t="s">
        <v>14</v>
      </c>
      <c r="D573" s="2" t="s">
        <v>6</v>
      </c>
    </row>
    <row r="574" spans="1:4" ht="66">
      <c r="A574" s="2" t="s">
        <v>880</v>
      </c>
      <c r="B574" s="2" t="s">
        <v>881</v>
      </c>
      <c r="C574" s="2" t="s">
        <v>14</v>
      </c>
      <c r="D574" s="2" t="s">
        <v>6</v>
      </c>
    </row>
    <row r="575" spans="1:4" ht="66">
      <c r="A575" s="2" t="s">
        <v>882</v>
      </c>
      <c r="B575" s="2" t="s">
        <v>883</v>
      </c>
      <c r="C575" s="2" t="s">
        <v>14</v>
      </c>
      <c r="D575" s="2" t="s">
        <v>6</v>
      </c>
    </row>
    <row r="576" spans="1:4" ht="66">
      <c r="A576" s="2" t="s">
        <v>884</v>
      </c>
      <c r="B576" s="2" t="s">
        <v>885</v>
      </c>
      <c r="C576" s="2" t="s">
        <v>14</v>
      </c>
      <c r="D576" s="2" t="s">
        <v>6</v>
      </c>
    </row>
    <row r="577" spans="1:4" ht="66">
      <c r="A577" s="2" t="s">
        <v>886</v>
      </c>
      <c r="B577" s="2" t="s">
        <v>887</v>
      </c>
      <c r="C577" s="2" t="s">
        <v>14</v>
      </c>
      <c r="D577" s="2" t="s">
        <v>6</v>
      </c>
    </row>
    <row r="578" spans="1:4" ht="66">
      <c r="A578" s="2" t="s">
        <v>890</v>
      </c>
      <c r="B578" s="2" t="s">
        <v>891</v>
      </c>
      <c r="C578" s="2" t="s">
        <v>14</v>
      </c>
      <c r="D578" s="2" t="s">
        <v>11</v>
      </c>
    </row>
    <row r="579" spans="1:4" ht="66">
      <c r="A579" s="2" t="s">
        <v>906</v>
      </c>
      <c r="B579" s="2" t="s">
        <v>907</v>
      </c>
      <c r="C579" s="2" t="s">
        <v>14</v>
      </c>
      <c r="D579" s="2" t="s">
        <v>9</v>
      </c>
    </row>
    <row r="580" spans="1:4" ht="33">
      <c r="A580" s="2" t="s">
        <v>952</v>
      </c>
      <c r="B580" s="2" t="s">
        <v>953</v>
      </c>
      <c r="C580" s="2" t="s">
        <v>14</v>
      </c>
      <c r="D580" s="2" t="s">
        <v>6</v>
      </c>
    </row>
    <row r="581" spans="1:4" ht="49.5">
      <c r="A581" s="2" t="s">
        <v>958</v>
      </c>
      <c r="B581" s="2" t="s">
        <v>959</v>
      </c>
      <c r="C581" s="2" t="s">
        <v>14</v>
      </c>
      <c r="D581" s="2" t="s">
        <v>6</v>
      </c>
    </row>
    <row r="582" spans="1:4" ht="49.5">
      <c r="A582" s="2" t="s">
        <v>960</v>
      </c>
      <c r="B582" s="2" t="s">
        <v>961</v>
      </c>
      <c r="C582" s="2" t="s">
        <v>14</v>
      </c>
      <c r="D582" s="2" t="s">
        <v>6</v>
      </c>
    </row>
    <row r="583" spans="1:4" ht="49.5">
      <c r="A583" s="2" t="s">
        <v>962</v>
      </c>
      <c r="B583" s="2" t="s">
        <v>963</v>
      </c>
      <c r="C583" s="2" t="s">
        <v>14</v>
      </c>
      <c r="D583" s="2" t="s">
        <v>6</v>
      </c>
    </row>
    <row r="584" spans="1:4" ht="49.5">
      <c r="A584" s="2" t="s">
        <v>964</v>
      </c>
      <c r="B584" s="2" t="s">
        <v>965</v>
      </c>
      <c r="C584" s="2" t="s">
        <v>14</v>
      </c>
      <c r="D584" s="2" t="s">
        <v>6</v>
      </c>
    </row>
    <row r="585" spans="1:4" ht="49.5">
      <c r="A585" s="2" t="s">
        <v>966</v>
      </c>
      <c r="B585" s="2" t="s">
        <v>967</v>
      </c>
      <c r="C585" s="2" t="s">
        <v>14</v>
      </c>
      <c r="D585" s="2" t="s">
        <v>6</v>
      </c>
    </row>
    <row r="586" spans="1:4" ht="49.5">
      <c r="A586" s="2" t="s">
        <v>968</v>
      </c>
      <c r="B586" s="2" t="s">
        <v>969</v>
      </c>
      <c r="C586" s="2" t="s">
        <v>14</v>
      </c>
      <c r="D586" s="2" t="s">
        <v>6</v>
      </c>
    </row>
    <row r="587" spans="1:4" ht="49.5">
      <c r="A587" s="2" t="s">
        <v>970</v>
      </c>
      <c r="B587" s="2" t="s">
        <v>971</v>
      </c>
      <c r="C587" s="2" t="s">
        <v>14</v>
      </c>
      <c r="D587" s="2" t="s">
        <v>6</v>
      </c>
    </row>
    <row r="588" spans="1:4" ht="49.5">
      <c r="A588" s="2" t="s">
        <v>972</v>
      </c>
      <c r="B588" s="2" t="s">
        <v>973</v>
      </c>
      <c r="C588" s="2" t="s">
        <v>14</v>
      </c>
      <c r="D588" s="2" t="s">
        <v>6</v>
      </c>
    </row>
    <row r="589" spans="1:4" ht="49.5">
      <c r="A589" s="2" t="s">
        <v>974</v>
      </c>
      <c r="B589" s="2" t="s">
        <v>975</v>
      </c>
      <c r="C589" s="2" t="s">
        <v>14</v>
      </c>
      <c r="D589" s="2" t="s">
        <v>6</v>
      </c>
    </row>
    <row r="590" spans="1:4" ht="49.5">
      <c r="A590" s="2" t="s">
        <v>976</v>
      </c>
      <c r="B590" s="2" t="s">
        <v>977</v>
      </c>
      <c r="C590" s="2" t="s">
        <v>14</v>
      </c>
      <c r="D590" s="2" t="s">
        <v>6</v>
      </c>
    </row>
    <row r="591" spans="1:4" ht="49.5">
      <c r="A591" s="2" t="s">
        <v>978</v>
      </c>
      <c r="B591" s="2" t="s">
        <v>979</v>
      </c>
      <c r="C591" s="2" t="s">
        <v>14</v>
      </c>
      <c r="D591" s="2" t="s">
        <v>6</v>
      </c>
    </row>
    <row r="592" spans="1:4" ht="49.5">
      <c r="A592" s="2" t="s">
        <v>980</v>
      </c>
      <c r="B592" s="2" t="s">
        <v>981</v>
      </c>
      <c r="C592" s="2" t="s">
        <v>14</v>
      </c>
      <c r="D592" s="2" t="s">
        <v>6</v>
      </c>
    </row>
    <row r="593" spans="1:4" ht="49.5">
      <c r="A593" s="2" t="s">
        <v>982</v>
      </c>
      <c r="B593" s="2" t="s">
        <v>983</v>
      </c>
      <c r="C593" s="2" t="s">
        <v>14</v>
      </c>
      <c r="D593" s="2" t="s">
        <v>6</v>
      </c>
    </row>
    <row r="594" spans="1:4" ht="49.5">
      <c r="A594" s="2" t="s">
        <v>984</v>
      </c>
      <c r="B594" s="2" t="s">
        <v>985</v>
      </c>
      <c r="C594" s="2" t="s">
        <v>14</v>
      </c>
      <c r="D594" s="2" t="s">
        <v>6</v>
      </c>
    </row>
    <row r="595" spans="1:4" ht="49.5">
      <c r="A595" s="2" t="s">
        <v>986</v>
      </c>
      <c r="B595" s="2" t="s">
        <v>987</v>
      </c>
      <c r="C595" s="2" t="s">
        <v>14</v>
      </c>
      <c r="D595" s="2" t="s">
        <v>6</v>
      </c>
    </row>
    <row r="596" spans="1:4" ht="49.5">
      <c r="A596" s="2" t="s">
        <v>988</v>
      </c>
      <c r="B596" s="2" t="s">
        <v>989</v>
      </c>
      <c r="C596" s="2" t="s">
        <v>14</v>
      </c>
      <c r="D596" s="2" t="s">
        <v>6</v>
      </c>
    </row>
    <row r="597" spans="1:4" ht="49.5">
      <c r="A597" s="2" t="s">
        <v>1022</v>
      </c>
      <c r="B597" s="2" t="s">
        <v>1023</v>
      </c>
      <c r="C597" s="2" t="s">
        <v>14</v>
      </c>
      <c r="D597" s="2" t="s">
        <v>11</v>
      </c>
    </row>
    <row r="598" spans="1:4" ht="49.5">
      <c r="A598" s="2" t="s">
        <v>1032</v>
      </c>
      <c r="B598" s="2" t="s">
        <v>1033</v>
      </c>
      <c r="C598" s="2" t="s">
        <v>14</v>
      </c>
      <c r="D598" s="2" t="s">
        <v>6</v>
      </c>
    </row>
    <row r="599" spans="1:4" ht="49.5">
      <c r="A599" s="2" t="s">
        <v>1034</v>
      </c>
      <c r="B599" s="2" t="s">
        <v>1035</v>
      </c>
      <c r="C599" s="2" t="s">
        <v>14</v>
      </c>
      <c r="D599" s="2" t="s">
        <v>6</v>
      </c>
    </row>
    <row r="600" spans="1:4" ht="49.5">
      <c r="A600" s="2" t="s">
        <v>1036</v>
      </c>
      <c r="B600" s="2" t="s">
        <v>1037</v>
      </c>
      <c r="C600" s="2" t="s">
        <v>14</v>
      </c>
      <c r="D600" s="2" t="s">
        <v>6</v>
      </c>
    </row>
    <row r="601" spans="1:4" ht="49.5">
      <c r="A601" s="2" t="s">
        <v>1044</v>
      </c>
      <c r="B601" s="2" t="s">
        <v>1045</v>
      </c>
      <c r="C601" s="2" t="s">
        <v>14</v>
      </c>
      <c r="D601" s="2" t="s">
        <v>6</v>
      </c>
    </row>
    <row r="602" spans="1:4" ht="49.5">
      <c r="A602" s="2" t="s">
        <v>1046</v>
      </c>
      <c r="B602" s="2" t="s">
        <v>1047</v>
      </c>
      <c r="C602" s="2" t="s">
        <v>14</v>
      </c>
      <c r="D602" s="2" t="s">
        <v>6</v>
      </c>
    </row>
    <row r="603" spans="1:4" ht="49.5">
      <c r="A603" s="2" t="s">
        <v>1080</v>
      </c>
      <c r="B603" s="2" t="s">
        <v>1081</v>
      </c>
      <c r="C603" s="2" t="s">
        <v>14</v>
      </c>
      <c r="D603" s="2" t="s">
        <v>6</v>
      </c>
    </row>
    <row r="604" spans="1:4" ht="49.5">
      <c r="A604" s="2" t="s">
        <v>1084</v>
      </c>
      <c r="B604" s="2" t="s">
        <v>1085</v>
      </c>
      <c r="C604" s="2" t="s">
        <v>14</v>
      </c>
      <c r="D604" s="2" t="s">
        <v>6</v>
      </c>
    </row>
    <row r="605" spans="1:4" ht="49.5">
      <c r="A605" s="2" t="s">
        <v>1088</v>
      </c>
      <c r="B605" s="2" t="s">
        <v>1089</v>
      </c>
      <c r="C605" s="2" t="s">
        <v>14</v>
      </c>
      <c r="D605" s="2" t="s">
        <v>6</v>
      </c>
    </row>
    <row r="606" spans="1:4" ht="49.5">
      <c r="A606" s="2" t="s">
        <v>1090</v>
      </c>
      <c r="B606" s="2" t="s">
        <v>1091</v>
      </c>
      <c r="C606" s="2" t="s">
        <v>14</v>
      </c>
      <c r="D606" s="2" t="s">
        <v>6</v>
      </c>
    </row>
    <row r="607" spans="1:4" ht="49.5">
      <c r="A607" s="2" t="s">
        <v>1092</v>
      </c>
      <c r="B607" s="2" t="s">
        <v>1093</v>
      </c>
      <c r="C607" s="2" t="s">
        <v>14</v>
      </c>
      <c r="D607" s="2" t="s">
        <v>6</v>
      </c>
    </row>
    <row r="608" spans="1:4" ht="49.5">
      <c r="A608" s="2" t="s">
        <v>1094</v>
      </c>
      <c r="B608" s="2" t="s">
        <v>1095</v>
      </c>
      <c r="C608" s="2" t="s">
        <v>14</v>
      </c>
      <c r="D608" s="2" t="s">
        <v>6</v>
      </c>
    </row>
    <row r="609" spans="1:4" ht="49.5">
      <c r="A609" s="2" t="s">
        <v>1096</v>
      </c>
      <c r="B609" s="2" t="s">
        <v>1097</v>
      </c>
      <c r="C609" s="2" t="s">
        <v>14</v>
      </c>
      <c r="D609" s="2" t="s">
        <v>6</v>
      </c>
    </row>
    <row r="610" spans="1:4" ht="49.5">
      <c r="A610" s="2" t="s">
        <v>1098</v>
      </c>
      <c r="B610" s="2" t="s">
        <v>1099</v>
      </c>
      <c r="C610" s="2" t="s">
        <v>14</v>
      </c>
      <c r="D610" s="2" t="s">
        <v>9</v>
      </c>
    </row>
    <row r="611" spans="1:4" ht="49.5">
      <c r="A611" s="2" t="s">
        <v>1100</v>
      </c>
      <c r="B611" s="2" t="s">
        <v>1101</v>
      </c>
      <c r="C611" s="2" t="s">
        <v>14</v>
      </c>
      <c r="D611" s="2" t="s">
        <v>6</v>
      </c>
    </row>
    <row r="612" spans="1:4" ht="49.5">
      <c r="A612" s="2" t="s">
        <v>1102</v>
      </c>
      <c r="B612" s="2" t="s">
        <v>1103</v>
      </c>
      <c r="C612" s="2" t="s">
        <v>14</v>
      </c>
      <c r="D612" s="2" t="s">
        <v>6</v>
      </c>
    </row>
    <row r="613" spans="1:4" ht="49.5">
      <c r="A613" s="2" t="s">
        <v>1104</v>
      </c>
      <c r="B613" s="2" t="s">
        <v>1105</v>
      </c>
      <c r="C613" s="2" t="s">
        <v>14</v>
      </c>
      <c r="D613" s="2" t="s">
        <v>6</v>
      </c>
    </row>
    <row r="614" spans="1:4" ht="49.5">
      <c r="A614" s="2" t="s">
        <v>1106</v>
      </c>
      <c r="B614" s="2" t="s">
        <v>1107</v>
      </c>
      <c r="C614" s="2" t="s">
        <v>14</v>
      </c>
      <c r="D614" s="2" t="s">
        <v>6</v>
      </c>
    </row>
    <row r="615" spans="1:4" ht="49.5">
      <c r="A615" s="2" t="s">
        <v>1108</v>
      </c>
      <c r="B615" s="2" t="s">
        <v>1109</v>
      </c>
      <c r="C615" s="2" t="s">
        <v>14</v>
      </c>
      <c r="D615" s="2" t="s">
        <v>6</v>
      </c>
    </row>
    <row r="616" spans="1:4" ht="49.5">
      <c r="A616" s="2" t="s">
        <v>1114</v>
      </c>
      <c r="B616" s="2" t="s">
        <v>1115</v>
      </c>
      <c r="C616" s="2" t="s">
        <v>14</v>
      </c>
      <c r="D616" s="2" t="s">
        <v>6</v>
      </c>
    </row>
    <row r="617" spans="1:4" ht="49.5">
      <c r="A617" s="2" t="s">
        <v>1116</v>
      </c>
      <c r="B617" s="2" t="s">
        <v>1117</v>
      </c>
      <c r="C617" s="2" t="s">
        <v>14</v>
      </c>
      <c r="D617" s="2" t="s">
        <v>6</v>
      </c>
    </row>
    <row r="618" spans="1:4" ht="49.5">
      <c r="A618" s="2" t="s">
        <v>1118</v>
      </c>
      <c r="B618" s="2" t="s">
        <v>1119</v>
      </c>
      <c r="C618" s="2" t="s">
        <v>14</v>
      </c>
      <c r="D618" s="2" t="s">
        <v>6</v>
      </c>
    </row>
    <row r="619" spans="1:4" ht="49.5">
      <c r="A619" s="2" t="s">
        <v>1122</v>
      </c>
      <c r="B619" s="2" t="s">
        <v>1123</v>
      </c>
      <c r="C619" s="2" t="s">
        <v>14</v>
      </c>
      <c r="D619" s="2" t="s">
        <v>6</v>
      </c>
    </row>
    <row r="620" spans="1:4" ht="49.5">
      <c r="A620" s="2" t="s">
        <v>1126</v>
      </c>
      <c r="B620" s="2" t="s">
        <v>1127</v>
      </c>
      <c r="C620" s="2" t="s">
        <v>14</v>
      </c>
      <c r="D620" s="2" t="s">
        <v>6</v>
      </c>
    </row>
    <row r="621" spans="1:4" ht="49.5">
      <c r="A621" s="2" t="s">
        <v>1136</v>
      </c>
      <c r="B621" s="2" t="s">
        <v>1137</v>
      </c>
      <c r="C621" s="2" t="s">
        <v>14</v>
      </c>
      <c r="D621" s="2" t="s">
        <v>6</v>
      </c>
    </row>
    <row r="622" spans="1:4" ht="49.5">
      <c r="A622" s="2" t="s">
        <v>1154</v>
      </c>
      <c r="B622" s="2" t="s">
        <v>1155</v>
      </c>
      <c r="C622" s="2" t="s">
        <v>14</v>
      </c>
      <c r="D622" s="2" t="s">
        <v>6</v>
      </c>
    </row>
    <row r="623" spans="1:4" ht="49.5">
      <c r="A623" s="2" t="s">
        <v>1156</v>
      </c>
      <c r="B623" s="2" t="s">
        <v>1157</v>
      </c>
      <c r="C623" s="2" t="s">
        <v>14</v>
      </c>
      <c r="D623" s="2" t="s">
        <v>6</v>
      </c>
    </row>
    <row r="624" spans="1:4" ht="33">
      <c r="A624" s="2" t="s">
        <v>1158</v>
      </c>
      <c r="B624" s="2" t="s">
        <v>1159</v>
      </c>
      <c r="C624" s="2" t="s">
        <v>14</v>
      </c>
      <c r="D624" s="2" t="s">
        <v>6</v>
      </c>
    </row>
    <row r="625" spans="1:4" ht="33">
      <c r="A625" s="2" t="s">
        <v>1160</v>
      </c>
      <c r="B625" s="2" t="s">
        <v>1161</v>
      </c>
      <c r="C625" s="2" t="s">
        <v>14</v>
      </c>
      <c r="D625" s="2" t="s">
        <v>6</v>
      </c>
    </row>
    <row r="626" spans="1:4" ht="33">
      <c r="A626" s="2" t="s">
        <v>1162</v>
      </c>
      <c r="B626" s="2" t="s">
        <v>1163</v>
      </c>
      <c r="C626" s="2" t="s">
        <v>14</v>
      </c>
      <c r="D626" s="2" t="s">
        <v>6</v>
      </c>
    </row>
    <row r="627" spans="1:4" ht="33">
      <c r="A627" s="2" t="s">
        <v>1164</v>
      </c>
      <c r="B627" s="2" t="s">
        <v>1165</v>
      </c>
      <c r="C627" s="2" t="s">
        <v>14</v>
      </c>
      <c r="D627" s="2" t="s">
        <v>6</v>
      </c>
    </row>
    <row r="628" spans="1:4" ht="49.5">
      <c r="A628" s="2" t="s">
        <v>1166</v>
      </c>
      <c r="B628" s="2" t="s">
        <v>1167</v>
      </c>
      <c r="C628" s="2" t="s">
        <v>14</v>
      </c>
      <c r="D628" s="2" t="s">
        <v>6</v>
      </c>
    </row>
    <row r="629" spans="1:4" ht="49.5">
      <c r="A629" s="2" t="s">
        <v>1178</v>
      </c>
      <c r="B629" s="2" t="s">
        <v>1179</v>
      </c>
      <c r="C629" s="2" t="s">
        <v>14</v>
      </c>
      <c r="D629" s="2" t="s">
        <v>6</v>
      </c>
    </row>
    <row r="630" spans="1:4" ht="33">
      <c r="A630" s="2" t="s">
        <v>1312</v>
      </c>
      <c r="B630" s="2" t="s">
        <v>1313</v>
      </c>
      <c r="C630" s="2" t="s">
        <v>14</v>
      </c>
      <c r="D630" s="2" t="s">
        <v>6</v>
      </c>
    </row>
    <row r="631" spans="1:4" ht="33">
      <c r="A631" s="2" t="s">
        <v>1314</v>
      </c>
      <c r="B631" s="2" t="s">
        <v>1315</v>
      </c>
      <c r="C631" s="2" t="s">
        <v>14</v>
      </c>
      <c r="D631" s="2" t="s">
        <v>6</v>
      </c>
    </row>
    <row r="632" spans="1:4" ht="33">
      <c r="A632" s="2" t="s">
        <v>1316</v>
      </c>
      <c r="B632" s="2" t="s">
        <v>1317</v>
      </c>
      <c r="C632" s="2" t="s">
        <v>14</v>
      </c>
      <c r="D632" s="2" t="s">
        <v>6</v>
      </c>
    </row>
    <row r="633" spans="1:4" ht="33">
      <c r="A633" s="2" t="s">
        <v>1318</v>
      </c>
      <c r="B633" s="2" t="s">
        <v>1319</v>
      </c>
      <c r="C633" s="2" t="s">
        <v>14</v>
      </c>
      <c r="D633" s="2" t="s">
        <v>6</v>
      </c>
    </row>
    <row r="634" spans="1:4" ht="49.5">
      <c r="A634" s="2" t="s">
        <v>1320</v>
      </c>
      <c r="B634" s="2" t="s">
        <v>1321</v>
      </c>
      <c r="C634" s="2" t="s">
        <v>14</v>
      </c>
      <c r="D634" s="2" t="s">
        <v>6</v>
      </c>
    </row>
    <row r="635" spans="1:4" ht="66">
      <c r="A635" s="2" t="s">
        <v>1334</v>
      </c>
      <c r="B635" s="2" t="s">
        <v>1335</v>
      </c>
      <c r="C635" s="2" t="s">
        <v>14</v>
      </c>
      <c r="D635" s="2" t="s">
        <v>9</v>
      </c>
    </row>
    <row r="636" spans="1:4" ht="49.5">
      <c r="A636" s="2" t="s">
        <v>1336</v>
      </c>
      <c r="B636" s="2" t="s">
        <v>1337</v>
      </c>
      <c r="C636" s="2" t="s">
        <v>14</v>
      </c>
      <c r="D636" s="2" t="s">
        <v>9</v>
      </c>
    </row>
    <row r="637" spans="1:4" ht="33">
      <c r="A637" s="2" t="s">
        <v>1338</v>
      </c>
      <c r="B637" s="2" t="s">
        <v>1339</v>
      </c>
      <c r="C637" s="2" t="s">
        <v>14</v>
      </c>
      <c r="D637" s="2" t="s">
        <v>6</v>
      </c>
    </row>
    <row r="638" spans="1:4" ht="33">
      <c r="A638" s="2" t="s">
        <v>1340</v>
      </c>
      <c r="B638" s="2" t="s">
        <v>1341</v>
      </c>
      <c r="C638" s="2" t="s">
        <v>14</v>
      </c>
      <c r="D638" s="2" t="s">
        <v>11</v>
      </c>
    </row>
    <row r="639" spans="1:4" ht="33">
      <c r="A639" s="2" t="s">
        <v>1342</v>
      </c>
      <c r="B639" s="2" t="s">
        <v>1343</v>
      </c>
      <c r="C639" s="2" t="s">
        <v>14</v>
      </c>
      <c r="D639" s="2" t="s">
        <v>6</v>
      </c>
    </row>
    <row r="640" spans="1:4" ht="33">
      <c r="A640" s="2" t="s">
        <v>1344</v>
      </c>
      <c r="B640" s="2" t="s">
        <v>1345</v>
      </c>
      <c r="C640" s="2" t="s">
        <v>14</v>
      </c>
      <c r="D640" s="2" t="s">
        <v>6</v>
      </c>
    </row>
    <row r="641" spans="1:4" ht="33">
      <c r="A641" s="2" t="s">
        <v>1346</v>
      </c>
      <c r="B641" s="2" t="s">
        <v>1347</v>
      </c>
      <c r="C641" s="2" t="s">
        <v>14</v>
      </c>
      <c r="D641" s="2" t="s">
        <v>6</v>
      </c>
    </row>
    <row r="642" spans="1:4" ht="33">
      <c r="A642" s="2" t="s">
        <v>1348</v>
      </c>
      <c r="B642" s="2" t="s">
        <v>1349</v>
      </c>
      <c r="C642" s="2" t="s">
        <v>14</v>
      </c>
      <c r="D642" s="2" t="s">
        <v>6</v>
      </c>
    </row>
    <row r="643" spans="1:4" ht="33">
      <c r="A643" s="2" t="s">
        <v>1350</v>
      </c>
      <c r="B643" s="2" t="s">
        <v>1351</v>
      </c>
      <c r="C643" s="2" t="s">
        <v>14</v>
      </c>
      <c r="D643" s="2" t="s">
        <v>6</v>
      </c>
    </row>
    <row r="644" spans="1:4" ht="49.5">
      <c r="A644" s="2" t="s">
        <v>1354</v>
      </c>
      <c r="B644" s="2" t="s">
        <v>1355</v>
      </c>
      <c r="C644" s="2" t="s">
        <v>14</v>
      </c>
      <c r="D644" s="2" t="s">
        <v>6</v>
      </c>
    </row>
    <row r="645" spans="1:4" ht="49.5">
      <c r="A645" s="2" t="s">
        <v>1356</v>
      </c>
      <c r="B645" s="2" t="s">
        <v>1357</v>
      </c>
      <c r="C645" s="2" t="s">
        <v>14</v>
      </c>
      <c r="D645" s="2" t="s">
        <v>6</v>
      </c>
    </row>
    <row r="646" spans="1:4" ht="49.5">
      <c r="A646" s="2" t="s">
        <v>1366</v>
      </c>
      <c r="B646" s="2" t="s">
        <v>1367</v>
      </c>
      <c r="C646" s="2" t="s">
        <v>14</v>
      </c>
      <c r="D646" s="2" t="s">
        <v>6</v>
      </c>
    </row>
    <row r="647" spans="1:4" ht="49.5">
      <c r="A647" s="2" t="s">
        <v>1368</v>
      </c>
      <c r="B647" s="2" t="s">
        <v>1369</v>
      </c>
      <c r="C647" s="2" t="s">
        <v>14</v>
      </c>
      <c r="D647" s="2" t="s">
        <v>6</v>
      </c>
    </row>
    <row r="648" spans="1:4" ht="49.5">
      <c r="A648" s="2" t="s">
        <v>1370</v>
      </c>
      <c r="B648" s="2" t="s">
        <v>1371</v>
      </c>
      <c r="C648" s="2" t="s">
        <v>14</v>
      </c>
      <c r="D648" s="2" t="s">
        <v>6</v>
      </c>
    </row>
    <row r="649" spans="1:4" ht="49.5">
      <c r="A649" s="2" t="s">
        <v>1438</v>
      </c>
      <c r="B649" s="2" t="s">
        <v>1439</v>
      </c>
      <c r="C649" s="2" t="s">
        <v>14</v>
      </c>
      <c r="D649" s="2" t="s">
        <v>6</v>
      </c>
    </row>
    <row r="650" spans="1:4" ht="49.5">
      <c r="A650" s="2" t="s">
        <v>1440</v>
      </c>
      <c r="B650" s="2" t="s">
        <v>1441</v>
      </c>
      <c r="C650" s="2" t="s">
        <v>14</v>
      </c>
      <c r="D650" s="2" t="s">
        <v>6</v>
      </c>
    </row>
    <row r="651" spans="1:4" ht="66">
      <c r="A651" s="2" t="s">
        <v>1442</v>
      </c>
      <c r="B651" s="2" t="s">
        <v>1443</v>
      </c>
      <c r="C651" s="2" t="s">
        <v>14</v>
      </c>
      <c r="D651" s="2" t="s">
        <v>6</v>
      </c>
    </row>
    <row r="652" spans="1:4" ht="49.5">
      <c r="A652" s="2" t="s">
        <v>1470</v>
      </c>
      <c r="B652" s="2" t="s">
        <v>1471</v>
      </c>
      <c r="C652" s="2" t="s">
        <v>14</v>
      </c>
      <c r="D652" s="2" t="s">
        <v>6</v>
      </c>
    </row>
    <row r="653" spans="1:4" ht="49.5">
      <c r="A653" s="2" t="s">
        <v>1474</v>
      </c>
      <c r="B653" s="2" t="s">
        <v>1475</v>
      </c>
      <c r="C653" s="2" t="s">
        <v>14</v>
      </c>
      <c r="D653" s="2" t="s">
        <v>6</v>
      </c>
    </row>
    <row r="654" spans="1:4" ht="49.5">
      <c r="A654" s="2" t="s">
        <v>1486</v>
      </c>
      <c r="B654" s="2" t="s">
        <v>1487</v>
      </c>
      <c r="C654" s="2" t="s">
        <v>14</v>
      </c>
      <c r="D654" s="2" t="s">
        <v>6</v>
      </c>
    </row>
    <row r="655" spans="1:4" ht="49.5">
      <c r="A655" s="2" t="s">
        <v>1488</v>
      </c>
      <c r="B655" s="2" t="s">
        <v>1489</v>
      </c>
      <c r="C655" s="2" t="s">
        <v>14</v>
      </c>
      <c r="D655" s="2" t="s">
        <v>6</v>
      </c>
    </row>
    <row r="656" spans="1:4" ht="49.5">
      <c r="A656" s="2" t="s">
        <v>1490</v>
      </c>
      <c r="B656" s="2" t="s">
        <v>1491</v>
      </c>
      <c r="C656" s="2" t="s">
        <v>14</v>
      </c>
      <c r="D656" s="2" t="s">
        <v>6</v>
      </c>
    </row>
    <row r="657" spans="1:4" ht="49.5">
      <c r="A657" s="2" t="s">
        <v>1492</v>
      </c>
      <c r="B657" s="2" t="s">
        <v>1493</v>
      </c>
      <c r="C657" s="2" t="s">
        <v>14</v>
      </c>
      <c r="D657" s="2" t="s">
        <v>6</v>
      </c>
    </row>
    <row r="658" spans="1:4" ht="49.5">
      <c r="A658" s="2" t="s">
        <v>1494</v>
      </c>
      <c r="B658" s="2" t="s">
        <v>1495</v>
      </c>
      <c r="C658" s="2" t="s">
        <v>14</v>
      </c>
      <c r="D658" s="2" t="s">
        <v>6</v>
      </c>
    </row>
    <row r="659" spans="1:4" ht="49.5">
      <c r="A659" s="2" t="s">
        <v>1496</v>
      </c>
      <c r="B659" s="2" t="s">
        <v>1497</v>
      </c>
      <c r="C659" s="2" t="s">
        <v>14</v>
      </c>
      <c r="D659" s="2" t="s">
        <v>6</v>
      </c>
    </row>
    <row r="660" spans="1:4" ht="49.5">
      <c r="A660" s="2" t="s">
        <v>1498</v>
      </c>
      <c r="B660" s="2" t="s">
        <v>1499</v>
      </c>
      <c r="C660" s="2" t="s">
        <v>14</v>
      </c>
      <c r="D660" s="2" t="s">
        <v>6</v>
      </c>
    </row>
    <row r="661" spans="1:4" ht="66">
      <c r="A661" s="2" t="s">
        <v>1502</v>
      </c>
      <c r="B661" s="2" t="s">
        <v>1503</v>
      </c>
      <c r="C661" s="2" t="s">
        <v>14</v>
      </c>
      <c r="D661" s="2" t="s">
        <v>6</v>
      </c>
    </row>
    <row r="662" spans="1:4" ht="49.5">
      <c r="A662" s="2" t="s">
        <v>1510</v>
      </c>
      <c r="B662" s="2" t="s">
        <v>1511</v>
      </c>
      <c r="C662" s="2" t="s">
        <v>14</v>
      </c>
      <c r="D662" s="2" t="s">
        <v>6</v>
      </c>
    </row>
    <row r="663" spans="1:4" ht="66">
      <c r="A663" s="2" t="s">
        <v>1514</v>
      </c>
      <c r="B663" s="2" t="s">
        <v>1515</v>
      </c>
      <c r="C663" s="2" t="s">
        <v>14</v>
      </c>
      <c r="D663" s="2" t="s">
        <v>6</v>
      </c>
    </row>
    <row r="664" spans="1:4" ht="49.5">
      <c r="A664" s="2" t="s">
        <v>1524</v>
      </c>
      <c r="B664" s="2" t="s">
        <v>1525</v>
      </c>
      <c r="C664" s="2" t="s">
        <v>14</v>
      </c>
      <c r="D664" s="2" t="s">
        <v>6</v>
      </c>
    </row>
    <row r="665" spans="1:4" ht="49.5">
      <c r="A665" s="2" t="s">
        <v>1526</v>
      </c>
      <c r="B665" s="2" t="s">
        <v>1527</v>
      </c>
      <c r="C665" s="2" t="s">
        <v>14</v>
      </c>
      <c r="D665" s="2" t="s">
        <v>6</v>
      </c>
    </row>
    <row r="666" spans="1:4" ht="49.5">
      <c r="A666" s="2" t="s">
        <v>1528</v>
      </c>
      <c r="B666" s="2" t="s">
        <v>1529</v>
      </c>
      <c r="C666" s="2" t="s">
        <v>14</v>
      </c>
      <c r="D666" s="2" t="s">
        <v>6</v>
      </c>
    </row>
    <row r="667" spans="1:4" ht="49.5">
      <c r="A667" s="2" t="s">
        <v>1530</v>
      </c>
      <c r="B667" s="2" t="s">
        <v>1531</v>
      </c>
      <c r="C667" s="2" t="s">
        <v>14</v>
      </c>
      <c r="D667" s="2" t="s">
        <v>6</v>
      </c>
    </row>
    <row r="668" spans="1:4" ht="49.5">
      <c r="A668" s="2" t="s">
        <v>1532</v>
      </c>
      <c r="B668" s="2" t="s">
        <v>1533</v>
      </c>
      <c r="C668" s="2" t="s">
        <v>14</v>
      </c>
      <c r="D668" s="2" t="s">
        <v>6</v>
      </c>
    </row>
    <row r="669" spans="1:4" ht="66">
      <c r="A669" s="2" t="s">
        <v>1534</v>
      </c>
      <c r="B669" s="2" t="s">
        <v>1535</v>
      </c>
      <c r="C669" s="2" t="s">
        <v>14</v>
      </c>
      <c r="D669" s="2" t="s">
        <v>6</v>
      </c>
    </row>
    <row r="670" spans="1:4" ht="66">
      <c r="A670" s="2" t="s">
        <v>1538</v>
      </c>
      <c r="B670" s="2" t="s">
        <v>1539</v>
      </c>
      <c r="C670" s="2" t="s">
        <v>14</v>
      </c>
      <c r="D670" s="2" t="s">
        <v>6</v>
      </c>
    </row>
    <row r="671" spans="1:4" ht="49.5">
      <c r="A671" s="2" t="s">
        <v>1544</v>
      </c>
      <c r="B671" s="2" t="s">
        <v>1545</v>
      </c>
      <c r="C671" s="2" t="s">
        <v>14</v>
      </c>
      <c r="D671" s="2" t="s">
        <v>6</v>
      </c>
    </row>
    <row r="672" spans="1:4" ht="49.5">
      <c r="A672" s="2" t="s">
        <v>1570</v>
      </c>
      <c r="B672" s="2" t="s">
        <v>1571</v>
      </c>
      <c r="C672" s="2" t="s">
        <v>14</v>
      </c>
      <c r="D672" s="2" t="s">
        <v>6</v>
      </c>
    </row>
    <row r="673" spans="1:4" ht="49.5">
      <c r="A673" s="2" t="s">
        <v>1572</v>
      </c>
      <c r="B673" s="2" t="s">
        <v>1573</v>
      </c>
      <c r="C673" s="2" t="s">
        <v>14</v>
      </c>
      <c r="D673" s="2" t="s">
        <v>6</v>
      </c>
    </row>
    <row r="674" spans="1:4" ht="49.5">
      <c r="A674" s="2" t="s">
        <v>1574</v>
      </c>
      <c r="B674" s="2" t="s">
        <v>1575</v>
      </c>
      <c r="C674" s="2" t="s">
        <v>14</v>
      </c>
      <c r="D674" s="2" t="s">
        <v>6</v>
      </c>
    </row>
    <row r="675" spans="1:4" ht="49.5">
      <c r="A675" s="2" t="s">
        <v>1586</v>
      </c>
      <c r="B675" s="2" t="s">
        <v>1587</v>
      </c>
      <c r="C675" s="2" t="s">
        <v>14</v>
      </c>
      <c r="D675" s="2" t="s">
        <v>6</v>
      </c>
    </row>
    <row r="676" spans="1:4" ht="49.5">
      <c r="A676" s="2" t="s">
        <v>1588</v>
      </c>
      <c r="B676" s="2" t="s">
        <v>1589</v>
      </c>
      <c r="C676" s="2" t="s">
        <v>14</v>
      </c>
      <c r="D676" s="2" t="s">
        <v>6</v>
      </c>
    </row>
    <row r="677" spans="1:4" ht="49.5">
      <c r="A677" s="2" t="s">
        <v>1590</v>
      </c>
      <c r="B677" s="2" t="s">
        <v>1591</v>
      </c>
      <c r="C677" s="2" t="s">
        <v>14</v>
      </c>
      <c r="D677" s="2" t="s">
        <v>6</v>
      </c>
    </row>
    <row r="678" spans="1:4" ht="49.5">
      <c r="A678" s="2" t="s">
        <v>1592</v>
      </c>
      <c r="B678" s="2" t="s">
        <v>1593</v>
      </c>
      <c r="C678" s="2" t="s">
        <v>14</v>
      </c>
      <c r="D678" s="2" t="s">
        <v>6</v>
      </c>
    </row>
    <row r="679" spans="1:4" ht="49.5">
      <c r="A679" s="2" t="s">
        <v>1594</v>
      </c>
      <c r="B679" s="2" t="s">
        <v>1595</v>
      </c>
      <c r="C679" s="2" t="s">
        <v>14</v>
      </c>
      <c r="D679" s="2" t="s">
        <v>6</v>
      </c>
    </row>
    <row r="680" spans="1:4" ht="49.5">
      <c r="A680" s="2" t="s">
        <v>1596</v>
      </c>
      <c r="B680" s="2" t="s">
        <v>1597</v>
      </c>
      <c r="C680" s="2" t="s">
        <v>14</v>
      </c>
      <c r="D680" s="2" t="s">
        <v>6</v>
      </c>
    </row>
    <row r="681" spans="1:4" ht="49.5">
      <c r="A681" s="2" t="s">
        <v>1598</v>
      </c>
      <c r="B681" s="2" t="s">
        <v>1599</v>
      </c>
      <c r="C681" s="2" t="s">
        <v>14</v>
      </c>
      <c r="D681" s="2" t="s">
        <v>6</v>
      </c>
    </row>
    <row r="682" spans="1:4" ht="49.5">
      <c r="A682" s="2" t="s">
        <v>1600</v>
      </c>
      <c r="B682" s="2" t="s">
        <v>1601</v>
      </c>
      <c r="C682" s="2" t="s">
        <v>14</v>
      </c>
      <c r="D682" s="2" t="s">
        <v>6</v>
      </c>
    </row>
    <row r="683" spans="1:4" ht="49.5">
      <c r="A683" s="2" t="s">
        <v>1602</v>
      </c>
      <c r="B683" s="2" t="s">
        <v>1603</v>
      </c>
      <c r="C683" s="2" t="s">
        <v>14</v>
      </c>
      <c r="D683" s="2" t="s">
        <v>6</v>
      </c>
    </row>
    <row r="684" spans="1:4" ht="49.5">
      <c r="A684" s="2" t="s">
        <v>1604</v>
      </c>
      <c r="B684" s="2" t="s">
        <v>1605</v>
      </c>
      <c r="C684" s="2" t="s">
        <v>14</v>
      </c>
      <c r="D684" s="2" t="s">
        <v>6</v>
      </c>
    </row>
    <row r="685" spans="1:4" ht="49.5">
      <c r="A685" s="2" t="s">
        <v>1606</v>
      </c>
      <c r="B685" s="2" t="s">
        <v>1607</v>
      </c>
      <c r="C685" s="2" t="s">
        <v>14</v>
      </c>
      <c r="D685" s="2" t="s">
        <v>6</v>
      </c>
    </row>
    <row r="686" spans="1:4" ht="49.5">
      <c r="A686" s="2" t="s">
        <v>1608</v>
      </c>
      <c r="B686" s="2" t="s">
        <v>1609</v>
      </c>
      <c r="C686" s="2" t="s">
        <v>14</v>
      </c>
      <c r="D686" s="2" t="s">
        <v>6</v>
      </c>
    </row>
    <row r="687" spans="1:4" ht="49.5">
      <c r="A687" s="2" t="s">
        <v>1610</v>
      </c>
      <c r="B687" s="2" t="s">
        <v>1611</v>
      </c>
      <c r="C687" s="2" t="s">
        <v>14</v>
      </c>
      <c r="D687" s="2" t="s">
        <v>6</v>
      </c>
    </row>
    <row r="688" spans="1:4" ht="49.5">
      <c r="A688" s="2" t="s">
        <v>1612</v>
      </c>
      <c r="B688" s="2" t="s">
        <v>1613</v>
      </c>
      <c r="C688" s="2" t="s">
        <v>14</v>
      </c>
      <c r="D688" s="2" t="s">
        <v>6</v>
      </c>
    </row>
    <row r="689" spans="1:4" ht="49.5">
      <c r="A689" s="2" t="s">
        <v>1614</v>
      </c>
      <c r="B689" s="2" t="s">
        <v>1615</v>
      </c>
      <c r="C689" s="2" t="s">
        <v>14</v>
      </c>
      <c r="D689" s="2" t="s">
        <v>6</v>
      </c>
    </row>
    <row r="690" spans="1:4" ht="49.5">
      <c r="A690" s="2" t="s">
        <v>1616</v>
      </c>
      <c r="B690" s="2" t="s">
        <v>1617</v>
      </c>
      <c r="C690" s="2" t="s">
        <v>14</v>
      </c>
      <c r="D690" s="2" t="s">
        <v>6</v>
      </c>
    </row>
    <row r="691" spans="1:4" ht="49.5">
      <c r="A691" s="2" t="s">
        <v>1618</v>
      </c>
      <c r="B691" s="2" t="s">
        <v>1619</v>
      </c>
      <c r="C691" s="2" t="s">
        <v>14</v>
      </c>
      <c r="D691" s="2" t="s">
        <v>6</v>
      </c>
    </row>
    <row r="692" spans="1:4" ht="49.5">
      <c r="A692" s="2" t="s">
        <v>1620</v>
      </c>
      <c r="B692" s="2" t="s">
        <v>1621</v>
      </c>
      <c r="C692" s="2" t="s">
        <v>14</v>
      </c>
      <c r="D692" s="2" t="s">
        <v>6</v>
      </c>
    </row>
    <row r="693" spans="1:4" ht="49.5">
      <c r="A693" s="2" t="s">
        <v>1622</v>
      </c>
      <c r="B693" s="2" t="s">
        <v>1623</v>
      </c>
      <c r="C693" s="2" t="s">
        <v>14</v>
      </c>
      <c r="D693" s="2" t="s">
        <v>6</v>
      </c>
    </row>
    <row r="694" spans="1:4" ht="49.5">
      <c r="A694" s="2" t="s">
        <v>1624</v>
      </c>
      <c r="B694" s="2" t="s">
        <v>1625</v>
      </c>
      <c r="C694" s="2" t="s">
        <v>14</v>
      </c>
      <c r="D694" s="2" t="s">
        <v>6</v>
      </c>
    </row>
    <row r="695" spans="1:4" ht="49.5">
      <c r="A695" s="2" t="s">
        <v>1626</v>
      </c>
      <c r="B695" s="2" t="s">
        <v>1627</v>
      </c>
      <c r="C695" s="2" t="s">
        <v>14</v>
      </c>
      <c r="D695" s="2" t="s">
        <v>6</v>
      </c>
    </row>
    <row r="696" spans="1:4" ht="49.5">
      <c r="A696" s="2" t="s">
        <v>1628</v>
      </c>
      <c r="B696" s="2" t="s">
        <v>1629</v>
      </c>
      <c r="C696" s="2" t="s">
        <v>14</v>
      </c>
      <c r="D696" s="2" t="s">
        <v>6</v>
      </c>
    </row>
    <row r="697" spans="1:4" ht="49.5">
      <c r="A697" s="2" t="s">
        <v>1634</v>
      </c>
      <c r="B697" s="2" t="s">
        <v>1635</v>
      </c>
      <c r="C697" s="2" t="s">
        <v>14</v>
      </c>
      <c r="D697" s="2" t="s">
        <v>6</v>
      </c>
    </row>
    <row r="698" spans="1:4" ht="49.5">
      <c r="A698" s="2" t="s">
        <v>1636</v>
      </c>
      <c r="B698" s="2" t="s">
        <v>1637</v>
      </c>
      <c r="C698" s="2" t="s">
        <v>14</v>
      </c>
      <c r="D698" s="2" t="s">
        <v>6</v>
      </c>
    </row>
    <row r="699" spans="1:4" ht="49.5">
      <c r="A699" s="2" t="s">
        <v>1638</v>
      </c>
      <c r="B699" s="2" t="s">
        <v>1639</v>
      </c>
      <c r="C699" s="2" t="s">
        <v>14</v>
      </c>
      <c r="D699" s="2" t="s">
        <v>6</v>
      </c>
    </row>
    <row r="700" spans="1:4" ht="49.5">
      <c r="A700" s="2" t="s">
        <v>1640</v>
      </c>
      <c r="B700" s="2" t="s">
        <v>1641</v>
      </c>
      <c r="C700" s="2" t="s">
        <v>14</v>
      </c>
      <c r="D700" s="2" t="s">
        <v>6</v>
      </c>
    </row>
    <row r="701" spans="1:4" ht="49.5">
      <c r="A701" s="2" t="s">
        <v>1642</v>
      </c>
      <c r="B701" s="2" t="s">
        <v>1643</v>
      </c>
      <c r="C701" s="2" t="s">
        <v>14</v>
      </c>
      <c r="D701" s="2" t="s">
        <v>6</v>
      </c>
    </row>
    <row r="702" spans="1:4" ht="49.5">
      <c r="A702" s="2" t="s">
        <v>1646</v>
      </c>
      <c r="B702" s="2" t="s">
        <v>1647</v>
      </c>
      <c r="C702" s="2" t="s">
        <v>14</v>
      </c>
      <c r="D702" s="2" t="s">
        <v>6</v>
      </c>
    </row>
    <row r="703" spans="1:4" ht="49.5">
      <c r="A703" s="2" t="s">
        <v>1666</v>
      </c>
      <c r="B703" s="2" t="s">
        <v>1667</v>
      </c>
      <c r="C703" s="2" t="s">
        <v>14</v>
      </c>
      <c r="D703" s="2" t="s">
        <v>6</v>
      </c>
    </row>
    <row r="704" spans="1:4" ht="49.5">
      <c r="A704" s="2" t="s">
        <v>1668</v>
      </c>
      <c r="B704" s="2" t="s">
        <v>1669</v>
      </c>
      <c r="C704" s="2" t="s">
        <v>14</v>
      </c>
      <c r="D704" s="2" t="s">
        <v>6</v>
      </c>
    </row>
    <row r="705" spans="1:4" ht="49.5">
      <c r="A705" s="2" t="s">
        <v>1670</v>
      </c>
      <c r="B705" s="2" t="s">
        <v>1671</v>
      </c>
      <c r="C705" s="2" t="s">
        <v>14</v>
      </c>
      <c r="D705" s="2" t="s">
        <v>6</v>
      </c>
    </row>
    <row r="706" spans="1:4" ht="49.5">
      <c r="A706" s="2" t="s">
        <v>1672</v>
      </c>
      <c r="B706" s="2" t="s">
        <v>1673</v>
      </c>
      <c r="C706" s="2" t="s">
        <v>14</v>
      </c>
      <c r="D706" s="2" t="s">
        <v>6</v>
      </c>
    </row>
    <row r="707" spans="1:4" ht="49.5">
      <c r="A707" s="2" t="s">
        <v>1674</v>
      </c>
      <c r="B707" s="2" t="s">
        <v>1675</v>
      </c>
      <c r="C707" s="2" t="s">
        <v>14</v>
      </c>
      <c r="D707" s="2" t="s">
        <v>6</v>
      </c>
    </row>
    <row r="708" spans="1:4" ht="49.5">
      <c r="A708" s="2" t="s">
        <v>1676</v>
      </c>
      <c r="B708" s="2" t="s">
        <v>1677</v>
      </c>
      <c r="C708" s="2" t="s">
        <v>14</v>
      </c>
      <c r="D708" s="2" t="s">
        <v>6</v>
      </c>
    </row>
    <row r="709" spans="1:4" ht="49.5">
      <c r="A709" s="2" t="s">
        <v>1678</v>
      </c>
      <c r="B709" s="2" t="s">
        <v>1679</v>
      </c>
      <c r="C709" s="2" t="s">
        <v>14</v>
      </c>
      <c r="D709" s="2" t="s">
        <v>6</v>
      </c>
    </row>
    <row r="710" spans="1:4" ht="49.5">
      <c r="A710" s="2" t="s">
        <v>1680</v>
      </c>
      <c r="B710" s="2" t="s">
        <v>1681</v>
      </c>
      <c r="C710" s="2" t="s">
        <v>14</v>
      </c>
      <c r="D710" s="2" t="s">
        <v>6</v>
      </c>
    </row>
    <row r="711" spans="1:4" ht="49.5">
      <c r="A711" s="2" t="s">
        <v>1682</v>
      </c>
      <c r="B711" s="2" t="s">
        <v>1683</v>
      </c>
      <c r="C711" s="2" t="s">
        <v>14</v>
      </c>
      <c r="D711" s="2" t="s">
        <v>6</v>
      </c>
    </row>
    <row r="712" spans="1:4" ht="49.5">
      <c r="A712" s="2" t="s">
        <v>1684</v>
      </c>
      <c r="B712" s="2" t="s">
        <v>1685</v>
      </c>
      <c r="C712" s="2" t="s">
        <v>14</v>
      </c>
      <c r="D712" s="2" t="s">
        <v>6</v>
      </c>
    </row>
    <row r="713" spans="1:4" ht="49.5">
      <c r="A713" s="2" t="s">
        <v>1686</v>
      </c>
      <c r="B713" s="2" t="s">
        <v>1687</v>
      </c>
      <c r="C713" s="2" t="s">
        <v>14</v>
      </c>
      <c r="D713" s="2" t="s">
        <v>6</v>
      </c>
    </row>
    <row r="714" spans="1:4" ht="49.5">
      <c r="A714" s="2" t="s">
        <v>1688</v>
      </c>
      <c r="B714" s="2" t="s">
        <v>1689</v>
      </c>
      <c r="C714" s="2" t="s">
        <v>14</v>
      </c>
      <c r="D714" s="2" t="s">
        <v>6</v>
      </c>
    </row>
    <row r="715" spans="1:4" ht="49.5">
      <c r="A715" s="2" t="s">
        <v>1690</v>
      </c>
      <c r="B715" s="2" t="s">
        <v>1691</v>
      </c>
      <c r="C715" s="2" t="s">
        <v>14</v>
      </c>
      <c r="D715" s="2" t="s">
        <v>6</v>
      </c>
    </row>
    <row r="716" spans="1:4" ht="49.5">
      <c r="A716" s="2" t="s">
        <v>1692</v>
      </c>
      <c r="B716" s="2" t="s">
        <v>1693</v>
      </c>
      <c r="C716" s="2" t="s">
        <v>14</v>
      </c>
      <c r="D716" s="2" t="s">
        <v>6</v>
      </c>
    </row>
    <row r="717" spans="1:4" ht="49.5">
      <c r="A717" s="2" t="s">
        <v>1694</v>
      </c>
      <c r="B717" s="2" t="s">
        <v>1695</v>
      </c>
      <c r="C717" s="2" t="s">
        <v>14</v>
      </c>
      <c r="D717" s="2" t="s">
        <v>6</v>
      </c>
    </row>
    <row r="718" spans="1:4" ht="49.5">
      <c r="A718" s="2" t="s">
        <v>1696</v>
      </c>
      <c r="B718" s="2" t="s">
        <v>1697</v>
      </c>
      <c r="C718" s="2" t="s">
        <v>14</v>
      </c>
      <c r="D718" s="2" t="s">
        <v>6</v>
      </c>
    </row>
    <row r="719" spans="1:4" ht="49.5">
      <c r="A719" s="2" t="s">
        <v>1698</v>
      </c>
      <c r="B719" s="2" t="s">
        <v>1699</v>
      </c>
      <c r="C719" s="2" t="s">
        <v>14</v>
      </c>
      <c r="D719" s="2" t="s">
        <v>6</v>
      </c>
    </row>
    <row r="720" spans="1:4" ht="49.5">
      <c r="A720" s="2" t="s">
        <v>1700</v>
      </c>
      <c r="B720" s="2" t="s">
        <v>1701</v>
      </c>
      <c r="C720" s="2" t="s">
        <v>14</v>
      </c>
      <c r="D720" s="2" t="s">
        <v>6</v>
      </c>
    </row>
    <row r="721" spans="1:4" ht="49.5">
      <c r="A721" s="2" t="s">
        <v>1702</v>
      </c>
      <c r="B721" s="2" t="s">
        <v>1703</v>
      </c>
      <c r="C721" s="2" t="s">
        <v>14</v>
      </c>
      <c r="D721" s="2" t="s">
        <v>6</v>
      </c>
    </row>
    <row r="722" spans="1:4" ht="49.5">
      <c r="A722" s="2" t="s">
        <v>1704</v>
      </c>
      <c r="B722" s="2" t="s">
        <v>1705</v>
      </c>
      <c r="C722" s="2" t="s">
        <v>14</v>
      </c>
      <c r="D722" s="2" t="s">
        <v>11</v>
      </c>
    </row>
    <row r="723" spans="1:4" ht="49.5">
      <c r="A723" s="2" t="s">
        <v>262</v>
      </c>
      <c r="B723" s="2" t="s">
        <v>263</v>
      </c>
      <c r="C723" s="2" t="s">
        <v>243</v>
      </c>
      <c r="D723" s="2" t="s">
        <v>11</v>
      </c>
    </row>
    <row r="724" spans="1:4" ht="49.5">
      <c r="A724" s="2" t="s">
        <v>264</v>
      </c>
      <c r="B724" s="2" t="s">
        <v>265</v>
      </c>
      <c r="C724" s="2" t="s">
        <v>243</v>
      </c>
      <c r="D724" s="2" t="s">
        <v>9</v>
      </c>
    </row>
    <row r="725" spans="1:4" ht="49.5">
      <c r="A725" s="2" t="s">
        <v>266</v>
      </c>
      <c r="B725" s="2" t="s">
        <v>267</v>
      </c>
      <c r="C725" s="2" t="s">
        <v>243</v>
      </c>
      <c r="D725" s="2" t="s">
        <v>9</v>
      </c>
    </row>
    <row r="726" spans="1:4" ht="49.5">
      <c r="A726" s="2" t="s">
        <v>268</v>
      </c>
      <c r="B726" s="2" t="s">
        <v>269</v>
      </c>
      <c r="C726" s="2" t="s">
        <v>243</v>
      </c>
      <c r="D726" s="2" t="s">
        <v>9</v>
      </c>
    </row>
    <row r="727" spans="1:4" ht="33">
      <c r="A727" s="2" t="s">
        <v>276</v>
      </c>
      <c r="B727" s="2" t="s">
        <v>277</v>
      </c>
      <c r="C727" s="2" t="s">
        <v>243</v>
      </c>
      <c r="D727" s="2" t="s">
        <v>9</v>
      </c>
    </row>
    <row r="728" spans="1:4" ht="49.5">
      <c r="A728" s="2" t="s">
        <v>282</v>
      </c>
      <c r="B728" s="2" t="s">
        <v>283</v>
      </c>
      <c r="C728" s="2" t="s">
        <v>243</v>
      </c>
      <c r="D728" s="2" t="s">
        <v>6</v>
      </c>
    </row>
    <row r="729" spans="1:4" ht="49.5">
      <c r="A729" s="2" t="s">
        <v>288</v>
      </c>
      <c r="B729" s="2" t="s">
        <v>289</v>
      </c>
      <c r="C729" s="2" t="s">
        <v>243</v>
      </c>
      <c r="D729" s="2" t="s">
        <v>6</v>
      </c>
    </row>
    <row r="730" spans="1:4" ht="49.5">
      <c r="A730" s="2" t="s">
        <v>312</v>
      </c>
      <c r="B730" s="2" t="s">
        <v>313</v>
      </c>
      <c r="C730" s="2" t="s">
        <v>243</v>
      </c>
      <c r="D730" s="2" t="s">
        <v>11</v>
      </c>
    </row>
    <row r="731" spans="1:4" ht="49.5">
      <c r="A731" s="2" t="s">
        <v>330</v>
      </c>
      <c r="B731" s="2" t="s">
        <v>331</v>
      </c>
      <c r="C731" s="2" t="s">
        <v>243</v>
      </c>
      <c r="D731" s="2" t="s">
        <v>6</v>
      </c>
    </row>
    <row r="732" spans="1:4" ht="49.5">
      <c r="A732" s="2" t="s">
        <v>358</v>
      </c>
      <c r="B732" s="2" t="s">
        <v>359</v>
      </c>
      <c r="C732" s="2" t="s">
        <v>243</v>
      </c>
      <c r="D732" s="2" t="s">
        <v>9</v>
      </c>
    </row>
    <row r="733" spans="1:4" ht="49.5">
      <c r="A733" s="2" t="s">
        <v>372</v>
      </c>
      <c r="B733" s="2" t="s">
        <v>373</v>
      </c>
      <c r="C733" s="2" t="s">
        <v>243</v>
      </c>
      <c r="D733" s="2" t="s">
        <v>6</v>
      </c>
    </row>
    <row r="734" spans="1:4" ht="49.5">
      <c r="A734" s="2" t="s">
        <v>374</v>
      </c>
      <c r="B734" s="2" t="s">
        <v>375</v>
      </c>
      <c r="C734" s="2" t="s">
        <v>243</v>
      </c>
      <c r="D734" s="2" t="s">
        <v>11</v>
      </c>
    </row>
    <row r="735" spans="1:4" ht="49.5">
      <c r="A735" s="2" t="s">
        <v>502</v>
      </c>
      <c r="B735" s="2" t="s">
        <v>503</v>
      </c>
      <c r="C735" s="2" t="s">
        <v>243</v>
      </c>
      <c r="D735" s="2" t="s">
        <v>6</v>
      </c>
    </row>
    <row r="736" spans="1:4" ht="49.5">
      <c r="A736" s="2" t="s">
        <v>564</v>
      </c>
      <c r="B736" s="2" t="s">
        <v>565</v>
      </c>
      <c r="C736" s="2" t="s">
        <v>243</v>
      </c>
      <c r="D736" s="2" t="s">
        <v>6</v>
      </c>
    </row>
    <row r="737" spans="1:4" ht="49.5">
      <c r="A737" s="2" t="s">
        <v>566</v>
      </c>
      <c r="B737" s="2" t="s">
        <v>567</v>
      </c>
      <c r="C737" s="2" t="s">
        <v>243</v>
      </c>
      <c r="D737" s="2" t="s">
        <v>6</v>
      </c>
    </row>
    <row r="738" spans="1:4" ht="49.5">
      <c r="A738" s="2" t="s">
        <v>568</v>
      </c>
      <c r="B738" s="2" t="s">
        <v>569</v>
      </c>
      <c r="C738" s="2" t="s">
        <v>243</v>
      </c>
      <c r="D738" s="2" t="s">
        <v>6</v>
      </c>
    </row>
    <row r="739" spans="1:4" ht="49.5">
      <c r="A739" s="2" t="s">
        <v>570</v>
      </c>
      <c r="B739" s="2" t="s">
        <v>571</v>
      </c>
      <c r="C739" s="2" t="s">
        <v>243</v>
      </c>
      <c r="D739" s="2" t="s">
        <v>6</v>
      </c>
    </row>
    <row r="740" spans="1:4" ht="49.5">
      <c r="A740" s="2" t="s">
        <v>572</v>
      </c>
      <c r="B740" s="2" t="s">
        <v>573</v>
      </c>
      <c r="C740" s="2" t="s">
        <v>243</v>
      </c>
      <c r="D740" s="2" t="s">
        <v>6</v>
      </c>
    </row>
    <row r="741" spans="1:4" ht="49.5">
      <c r="A741" s="2" t="s">
        <v>574</v>
      </c>
      <c r="B741" s="2" t="s">
        <v>575</v>
      </c>
      <c r="C741" s="2" t="s">
        <v>243</v>
      </c>
      <c r="D741" s="2" t="s">
        <v>6</v>
      </c>
    </row>
    <row r="742" spans="1:4" ht="49.5">
      <c r="A742" s="2" t="s">
        <v>576</v>
      </c>
      <c r="B742" s="2" t="s">
        <v>577</v>
      </c>
      <c r="C742" s="2" t="s">
        <v>243</v>
      </c>
      <c r="D742" s="2" t="s">
        <v>6</v>
      </c>
    </row>
    <row r="743" spans="1:4" ht="49.5">
      <c r="A743" s="2" t="s">
        <v>578</v>
      </c>
      <c r="B743" s="2" t="s">
        <v>579</v>
      </c>
      <c r="C743" s="2" t="s">
        <v>243</v>
      </c>
      <c r="D743" s="2" t="s">
        <v>6</v>
      </c>
    </row>
    <row r="744" spans="1:4" ht="66">
      <c r="A744" s="2" t="s">
        <v>604</v>
      </c>
      <c r="B744" s="2" t="s">
        <v>605</v>
      </c>
      <c r="C744" s="2" t="s">
        <v>243</v>
      </c>
      <c r="D744" s="2" t="s">
        <v>6</v>
      </c>
    </row>
    <row r="745" spans="1:4" ht="66">
      <c r="A745" s="2" t="s">
        <v>608</v>
      </c>
      <c r="B745" s="2" t="s">
        <v>609</v>
      </c>
      <c r="C745" s="2" t="s">
        <v>243</v>
      </c>
      <c r="D745" s="2" t="s">
        <v>6</v>
      </c>
    </row>
    <row r="746" spans="1:4" ht="66">
      <c r="A746" s="2" t="s">
        <v>610</v>
      </c>
      <c r="B746" s="2" t="s">
        <v>611</v>
      </c>
      <c r="C746" s="2" t="s">
        <v>243</v>
      </c>
      <c r="D746" s="2" t="s">
        <v>6</v>
      </c>
    </row>
    <row r="747" spans="1:4" ht="66">
      <c r="A747" s="2" t="s">
        <v>612</v>
      </c>
      <c r="B747" s="2" t="s">
        <v>613</v>
      </c>
      <c r="C747" s="2" t="s">
        <v>243</v>
      </c>
      <c r="D747" s="2" t="s">
        <v>6</v>
      </c>
    </row>
    <row r="748" spans="1:4" ht="66">
      <c r="A748" s="2" t="s">
        <v>618</v>
      </c>
      <c r="B748" s="2" t="s">
        <v>619</v>
      </c>
      <c r="C748" s="2" t="s">
        <v>243</v>
      </c>
      <c r="D748" s="2" t="s">
        <v>9</v>
      </c>
    </row>
    <row r="749" spans="1:4" ht="66">
      <c r="A749" s="2" t="s">
        <v>620</v>
      </c>
      <c r="B749" s="2" t="s">
        <v>621</v>
      </c>
      <c r="C749" s="2" t="s">
        <v>243</v>
      </c>
      <c r="D749" s="2" t="s">
        <v>6</v>
      </c>
    </row>
    <row r="750" spans="1:4" ht="66">
      <c r="A750" s="2" t="s">
        <v>622</v>
      </c>
      <c r="B750" s="2" t="s">
        <v>623</v>
      </c>
      <c r="C750" s="2" t="s">
        <v>243</v>
      </c>
      <c r="D750" s="2" t="s">
        <v>6</v>
      </c>
    </row>
    <row r="751" spans="1:4" ht="66">
      <c r="A751" s="2" t="s">
        <v>624</v>
      </c>
      <c r="B751" s="2" t="s">
        <v>625</v>
      </c>
      <c r="C751" s="2" t="s">
        <v>243</v>
      </c>
      <c r="D751" s="2" t="s">
        <v>6</v>
      </c>
    </row>
    <row r="752" spans="1:4" ht="66">
      <c r="A752" s="2" t="s">
        <v>626</v>
      </c>
      <c r="B752" s="2" t="s">
        <v>627</v>
      </c>
      <c r="C752" s="2" t="s">
        <v>243</v>
      </c>
      <c r="D752" s="2" t="s">
        <v>6</v>
      </c>
    </row>
    <row r="753" spans="1:4" ht="66">
      <c r="A753" s="2" t="s">
        <v>628</v>
      </c>
      <c r="B753" s="2" t="s">
        <v>629</v>
      </c>
      <c r="C753" s="2" t="s">
        <v>243</v>
      </c>
      <c r="D753" s="2" t="s">
        <v>6</v>
      </c>
    </row>
    <row r="754" spans="1:4" ht="66">
      <c r="A754" s="2" t="s">
        <v>630</v>
      </c>
      <c r="B754" s="2" t="s">
        <v>631</v>
      </c>
      <c r="C754" s="2" t="s">
        <v>243</v>
      </c>
      <c r="D754" s="2" t="s">
        <v>6</v>
      </c>
    </row>
    <row r="755" spans="1:4" ht="66">
      <c r="A755" s="2" t="s">
        <v>632</v>
      </c>
      <c r="B755" s="2" t="s">
        <v>633</v>
      </c>
      <c r="C755" s="2" t="s">
        <v>243</v>
      </c>
      <c r="D755" s="2" t="s">
        <v>6</v>
      </c>
    </row>
    <row r="756" spans="1:4" ht="66">
      <c r="A756" s="2" t="s">
        <v>634</v>
      </c>
      <c r="B756" s="2" t="s">
        <v>635</v>
      </c>
      <c r="C756" s="2" t="s">
        <v>243</v>
      </c>
      <c r="D756" s="2" t="s">
        <v>6</v>
      </c>
    </row>
    <row r="757" spans="1:4" ht="66">
      <c r="A757" s="2" t="s">
        <v>636</v>
      </c>
      <c r="B757" s="2" t="s">
        <v>637</v>
      </c>
      <c r="C757" s="2" t="s">
        <v>243</v>
      </c>
      <c r="D757" s="2" t="s">
        <v>6</v>
      </c>
    </row>
    <row r="758" spans="1:4" ht="66">
      <c r="A758" s="2" t="s">
        <v>640</v>
      </c>
      <c r="B758" s="2" t="s">
        <v>641</v>
      </c>
      <c r="C758" s="2" t="s">
        <v>243</v>
      </c>
      <c r="D758" s="2" t="s">
        <v>6</v>
      </c>
    </row>
    <row r="759" spans="1:4" ht="66">
      <c r="A759" s="2" t="s">
        <v>642</v>
      </c>
      <c r="B759" s="2" t="s">
        <v>643</v>
      </c>
      <c r="C759" s="2" t="s">
        <v>243</v>
      </c>
      <c r="D759" s="2" t="s">
        <v>6</v>
      </c>
    </row>
    <row r="760" spans="1:4" ht="66">
      <c r="A760" s="2" t="s">
        <v>644</v>
      </c>
      <c r="B760" s="2" t="s">
        <v>645</v>
      </c>
      <c r="C760" s="2" t="s">
        <v>243</v>
      </c>
      <c r="D760" s="2" t="s">
        <v>6</v>
      </c>
    </row>
    <row r="761" spans="1:4" ht="66">
      <c r="A761" s="2" t="s">
        <v>646</v>
      </c>
      <c r="B761" s="2" t="s">
        <v>647</v>
      </c>
      <c r="C761" s="2" t="s">
        <v>243</v>
      </c>
      <c r="D761" s="2" t="s">
        <v>6</v>
      </c>
    </row>
    <row r="762" spans="1:4" ht="66">
      <c r="A762" s="2" t="s">
        <v>648</v>
      </c>
      <c r="B762" s="2" t="s">
        <v>649</v>
      </c>
      <c r="C762" s="2" t="s">
        <v>243</v>
      </c>
      <c r="D762" s="2" t="s">
        <v>6</v>
      </c>
    </row>
    <row r="763" spans="1:4" ht="66">
      <c r="A763" s="2" t="s">
        <v>650</v>
      </c>
      <c r="B763" s="2" t="s">
        <v>651</v>
      </c>
      <c r="C763" s="2" t="s">
        <v>243</v>
      </c>
      <c r="D763" s="2" t="s">
        <v>6</v>
      </c>
    </row>
    <row r="764" spans="1:4" ht="33">
      <c r="A764" s="2" t="s">
        <v>660</v>
      </c>
      <c r="B764" s="2" t="s">
        <v>661</v>
      </c>
      <c r="C764" s="2" t="s">
        <v>243</v>
      </c>
      <c r="D764" s="2" t="s">
        <v>9</v>
      </c>
    </row>
    <row r="765" spans="1:4" ht="66">
      <c r="A765" s="2" t="s">
        <v>778</v>
      </c>
      <c r="B765" s="2" t="s">
        <v>779</v>
      </c>
      <c r="C765" s="2" t="s">
        <v>243</v>
      </c>
      <c r="D765" s="2" t="s">
        <v>6</v>
      </c>
    </row>
    <row r="766" spans="1:4" ht="66">
      <c r="A766" s="2" t="s">
        <v>780</v>
      </c>
      <c r="B766" s="2" t="s">
        <v>781</v>
      </c>
      <c r="C766" s="2" t="s">
        <v>243</v>
      </c>
      <c r="D766" s="2" t="s">
        <v>6</v>
      </c>
    </row>
    <row r="767" spans="1:4" ht="66">
      <c r="A767" s="2" t="s">
        <v>782</v>
      </c>
      <c r="B767" s="2" t="s">
        <v>783</v>
      </c>
      <c r="C767" s="2" t="s">
        <v>243</v>
      </c>
      <c r="D767" s="2" t="s">
        <v>6</v>
      </c>
    </row>
    <row r="768" spans="1:4" ht="66">
      <c r="A768" s="2" t="s">
        <v>784</v>
      </c>
      <c r="B768" s="2" t="s">
        <v>785</v>
      </c>
      <c r="C768" s="2" t="s">
        <v>243</v>
      </c>
      <c r="D768" s="2" t="s">
        <v>6</v>
      </c>
    </row>
    <row r="769" spans="1:4" ht="66">
      <c r="A769" s="2" t="s">
        <v>798</v>
      </c>
      <c r="B769" s="2" t="s">
        <v>799</v>
      </c>
      <c r="C769" s="2" t="s">
        <v>243</v>
      </c>
      <c r="D769" s="2" t="s">
        <v>6</v>
      </c>
    </row>
    <row r="770" spans="1:4" ht="66">
      <c r="A770" s="2" t="s">
        <v>806</v>
      </c>
      <c r="B770" s="2" t="s">
        <v>807</v>
      </c>
      <c r="C770" s="2" t="s">
        <v>243</v>
      </c>
      <c r="D770" s="2" t="s">
        <v>6</v>
      </c>
    </row>
    <row r="771" spans="1:4" ht="66">
      <c r="A771" s="2" t="s">
        <v>808</v>
      </c>
      <c r="B771" s="2" t="s">
        <v>809</v>
      </c>
      <c r="C771" s="2" t="s">
        <v>243</v>
      </c>
      <c r="D771" s="2" t="s">
        <v>6</v>
      </c>
    </row>
    <row r="772" spans="1:4" ht="66">
      <c r="A772" s="2" t="s">
        <v>810</v>
      </c>
      <c r="B772" s="2" t="s">
        <v>811</v>
      </c>
      <c r="C772" s="2" t="s">
        <v>243</v>
      </c>
      <c r="D772" s="2" t="s">
        <v>6</v>
      </c>
    </row>
    <row r="773" spans="1:4" ht="66">
      <c r="A773" s="2" t="s">
        <v>812</v>
      </c>
      <c r="B773" s="2" t="s">
        <v>813</v>
      </c>
      <c r="C773" s="2" t="s">
        <v>243</v>
      </c>
      <c r="D773" s="2" t="s">
        <v>6</v>
      </c>
    </row>
    <row r="774" spans="1:4" ht="66">
      <c r="A774" s="2" t="s">
        <v>830</v>
      </c>
      <c r="B774" s="2" t="s">
        <v>831</v>
      </c>
      <c r="C774" s="2" t="s">
        <v>243</v>
      </c>
      <c r="D774" s="2" t="s">
        <v>6</v>
      </c>
    </row>
    <row r="775" spans="1:4" ht="66">
      <c r="A775" s="2" t="s">
        <v>832</v>
      </c>
      <c r="B775" s="2" t="s">
        <v>833</v>
      </c>
      <c r="C775" s="2" t="s">
        <v>243</v>
      </c>
      <c r="D775" s="2" t="s">
        <v>6</v>
      </c>
    </row>
    <row r="776" spans="1:4" ht="66">
      <c r="A776" s="2" t="s">
        <v>834</v>
      </c>
      <c r="B776" s="2" t="s">
        <v>835</v>
      </c>
      <c r="C776" s="2" t="s">
        <v>243</v>
      </c>
      <c r="D776" s="2" t="s">
        <v>6</v>
      </c>
    </row>
    <row r="777" spans="1:4" ht="66">
      <c r="A777" s="2" t="s">
        <v>836</v>
      </c>
      <c r="B777" s="2" t="s">
        <v>837</v>
      </c>
      <c r="C777" s="2" t="s">
        <v>243</v>
      </c>
      <c r="D777" s="2" t="s">
        <v>6</v>
      </c>
    </row>
    <row r="778" spans="1:4" ht="66">
      <c r="A778" s="2" t="s">
        <v>838</v>
      </c>
      <c r="B778" s="2" t="s">
        <v>839</v>
      </c>
      <c r="C778" s="2" t="s">
        <v>243</v>
      </c>
      <c r="D778" s="2" t="s">
        <v>6</v>
      </c>
    </row>
    <row r="779" spans="1:4" ht="66">
      <c r="A779" s="2" t="s">
        <v>840</v>
      </c>
      <c r="B779" s="2" t="s">
        <v>841</v>
      </c>
      <c r="C779" s="2" t="s">
        <v>243</v>
      </c>
      <c r="D779" s="2" t="s">
        <v>6</v>
      </c>
    </row>
    <row r="780" spans="1:4" ht="66">
      <c r="A780" s="2" t="s">
        <v>842</v>
      </c>
      <c r="B780" s="2" t="s">
        <v>843</v>
      </c>
      <c r="C780" s="2" t="s">
        <v>243</v>
      </c>
      <c r="D780" s="2" t="s">
        <v>6</v>
      </c>
    </row>
    <row r="781" spans="1:4" ht="66">
      <c r="A781" s="2" t="s">
        <v>856</v>
      </c>
      <c r="B781" s="2" t="s">
        <v>857</v>
      </c>
      <c r="C781" s="2" t="s">
        <v>243</v>
      </c>
      <c r="D781" s="2" t="s">
        <v>6</v>
      </c>
    </row>
    <row r="782" spans="1:4" ht="66">
      <c r="A782" s="2" t="s">
        <v>862</v>
      </c>
      <c r="B782" s="2" t="s">
        <v>863</v>
      </c>
      <c r="C782" s="2" t="s">
        <v>243</v>
      </c>
      <c r="D782" s="2" t="s">
        <v>6</v>
      </c>
    </row>
    <row r="783" spans="1:4" ht="66">
      <c r="A783" s="2" t="s">
        <v>864</v>
      </c>
      <c r="B783" s="2" t="s">
        <v>865</v>
      </c>
      <c r="C783" s="2" t="s">
        <v>243</v>
      </c>
      <c r="D783" s="2" t="s">
        <v>6</v>
      </c>
    </row>
    <row r="784" spans="1:4" ht="66">
      <c r="A784" s="2" t="s">
        <v>866</v>
      </c>
      <c r="B784" s="2" t="s">
        <v>867</v>
      </c>
      <c r="C784" s="2" t="s">
        <v>243</v>
      </c>
      <c r="D784" s="2" t="s">
        <v>6</v>
      </c>
    </row>
    <row r="785" spans="1:4" ht="66">
      <c r="A785" s="2" t="s">
        <v>868</v>
      </c>
      <c r="B785" s="2" t="s">
        <v>869</v>
      </c>
      <c r="C785" s="2" t="s">
        <v>243</v>
      </c>
      <c r="D785" s="2" t="s">
        <v>6</v>
      </c>
    </row>
    <row r="786" spans="1:4" ht="66">
      <c r="A786" s="2" t="s">
        <v>870</v>
      </c>
      <c r="B786" s="2" t="s">
        <v>871</v>
      </c>
      <c r="C786" s="2" t="s">
        <v>243</v>
      </c>
      <c r="D786" s="2" t="s">
        <v>6</v>
      </c>
    </row>
    <row r="787" spans="1:4" ht="66">
      <c r="A787" s="2" t="s">
        <v>872</v>
      </c>
      <c r="B787" s="2" t="s">
        <v>873</v>
      </c>
      <c r="C787" s="2" t="s">
        <v>243</v>
      </c>
      <c r="D787" s="2" t="s">
        <v>6</v>
      </c>
    </row>
    <row r="788" spans="1:4" ht="66">
      <c r="A788" s="2" t="s">
        <v>874</v>
      </c>
      <c r="B788" s="2" t="s">
        <v>875</v>
      </c>
      <c r="C788" s="2" t="s">
        <v>243</v>
      </c>
      <c r="D788" s="2" t="s">
        <v>6</v>
      </c>
    </row>
    <row r="789" spans="1:4" ht="66">
      <c r="A789" s="2" t="s">
        <v>888</v>
      </c>
      <c r="B789" s="2" t="s">
        <v>889</v>
      </c>
      <c r="C789" s="2" t="s">
        <v>243</v>
      </c>
      <c r="D789" s="2" t="s">
        <v>6</v>
      </c>
    </row>
    <row r="790" spans="1:4" ht="66">
      <c r="A790" s="2" t="s">
        <v>892</v>
      </c>
      <c r="B790" s="2" t="s">
        <v>893</v>
      </c>
      <c r="C790" s="2" t="s">
        <v>243</v>
      </c>
      <c r="D790" s="2" t="s">
        <v>6</v>
      </c>
    </row>
    <row r="791" spans="1:4" ht="66">
      <c r="A791" s="2" t="s">
        <v>898</v>
      </c>
      <c r="B791" s="2" t="s">
        <v>899</v>
      </c>
      <c r="C791" s="2" t="s">
        <v>243</v>
      </c>
      <c r="D791" s="2" t="s">
        <v>6</v>
      </c>
    </row>
    <row r="792" spans="1:4" ht="66">
      <c r="A792" s="2" t="s">
        <v>908</v>
      </c>
      <c r="B792" s="2" t="s">
        <v>909</v>
      </c>
      <c r="C792" s="2" t="s">
        <v>243</v>
      </c>
      <c r="D792" s="2" t="s">
        <v>6</v>
      </c>
    </row>
    <row r="793" spans="1:4" ht="66">
      <c r="A793" s="2" t="s">
        <v>910</v>
      </c>
      <c r="B793" s="2" t="s">
        <v>911</v>
      </c>
      <c r="C793" s="2" t="s">
        <v>243</v>
      </c>
      <c r="D793" s="2" t="s">
        <v>6</v>
      </c>
    </row>
    <row r="794" spans="1:4" ht="66">
      <c r="A794" s="2" t="s">
        <v>912</v>
      </c>
      <c r="B794" s="2" t="s">
        <v>913</v>
      </c>
      <c r="C794" s="2" t="s">
        <v>243</v>
      </c>
      <c r="D794" s="2" t="s">
        <v>6</v>
      </c>
    </row>
    <row r="795" spans="1:4" ht="66">
      <c r="A795" s="2" t="s">
        <v>914</v>
      </c>
      <c r="B795" s="2" t="s">
        <v>915</v>
      </c>
      <c r="C795" s="2" t="s">
        <v>243</v>
      </c>
      <c r="D795" s="2" t="s">
        <v>6</v>
      </c>
    </row>
    <row r="796" spans="1:4" ht="66">
      <c r="A796" s="2" t="s">
        <v>916</v>
      </c>
      <c r="B796" s="2" t="s">
        <v>917</v>
      </c>
      <c r="C796" s="2" t="s">
        <v>243</v>
      </c>
      <c r="D796" s="2" t="s">
        <v>6</v>
      </c>
    </row>
    <row r="797" spans="1:4" ht="66">
      <c r="A797" s="2" t="s">
        <v>918</v>
      </c>
      <c r="B797" s="2" t="s">
        <v>919</v>
      </c>
      <c r="C797" s="2" t="s">
        <v>243</v>
      </c>
      <c r="D797" s="2" t="s">
        <v>6</v>
      </c>
    </row>
    <row r="798" spans="1:4" ht="66">
      <c r="A798" s="2" t="s">
        <v>920</v>
      </c>
      <c r="B798" s="2" t="s">
        <v>921</v>
      </c>
      <c r="C798" s="2" t="s">
        <v>243</v>
      </c>
      <c r="D798" s="2" t="s">
        <v>6</v>
      </c>
    </row>
    <row r="799" spans="1:4" ht="66">
      <c r="A799" s="2" t="s">
        <v>922</v>
      </c>
      <c r="B799" s="2" t="s">
        <v>923</v>
      </c>
      <c r="C799" s="2" t="s">
        <v>243</v>
      </c>
      <c r="D799" s="2" t="s">
        <v>6</v>
      </c>
    </row>
    <row r="800" spans="1:4" ht="66">
      <c r="A800" s="2" t="s">
        <v>924</v>
      </c>
      <c r="B800" s="2" t="s">
        <v>925</v>
      </c>
      <c r="C800" s="2" t="s">
        <v>243</v>
      </c>
      <c r="D800" s="2" t="s">
        <v>6</v>
      </c>
    </row>
    <row r="801" spans="1:4" ht="66">
      <c r="A801" s="2" t="s">
        <v>926</v>
      </c>
      <c r="B801" s="2" t="s">
        <v>927</v>
      </c>
      <c r="C801" s="2" t="s">
        <v>243</v>
      </c>
      <c r="D801" s="2" t="s">
        <v>6</v>
      </c>
    </row>
    <row r="802" spans="1:4" ht="66">
      <c r="A802" s="2" t="s">
        <v>928</v>
      </c>
      <c r="B802" s="2" t="s">
        <v>929</v>
      </c>
      <c r="C802" s="2" t="s">
        <v>243</v>
      </c>
      <c r="D802" s="2" t="s">
        <v>6</v>
      </c>
    </row>
    <row r="803" spans="1:4" ht="66">
      <c r="A803" s="2" t="s">
        <v>930</v>
      </c>
      <c r="B803" s="2" t="s">
        <v>931</v>
      </c>
      <c r="C803" s="2" t="s">
        <v>243</v>
      </c>
      <c r="D803" s="2" t="s">
        <v>6</v>
      </c>
    </row>
    <row r="804" spans="1:4" ht="66">
      <c r="A804" s="2" t="s">
        <v>932</v>
      </c>
      <c r="B804" s="2" t="s">
        <v>933</v>
      </c>
      <c r="C804" s="2" t="s">
        <v>243</v>
      </c>
      <c r="D804" s="2" t="s">
        <v>6</v>
      </c>
    </row>
    <row r="805" spans="1:4" ht="66">
      <c r="A805" s="2" t="s">
        <v>934</v>
      </c>
      <c r="B805" s="2" t="s">
        <v>935</v>
      </c>
      <c r="C805" s="2" t="s">
        <v>243</v>
      </c>
      <c r="D805" s="2" t="s">
        <v>6</v>
      </c>
    </row>
    <row r="806" spans="1:4" ht="66">
      <c r="A806" s="2" t="s">
        <v>936</v>
      </c>
      <c r="B806" s="2" t="s">
        <v>937</v>
      </c>
      <c r="C806" s="2" t="s">
        <v>243</v>
      </c>
      <c r="D806" s="2" t="s">
        <v>6</v>
      </c>
    </row>
    <row r="807" spans="1:4" ht="66">
      <c r="A807" s="2" t="s">
        <v>938</v>
      </c>
      <c r="B807" s="2" t="s">
        <v>939</v>
      </c>
      <c r="C807" s="2" t="s">
        <v>243</v>
      </c>
      <c r="D807" s="2" t="s">
        <v>6</v>
      </c>
    </row>
    <row r="808" spans="1:4" ht="49.5">
      <c r="A808" s="2" t="s">
        <v>1182</v>
      </c>
      <c r="B808" s="2" t="s">
        <v>1183</v>
      </c>
      <c r="C808" s="2" t="s">
        <v>243</v>
      </c>
      <c r="D808" s="2" t="s">
        <v>6</v>
      </c>
    </row>
    <row r="809" spans="1:4" ht="49.5">
      <c r="A809" s="2" t="s">
        <v>1184</v>
      </c>
      <c r="B809" s="2" t="s">
        <v>1185</v>
      </c>
      <c r="C809" s="2" t="s">
        <v>243</v>
      </c>
      <c r="D809" s="2" t="s">
        <v>6</v>
      </c>
    </row>
    <row r="810" spans="1:4" ht="49.5">
      <c r="A810" s="2" t="s">
        <v>1188</v>
      </c>
      <c r="B810" s="2" t="s">
        <v>1189</v>
      </c>
      <c r="C810" s="2" t="s">
        <v>243</v>
      </c>
      <c r="D810" s="2" t="s">
        <v>6</v>
      </c>
    </row>
    <row r="811" spans="1:4" ht="49.5">
      <c r="A811" s="2" t="s">
        <v>1352</v>
      </c>
      <c r="B811" s="2" t="s">
        <v>1353</v>
      </c>
      <c r="C811" s="2" t="s">
        <v>243</v>
      </c>
      <c r="D811" s="2" t="s">
        <v>6</v>
      </c>
    </row>
    <row r="812" spans="1:4" ht="49.5">
      <c r="A812" s="2" t="s">
        <v>1360</v>
      </c>
      <c r="B812" s="2" t="s">
        <v>1361</v>
      </c>
      <c r="C812" s="2" t="s">
        <v>243</v>
      </c>
      <c r="D812" s="2" t="s">
        <v>6</v>
      </c>
    </row>
    <row r="813" spans="1:4" ht="49.5">
      <c r="A813" s="2" t="s">
        <v>1362</v>
      </c>
      <c r="B813" s="2" t="s">
        <v>1363</v>
      </c>
      <c r="C813" s="2" t="s">
        <v>243</v>
      </c>
      <c r="D813" s="2" t="s">
        <v>6</v>
      </c>
    </row>
    <row r="814" spans="1:4" ht="49.5">
      <c r="A814" s="2" t="s">
        <v>1378</v>
      </c>
      <c r="B814" s="2" t="s">
        <v>1379</v>
      </c>
      <c r="C814" s="2" t="s">
        <v>243</v>
      </c>
      <c r="D814" s="2" t="s">
        <v>6</v>
      </c>
    </row>
    <row r="815" spans="1:4" ht="66">
      <c r="A815" s="2" t="s">
        <v>1380</v>
      </c>
      <c r="B815" s="2" t="s">
        <v>1381</v>
      </c>
      <c r="C815" s="2" t="s">
        <v>243</v>
      </c>
      <c r="D815" s="2" t="s">
        <v>6</v>
      </c>
    </row>
    <row r="816" spans="1:4" ht="49.5">
      <c r="A816" s="2" t="s">
        <v>1382</v>
      </c>
      <c r="B816" s="2" t="s">
        <v>1383</v>
      </c>
      <c r="C816" s="2" t="s">
        <v>243</v>
      </c>
      <c r="D816" s="2" t="s">
        <v>6</v>
      </c>
    </row>
    <row r="817" spans="1:4" ht="49.5">
      <c r="A817" s="2" t="s">
        <v>1384</v>
      </c>
      <c r="B817" s="2" t="s">
        <v>1385</v>
      </c>
      <c r="C817" s="2" t="s">
        <v>243</v>
      </c>
      <c r="D817" s="2" t="s">
        <v>6</v>
      </c>
    </row>
    <row r="818" spans="1:4" ht="66">
      <c r="A818" s="2" t="s">
        <v>1386</v>
      </c>
      <c r="B818" s="2" t="s">
        <v>1387</v>
      </c>
      <c r="C818" s="2" t="s">
        <v>243</v>
      </c>
      <c r="D818" s="2" t="s">
        <v>6</v>
      </c>
    </row>
    <row r="819" spans="1:4" ht="49.5">
      <c r="A819" s="2" t="s">
        <v>1388</v>
      </c>
      <c r="B819" s="2" t="s">
        <v>1389</v>
      </c>
      <c r="C819" s="2" t="s">
        <v>243</v>
      </c>
      <c r="D819" s="2" t="s">
        <v>6</v>
      </c>
    </row>
    <row r="820" spans="1:4" ht="49.5">
      <c r="A820" s="2" t="s">
        <v>1390</v>
      </c>
      <c r="B820" s="2" t="s">
        <v>1391</v>
      </c>
      <c r="C820" s="2" t="s">
        <v>243</v>
      </c>
      <c r="D820" s="2" t="s">
        <v>6</v>
      </c>
    </row>
    <row r="821" spans="1:4" ht="66">
      <c r="A821" s="2" t="s">
        <v>1392</v>
      </c>
      <c r="B821" s="2" t="s">
        <v>1393</v>
      </c>
      <c r="C821" s="2" t="s">
        <v>243</v>
      </c>
      <c r="D821" s="2" t="s">
        <v>6</v>
      </c>
    </row>
    <row r="822" spans="1:4" ht="49.5">
      <c r="A822" s="2" t="s">
        <v>1394</v>
      </c>
      <c r="B822" s="2" t="s">
        <v>1395</v>
      </c>
      <c r="C822" s="2" t="s">
        <v>243</v>
      </c>
      <c r="D822" s="2" t="s">
        <v>6</v>
      </c>
    </row>
    <row r="823" spans="1:4" ht="49.5">
      <c r="A823" s="2" t="s">
        <v>1396</v>
      </c>
      <c r="B823" s="2" t="s">
        <v>1397</v>
      </c>
      <c r="C823" s="2" t="s">
        <v>243</v>
      </c>
      <c r="D823" s="2" t="s">
        <v>6</v>
      </c>
    </row>
    <row r="824" spans="1:4" ht="49.5">
      <c r="A824" s="2" t="s">
        <v>1398</v>
      </c>
      <c r="B824" s="2" t="s">
        <v>1399</v>
      </c>
      <c r="C824" s="2" t="s">
        <v>243</v>
      </c>
      <c r="D824" s="2" t="s">
        <v>6</v>
      </c>
    </row>
    <row r="825" spans="1:4" ht="49.5">
      <c r="A825" s="2" t="s">
        <v>1400</v>
      </c>
      <c r="B825" s="2" t="s">
        <v>1401</v>
      </c>
      <c r="C825" s="2" t="s">
        <v>243</v>
      </c>
      <c r="D825" s="2" t="s">
        <v>6</v>
      </c>
    </row>
    <row r="826" spans="1:4" ht="49.5">
      <c r="A826" s="2" t="s">
        <v>1402</v>
      </c>
      <c r="B826" s="2" t="s">
        <v>1403</v>
      </c>
      <c r="C826" s="2" t="s">
        <v>243</v>
      </c>
      <c r="D826" s="2" t="s">
        <v>6</v>
      </c>
    </row>
    <row r="827" spans="1:4" ht="49.5">
      <c r="A827" s="2" t="s">
        <v>1404</v>
      </c>
      <c r="B827" s="2" t="s">
        <v>1405</v>
      </c>
      <c r="C827" s="2" t="s">
        <v>243</v>
      </c>
      <c r="D827" s="2" t="s">
        <v>6</v>
      </c>
    </row>
    <row r="828" spans="1:4" ht="49.5">
      <c r="A828" s="2" t="s">
        <v>1406</v>
      </c>
      <c r="B828" s="2" t="s">
        <v>1407</v>
      </c>
      <c r="C828" s="2" t="s">
        <v>243</v>
      </c>
      <c r="D828" s="2" t="s">
        <v>6</v>
      </c>
    </row>
    <row r="829" spans="1:4" ht="49.5">
      <c r="A829" s="2" t="s">
        <v>1408</v>
      </c>
      <c r="B829" s="2" t="s">
        <v>1409</v>
      </c>
      <c r="C829" s="2" t="s">
        <v>243</v>
      </c>
      <c r="D829" s="2" t="s">
        <v>6</v>
      </c>
    </row>
    <row r="830" spans="1:4" ht="66">
      <c r="A830" s="2" t="s">
        <v>1410</v>
      </c>
      <c r="B830" s="2" t="s">
        <v>1411</v>
      </c>
      <c r="C830" s="2" t="s">
        <v>243</v>
      </c>
      <c r="D830" s="2" t="s">
        <v>6</v>
      </c>
    </row>
    <row r="831" spans="1:4" ht="66">
      <c r="A831" s="2" t="s">
        <v>1412</v>
      </c>
      <c r="B831" s="2" t="s">
        <v>1413</v>
      </c>
      <c r="C831" s="2" t="s">
        <v>243</v>
      </c>
      <c r="D831" s="2" t="s">
        <v>6</v>
      </c>
    </row>
    <row r="832" spans="1:4" ht="49.5">
      <c r="A832" s="2" t="s">
        <v>1414</v>
      </c>
      <c r="B832" s="2" t="s">
        <v>1415</v>
      </c>
      <c r="C832" s="2" t="s">
        <v>243</v>
      </c>
      <c r="D832" s="2" t="s">
        <v>6</v>
      </c>
    </row>
    <row r="833" spans="1:4" ht="49.5">
      <c r="A833" s="2" t="s">
        <v>1416</v>
      </c>
      <c r="B833" s="2" t="s">
        <v>1417</v>
      </c>
      <c r="C833" s="2" t="s">
        <v>243</v>
      </c>
      <c r="D833" s="2" t="s">
        <v>6</v>
      </c>
    </row>
    <row r="834" spans="1:4" ht="49.5">
      <c r="A834" s="2" t="s">
        <v>1418</v>
      </c>
      <c r="B834" s="2" t="s">
        <v>1419</v>
      </c>
      <c r="C834" s="2" t="s">
        <v>243</v>
      </c>
      <c r="D834" s="2" t="s">
        <v>6</v>
      </c>
    </row>
    <row r="835" spans="1:4" ht="66">
      <c r="A835" s="2" t="s">
        <v>1420</v>
      </c>
      <c r="B835" s="2" t="s">
        <v>1421</v>
      </c>
      <c r="C835" s="2" t="s">
        <v>243</v>
      </c>
      <c r="D835" s="2" t="s">
        <v>6</v>
      </c>
    </row>
    <row r="836" spans="1:4" ht="66">
      <c r="A836" s="2" t="s">
        <v>1422</v>
      </c>
      <c r="B836" s="2" t="s">
        <v>1423</v>
      </c>
      <c r="C836" s="2" t="s">
        <v>243</v>
      </c>
      <c r="D836" s="2" t="s">
        <v>6</v>
      </c>
    </row>
    <row r="837" spans="1:4" ht="66">
      <c r="A837" s="2" t="s">
        <v>1424</v>
      </c>
      <c r="B837" s="2" t="s">
        <v>1425</v>
      </c>
      <c r="C837" s="2" t="s">
        <v>243</v>
      </c>
      <c r="D837" s="2" t="s">
        <v>6</v>
      </c>
    </row>
    <row r="838" spans="1:4" ht="66">
      <c r="A838" s="2" t="s">
        <v>1426</v>
      </c>
      <c r="B838" s="2" t="s">
        <v>1427</v>
      </c>
      <c r="C838" s="2" t="s">
        <v>243</v>
      </c>
      <c r="D838" s="2" t="s">
        <v>6</v>
      </c>
    </row>
    <row r="839" spans="1:4" ht="66">
      <c r="A839" s="2" t="s">
        <v>1428</v>
      </c>
      <c r="B839" s="2" t="s">
        <v>1429</v>
      </c>
      <c r="C839" s="2" t="s">
        <v>243</v>
      </c>
      <c r="D839" s="2" t="s">
        <v>6</v>
      </c>
    </row>
    <row r="840" spans="1:4" ht="49.5">
      <c r="A840" s="2" t="s">
        <v>1430</v>
      </c>
      <c r="B840" s="2" t="s">
        <v>1431</v>
      </c>
      <c r="C840" s="2" t="s">
        <v>243</v>
      </c>
      <c r="D840" s="2" t="s">
        <v>6</v>
      </c>
    </row>
    <row r="841" spans="1:4" ht="49.5">
      <c r="A841" s="2" t="s">
        <v>1432</v>
      </c>
      <c r="B841" s="2" t="s">
        <v>1433</v>
      </c>
      <c r="C841" s="2" t="s">
        <v>243</v>
      </c>
      <c r="D841" s="2" t="s">
        <v>6</v>
      </c>
    </row>
    <row r="842" spans="1:4" ht="49.5">
      <c r="A842" s="2" t="s">
        <v>1434</v>
      </c>
      <c r="B842" s="2" t="s">
        <v>1435</v>
      </c>
      <c r="C842" s="2" t="s">
        <v>243</v>
      </c>
      <c r="D842" s="2" t="s">
        <v>6</v>
      </c>
    </row>
    <row r="843" spans="1:4" ht="49.5">
      <c r="A843" s="2" t="s">
        <v>1436</v>
      </c>
      <c r="B843" s="2" t="s">
        <v>1437</v>
      </c>
      <c r="C843" s="2" t="s">
        <v>243</v>
      </c>
      <c r="D843" s="2" t="s">
        <v>6</v>
      </c>
    </row>
    <row r="844" spans="1:4" ht="49.5">
      <c r="A844" s="2" t="s">
        <v>1444</v>
      </c>
      <c r="B844" s="2" t="s">
        <v>1445</v>
      </c>
      <c r="C844" s="2" t="s">
        <v>243</v>
      </c>
      <c r="D844" s="2" t="s">
        <v>6</v>
      </c>
    </row>
    <row r="845" spans="1:4" ht="66">
      <c r="A845" s="2" t="s">
        <v>1446</v>
      </c>
      <c r="B845" s="2" t="s">
        <v>1447</v>
      </c>
      <c r="C845" s="2" t="s">
        <v>243</v>
      </c>
      <c r="D845" s="2" t="s">
        <v>6</v>
      </c>
    </row>
    <row r="846" spans="1:4" ht="66">
      <c r="A846" s="2" t="s">
        <v>1448</v>
      </c>
      <c r="B846" s="2" t="s">
        <v>1449</v>
      </c>
      <c r="C846" s="2" t="s">
        <v>243</v>
      </c>
      <c r="D846" s="2" t="s">
        <v>6</v>
      </c>
    </row>
    <row r="847" spans="1:4" ht="66">
      <c r="A847" s="2" t="s">
        <v>1450</v>
      </c>
      <c r="B847" s="2" t="s">
        <v>1451</v>
      </c>
      <c r="C847" s="2" t="s">
        <v>243</v>
      </c>
      <c r="D847" s="2" t="s">
        <v>6</v>
      </c>
    </row>
    <row r="848" spans="1:4" ht="49.5">
      <c r="A848" s="2" t="s">
        <v>1452</v>
      </c>
      <c r="B848" s="2" t="s">
        <v>1453</v>
      </c>
      <c r="C848" s="2" t="s">
        <v>243</v>
      </c>
      <c r="D848" s="2" t="s">
        <v>6</v>
      </c>
    </row>
    <row r="849" spans="1:4" ht="49.5">
      <c r="A849" s="2" t="s">
        <v>1454</v>
      </c>
      <c r="B849" s="2" t="s">
        <v>1455</v>
      </c>
      <c r="C849" s="2" t="s">
        <v>243</v>
      </c>
      <c r="D849" s="2" t="s">
        <v>6</v>
      </c>
    </row>
    <row r="850" spans="1:4" ht="49.5">
      <c r="A850" s="2" t="s">
        <v>1456</v>
      </c>
      <c r="B850" s="2" t="s">
        <v>1457</v>
      </c>
      <c r="C850" s="2" t="s">
        <v>243</v>
      </c>
      <c r="D850" s="2" t="s">
        <v>6</v>
      </c>
    </row>
    <row r="851" spans="1:4" ht="49.5">
      <c r="A851" s="2" t="s">
        <v>1458</v>
      </c>
      <c r="B851" s="2" t="s">
        <v>1459</v>
      </c>
      <c r="C851" s="2" t="s">
        <v>243</v>
      </c>
      <c r="D851" s="2" t="s">
        <v>6</v>
      </c>
    </row>
    <row r="852" spans="1:4" ht="49.5">
      <c r="A852" s="2" t="s">
        <v>1460</v>
      </c>
      <c r="B852" s="2" t="s">
        <v>1461</v>
      </c>
      <c r="C852" s="2" t="s">
        <v>243</v>
      </c>
      <c r="D852" s="2" t="s">
        <v>6</v>
      </c>
    </row>
    <row r="853" spans="1:4" ht="49.5">
      <c r="A853" s="2" t="s">
        <v>1462</v>
      </c>
      <c r="B853" s="2" t="s">
        <v>1463</v>
      </c>
      <c r="C853" s="2" t="s">
        <v>243</v>
      </c>
      <c r="D853" s="2" t="s">
        <v>6</v>
      </c>
    </row>
    <row r="854" spans="1:4" ht="49.5">
      <c r="A854" s="2" t="s">
        <v>1464</v>
      </c>
      <c r="B854" s="2" t="s">
        <v>1465</v>
      </c>
      <c r="C854" s="2" t="s">
        <v>243</v>
      </c>
      <c r="D854" s="2" t="s">
        <v>6</v>
      </c>
    </row>
    <row r="855" spans="1:4" ht="49.5">
      <c r="A855" s="2" t="s">
        <v>1466</v>
      </c>
      <c r="B855" s="2" t="s">
        <v>1467</v>
      </c>
      <c r="C855" s="2" t="s">
        <v>243</v>
      </c>
      <c r="D855" s="2" t="s">
        <v>6</v>
      </c>
    </row>
    <row r="856" spans="1:4" ht="49.5">
      <c r="A856" s="2" t="s">
        <v>1468</v>
      </c>
      <c r="B856" s="2" t="s">
        <v>1469</v>
      </c>
      <c r="C856" s="2" t="s">
        <v>243</v>
      </c>
      <c r="D856" s="2" t="s">
        <v>6</v>
      </c>
    </row>
    <row r="857" spans="1:4" ht="49.5">
      <c r="A857" s="2" t="s">
        <v>1630</v>
      </c>
      <c r="B857" s="2" t="s">
        <v>1631</v>
      </c>
      <c r="C857" s="2" t="s">
        <v>243</v>
      </c>
      <c r="D857" s="2" t="s">
        <v>6</v>
      </c>
    </row>
    <row r="858" spans="1:4" ht="49.5">
      <c r="A858" s="2" t="s">
        <v>1632</v>
      </c>
      <c r="B858" s="2" t="s">
        <v>1633</v>
      </c>
      <c r="C858" s="2" t="s">
        <v>243</v>
      </c>
      <c r="D858" s="2" t="s">
        <v>11</v>
      </c>
    </row>
  </sheetData>
  <customSheetViews>
    <customSheetView guid="{5693F48F-8FCA-4CC0-9286-11E7497B1810}" state="hidden" topLeftCell="A481">
      <selection activeCell="H3" sqref="H3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59"/>
  <sheetViews>
    <sheetView workbookViewId="0">
      <selection activeCell="I18" sqref="I18"/>
    </sheetView>
  </sheetViews>
  <sheetFormatPr defaultRowHeight="16.5"/>
  <sheetData>
    <row r="1" spans="1:3">
      <c r="A1" s="1" t="s">
        <v>1730</v>
      </c>
      <c r="B1" s="1" t="s">
        <v>1731</v>
      </c>
      <c r="C1" s="1" t="s">
        <v>2048</v>
      </c>
    </row>
    <row r="2" spans="1:3">
      <c r="A2" s="1" t="s">
        <v>1732</v>
      </c>
      <c r="B2" s="1" t="s">
        <v>1733</v>
      </c>
      <c r="C2" s="1" t="s">
        <v>2048</v>
      </c>
    </row>
    <row r="3" spans="1:3">
      <c r="A3" s="1" t="s">
        <v>1734</v>
      </c>
      <c r="B3" s="1" t="s">
        <v>1735</v>
      </c>
      <c r="C3" s="1" t="s">
        <v>2048</v>
      </c>
    </row>
    <row r="4" spans="1:3">
      <c r="A4" s="1" t="s">
        <v>1736</v>
      </c>
      <c r="B4" s="1" t="s">
        <v>1737</v>
      </c>
      <c r="C4" s="1" t="s">
        <v>2048</v>
      </c>
    </row>
    <row r="5" spans="1:3">
      <c r="A5" s="1" t="s">
        <v>1738</v>
      </c>
      <c r="B5" s="1" t="s">
        <v>1739</v>
      </c>
      <c r="C5" s="1" t="s">
        <v>2048</v>
      </c>
    </row>
    <row r="6" spans="1:3">
      <c r="A6" s="1" t="s">
        <v>1740</v>
      </c>
      <c r="B6" s="1" t="s">
        <v>1741</v>
      </c>
      <c r="C6" s="1" t="s">
        <v>2049</v>
      </c>
    </row>
    <row r="7" spans="1:3">
      <c r="A7" s="1" t="s">
        <v>1742</v>
      </c>
      <c r="B7" s="1" t="s">
        <v>1743</v>
      </c>
      <c r="C7" s="1" t="s">
        <v>2049</v>
      </c>
    </row>
    <row r="8" spans="1:3">
      <c r="A8" s="1" t="s">
        <v>1744</v>
      </c>
      <c r="B8" s="1" t="s">
        <v>1745</v>
      </c>
      <c r="C8" s="1" t="s">
        <v>2049</v>
      </c>
    </row>
    <row r="9" spans="1:3">
      <c r="A9" s="1" t="s">
        <v>1746</v>
      </c>
      <c r="B9" s="1" t="s">
        <v>1747</v>
      </c>
      <c r="C9" s="1" t="s">
        <v>2049</v>
      </c>
    </row>
    <row r="10" spans="1:3">
      <c r="A10" s="1" t="s">
        <v>1748</v>
      </c>
      <c r="B10" s="1" t="s">
        <v>1749</v>
      </c>
      <c r="C10" s="1" t="s">
        <v>2049</v>
      </c>
    </row>
    <row r="11" spans="1:3">
      <c r="A11" s="1" t="s">
        <v>1750</v>
      </c>
      <c r="B11" s="1" t="s">
        <v>1751</v>
      </c>
      <c r="C11" s="1" t="s">
        <v>2049</v>
      </c>
    </row>
    <row r="12" spans="1:3">
      <c r="A12" s="1" t="s">
        <v>1752</v>
      </c>
      <c r="B12" s="1" t="s">
        <v>1753</v>
      </c>
      <c r="C12" s="1" t="s">
        <v>2049</v>
      </c>
    </row>
    <row r="13" spans="1:3">
      <c r="A13" s="1" t="s">
        <v>1754</v>
      </c>
      <c r="B13" s="1" t="s">
        <v>1755</v>
      </c>
      <c r="C13" s="1" t="s">
        <v>2049</v>
      </c>
    </row>
    <row r="14" spans="1:3">
      <c r="A14" s="1" t="s">
        <v>1756</v>
      </c>
      <c r="B14" s="1" t="s">
        <v>1757</v>
      </c>
      <c r="C14" s="1" t="s">
        <v>2049</v>
      </c>
    </row>
    <row r="15" spans="1:3">
      <c r="A15" s="1" t="s">
        <v>1758</v>
      </c>
      <c r="B15" s="1" t="s">
        <v>1759</v>
      </c>
      <c r="C15" s="1" t="s">
        <v>2049</v>
      </c>
    </row>
    <row r="16" spans="1:3">
      <c r="A16" s="1" t="s">
        <v>1760</v>
      </c>
      <c r="B16" s="1" t="s">
        <v>1761</v>
      </c>
      <c r="C16" s="1" t="s">
        <v>2049</v>
      </c>
    </row>
    <row r="17" spans="1:3">
      <c r="A17" s="1" t="s">
        <v>1762</v>
      </c>
      <c r="B17" s="1" t="s">
        <v>1763</v>
      </c>
      <c r="C17" s="1" t="s">
        <v>2049</v>
      </c>
    </row>
    <row r="18" spans="1:3">
      <c r="A18" s="1" t="s">
        <v>1764</v>
      </c>
      <c r="B18" s="1" t="s">
        <v>1765</v>
      </c>
      <c r="C18" s="1" t="s">
        <v>2049</v>
      </c>
    </row>
    <row r="19" spans="1:3">
      <c r="A19" s="1" t="s">
        <v>1766</v>
      </c>
      <c r="B19" s="1" t="s">
        <v>1767</v>
      </c>
      <c r="C19" s="1" t="s">
        <v>2049</v>
      </c>
    </row>
    <row r="20" spans="1:3">
      <c r="A20" s="1" t="s">
        <v>1768</v>
      </c>
      <c r="B20" s="1" t="s">
        <v>1769</v>
      </c>
      <c r="C20" s="1" t="s">
        <v>2049</v>
      </c>
    </row>
    <row r="21" spans="1:3">
      <c r="A21" s="1" t="s">
        <v>1770</v>
      </c>
      <c r="B21" s="1" t="s">
        <v>1771</v>
      </c>
      <c r="C21" s="1" t="s">
        <v>2049</v>
      </c>
    </row>
    <row r="22" spans="1:3">
      <c r="A22" s="1" t="s">
        <v>1772</v>
      </c>
      <c r="B22" s="1" t="s">
        <v>1773</v>
      </c>
      <c r="C22" s="1" t="s">
        <v>2049</v>
      </c>
    </row>
    <row r="23" spans="1:3">
      <c r="A23" s="1" t="s">
        <v>1774</v>
      </c>
      <c r="B23" s="1" t="s">
        <v>1775</v>
      </c>
      <c r="C23" s="1" t="s">
        <v>2049</v>
      </c>
    </row>
    <row r="24" spans="1:3">
      <c r="A24" s="1" t="s">
        <v>1776</v>
      </c>
      <c r="B24" s="1" t="s">
        <v>1777</v>
      </c>
      <c r="C24" s="1" t="s">
        <v>2049</v>
      </c>
    </row>
    <row r="25" spans="1:3">
      <c r="A25" s="1" t="s">
        <v>1778</v>
      </c>
      <c r="B25" s="1" t="s">
        <v>1779</v>
      </c>
      <c r="C25" s="1" t="s">
        <v>2049</v>
      </c>
    </row>
    <row r="26" spans="1:3">
      <c r="A26" s="1" t="s">
        <v>1780</v>
      </c>
      <c r="B26" s="1" t="s">
        <v>1781</v>
      </c>
      <c r="C26" s="1" t="s">
        <v>2049</v>
      </c>
    </row>
    <row r="27" spans="1:3">
      <c r="A27" s="1" t="s">
        <v>1782</v>
      </c>
      <c r="B27" s="1" t="s">
        <v>1783</v>
      </c>
      <c r="C27" s="1" t="s">
        <v>2049</v>
      </c>
    </row>
    <row r="28" spans="1:3">
      <c r="A28" s="1" t="s">
        <v>1784</v>
      </c>
      <c r="B28" s="1" t="s">
        <v>1785</v>
      </c>
      <c r="C28" s="1" t="s">
        <v>2049</v>
      </c>
    </row>
    <row r="29" spans="1:3">
      <c r="A29" s="1" t="s">
        <v>1786</v>
      </c>
      <c r="B29" s="1" t="s">
        <v>1787</v>
      </c>
      <c r="C29" s="1" t="s">
        <v>2049</v>
      </c>
    </row>
    <row r="30" spans="1:3">
      <c r="A30" s="1" t="s">
        <v>1788</v>
      </c>
      <c r="B30" s="1" t="s">
        <v>1789</v>
      </c>
      <c r="C30" s="1" t="s">
        <v>2049</v>
      </c>
    </row>
    <row r="31" spans="1:3">
      <c r="A31" s="1" t="s">
        <v>1790</v>
      </c>
      <c r="B31" s="1" t="s">
        <v>1791</v>
      </c>
      <c r="C31" s="1" t="s">
        <v>2049</v>
      </c>
    </row>
    <row r="32" spans="1:3">
      <c r="A32" s="1" t="s">
        <v>1792</v>
      </c>
      <c r="B32" s="1" t="s">
        <v>1793</v>
      </c>
      <c r="C32" s="1" t="s">
        <v>2049</v>
      </c>
    </row>
    <row r="33" spans="1:3">
      <c r="A33" s="1" t="s">
        <v>1794</v>
      </c>
      <c r="B33" s="1" t="s">
        <v>1795</v>
      </c>
      <c r="C33" s="1" t="s">
        <v>2049</v>
      </c>
    </row>
    <row r="34" spans="1:3">
      <c r="A34" s="1" t="s">
        <v>1796</v>
      </c>
      <c r="B34" s="1" t="s">
        <v>1797</v>
      </c>
      <c r="C34" s="1" t="s">
        <v>2049</v>
      </c>
    </row>
    <row r="35" spans="1:3">
      <c r="A35" s="1" t="s">
        <v>1798</v>
      </c>
      <c r="B35" s="1" t="s">
        <v>1799</v>
      </c>
      <c r="C35" s="1" t="s">
        <v>2049</v>
      </c>
    </row>
    <row r="36" spans="1:3">
      <c r="A36" s="1" t="s">
        <v>1800</v>
      </c>
      <c r="B36" s="1" t="s">
        <v>1801</v>
      </c>
      <c r="C36" s="1" t="s">
        <v>2049</v>
      </c>
    </row>
    <row r="37" spans="1:3">
      <c r="A37" s="1" t="s">
        <v>1802</v>
      </c>
      <c r="B37" s="1" t="s">
        <v>1803</v>
      </c>
      <c r="C37" s="1" t="s">
        <v>2049</v>
      </c>
    </row>
    <row r="38" spans="1:3">
      <c r="A38" s="1" t="s">
        <v>1804</v>
      </c>
      <c r="B38" s="1" t="s">
        <v>1805</v>
      </c>
      <c r="C38" s="1" t="s">
        <v>2049</v>
      </c>
    </row>
    <row r="39" spans="1:3">
      <c r="A39" s="1" t="s">
        <v>1806</v>
      </c>
      <c r="B39" s="1" t="s">
        <v>1807</v>
      </c>
      <c r="C39" s="1" t="s">
        <v>2049</v>
      </c>
    </row>
    <row r="40" spans="1:3">
      <c r="A40" s="1" t="s">
        <v>1808</v>
      </c>
      <c r="B40" s="1" t="s">
        <v>1809</v>
      </c>
      <c r="C40" s="1" t="s">
        <v>2049</v>
      </c>
    </row>
    <row r="41" spans="1:3">
      <c r="A41" s="1" t="s">
        <v>1810</v>
      </c>
      <c r="B41" s="1" t="s">
        <v>1811</v>
      </c>
      <c r="C41" s="1" t="s">
        <v>2049</v>
      </c>
    </row>
    <row r="42" spans="1:3">
      <c r="A42" s="1" t="s">
        <v>1812</v>
      </c>
      <c r="B42" s="1" t="s">
        <v>1813</v>
      </c>
      <c r="C42" s="1" t="s">
        <v>2049</v>
      </c>
    </row>
    <row r="43" spans="1:3">
      <c r="A43" s="1" t="s">
        <v>1814</v>
      </c>
      <c r="B43" s="1" t="s">
        <v>1815</v>
      </c>
      <c r="C43" s="1" t="s">
        <v>2049</v>
      </c>
    </row>
    <row r="44" spans="1:3">
      <c r="A44" s="1" t="s">
        <v>1816</v>
      </c>
      <c r="B44" s="1" t="s">
        <v>1817</v>
      </c>
      <c r="C44" s="1" t="s">
        <v>2049</v>
      </c>
    </row>
    <row r="45" spans="1:3">
      <c r="A45" s="1" t="s">
        <v>1818</v>
      </c>
      <c r="B45" s="1" t="s">
        <v>1819</v>
      </c>
      <c r="C45" s="1" t="s">
        <v>2049</v>
      </c>
    </row>
    <row r="46" spans="1:3">
      <c r="A46" s="1" t="s">
        <v>1820</v>
      </c>
      <c r="B46" s="1" t="s">
        <v>1821</v>
      </c>
      <c r="C46" s="1" t="s">
        <v>2049</v>
      </c>
    </row>
    <row r="47" spans="1:3">
      <c r="A47" s="1" t="s">
        <v>1822</v>
      </c>
      <c r="B47" s="1" t="s">
        <v>1823</v>
      </c>
      <c r="C47" s="1" t="s">
        <v>2049</v>
      </c>
    </row>
    <row r="48" spans="1:3">
      <c r="A48" s="1" t="s">
        <v>1824</v>
      </c>
      <c r="B48" s="1" t="s">
        <v>1825</v>
      </c>
      <c r="C48" s="1" t="s">
        <v>2049</v>
      </c>
    </row>
    <row r="49" spans="1:3">
      <c r="A49" s="1" t="s">
        <v>1826</v>
      </c>
      <c r="B49" s="1" t="s">
        <v>1827</v>
      </c>
      <c r="C49" s="1" t="s">
        <v>2049</v>
      </c>
    </row>
    <row r="50" spans="1:3">
      <c r="A50" s="1" t="s">
        <v>1828</v>
      </c>
      <c r="B50" s="1" t="s">
        <v>1829</v>
      </c>
      <c r="C50" s="1" t="s">
        <v>2049</v>
      </c>
    </row>
    <row r="51" spans="1:3">
      <c r="A51" s="1" t="s">
        <v>1830</v>
      </c>
      <c r="B51" s="1" t="s">
        <v>1831</v>
      </c>
      <c r="C51" s="1" t="s">
        <v>2049</v>
      </c>
    </row>
    <row r="52" spans="1:3">
      <c r="A52" s="1" t="s">
        <v>1832</v>
      </c>
      <c r="B52" s="1" t="s">
        <v>1833</v>
      </c>
      <c r="C52" s="1" t="s">
        <v>2049</v>
      </c>
    </row>
    <row r="53" spans="1:3">
      <c r="A53" s="1" t="s">
        <v>1834</v>
      </c>
      <c r="B53" s="1" t="s">
        <v>1835</v>
      </c>
      <c r="C53" s="1" t="s">
        <v>2049</v>
      </c>
    </row>
    <row r="54" spans="1:3">
      <c r="A54" s="1" t="s">
        <v>1836</v>
      </c>
      <c r="B54" s="1" t="s">
        <v>1837</v>
      </c>
      <c r="C54" s="1" t="s">
        <v>2049</v>
      </c>
    </row>
    <row r="55" spans="1:3">
      <c r="A55" s="1" t="s">
        <v>1838</v>
      </c>
      <c r="B55" s="1" t="s">
        <v>1839</v>
      </c>
      <c r="C55" s="1" t="s">
        <v>2049</v>
      </c>
    </row>
    <row r="56" spans="1:3">
      <c r="A56" s="1" t="s">
        <v>1840</v>
      </c>
      <c r="B56" s="1" t="s">
        <v>1841</v>
      </c>
      <c r="C56" s="1" t="s">
        <v>2049</v>
      </c>
    </row>
    <row r="57" spans="1:3">
      <c r="A57" s="1" t="s">
        <v>1842</v>
      </c>
      <c r="B57" s="1" t="s">
        <v>1843</v>
      </c>
      <c r="C57" s="1" t="s">
        <v>2049</v>
      </c>
    </row>
    <row r="58" spans="1:3">
      <c r="A58" s="1" t="s">
        <v>1844</v>
      </c>
      <c r="B58" s="1" t="s">
        <v>1845</v>
      </c>
      <c r="C58" s="1" t="s">
        <v>2049</v>
      </c>
    </row>
    <row r="59" spans="1:3">
      <c r="A59" s="1" t="s">
        <v>1846</v>
      </c>
      <c r="B59" s="1" t="s">
        <v>1847</v>
      </c>
      <c r="C59" s="1" t="s">
        <v>2049</v>
      </c>
    </row>
    <row r="60" spans="1:3">
      <c r="A60" s="1" t="s">
        <v>1848</v>
      </c>
      <c r="B60" s="1" t="s">
        <v>1849</v>
      </c>
      <c r="C60" s="1" t="s">
        <v>2049</v>
      </c>
    </row>
    <row r="61" spans="1:3">
      <c r="A61" s="1" t="s">
        <v>1850</v>
      </c>
      <c r="B61" s="1" t="s">
        <v>1851</v>
      </c>
      <c r="C61" s="1" t="s">
        <v>2049</v>
      </c>
    </row>
    <row r="62" spans="1:3">
      <c r="A62" s="1" t="s">
        <v>1852</v>
      </c>
      <c r="B62" s="1" t="s">
        <v>1853</v>
      </c>
      <c r="C62" s="1" t="s">
        <v>2049</v>
      </c>
    </row>
    <row r="63" spans="1:3">
      <c r="A63" s="1" t="s">
        <v>1854</v>
      </c>
      <c r="B63" s="1" t="s">
        <v>1855</v>
      </c>
      <c r="C63" s="1" t="s">
        <v>2049</v>
      </c>
    </row>
    <row r="64" spans="1:3">
      <c r="A64" s="1" t="s">
        <v>1856</v>
      </c>
      <c r="B64" s="1" t="s">
        <v>1857</v>
      </c>
      <c r="C64" s="1" t="s">
        <v>2049</v>
      </c>
    </row>
    <row r="65" spans="1:3">
      <c r="A65" s="1" t="s">
        <v>1858</v>
      </c>
      <c r="B65" s="1" t="s">
        <v>1859</v>
      </c>
      <c r="C65" s="1" t="s">
        <v>2049</v>
      </c>
    </row>
    <row r="66" spans="1:3">
      <c r="A66" s="1" t="s">
        <v>1860</v>
      </c>
      <c r="B66" s="1" t="s">
        <v>1861</v>
      </c>
      <c r="C66" s="1" t="s">
        <v>2049</v>
      </c>
    </row>
    <row r="67" spans="1:3">
      <c r="A67" s="1" t="s">
        <v>1862</v>
      </c>
      <c r="B67" s="1" t="s">
        <v>1863</v>
      </c>
      <c r="C67" s="1" t="s">
        <v>2049</v>
      </c>
    </row>
    <row r="68" spans="1:3">
      <c r="A68" s="1" t="s">
        <v>1864</v>
      </c>
      <c r="B68" s="1" t="s">
        <v>1865</v>
      </c>
      <c r="C68" s="1" t="s">
        <v>2049</v>
      </c>
    </row>
    <row r="69" spans="1:3">
      <c r="A69" s="1" t="s">
        <v>1866</v>
      </c>
      <c r="B69" s="1" t="s">
        <v>1867</v>
      </c>
      <c r="C69" s="1" t="s">
        <v>2049</v>
      </c>
    </row>
    <row r="70" spans="1:3">
      <c r="A70" s="1" t="s">
        <v>1868</v>
      </c>
      <c r="B70" s="1" t="s">
        <v>1869</v>
      </c>
      <c r="C70" s="1" t="s">
        <v>2049</v>
      </c>
    </row>
    <row r="71" spans="1:3">
      <c r="A71" s="1" t="s">
        <v>1870</v>
      </c>
      <c r="B71" s="1" t="s">
        <v>1871</v>
      </c>
      <c r="C71" s="1" t="s">
        <v>2049</v>
      </c>
    </row>
    <row r="72" spans="1:3">
      <c r="A72" s="1" t="s">
        <v>1872</v>
      </c>
      <c r="B72" s="1" t="s">
        <v>1873</v>
      </c>
      <c r="C72" s="1" t="s">
        <v>2049</v>
      </c>
    </row>
    <row r="73" spans="1:3">
      <c r="A73" s="1" t="s">
        <v>1874</v>
      </c>
      <c r="B73" s="1" t="s">
        <v>1875</v>
      </c>
      <c r="C73" s="1" t="s">
        <v>2049</v>
      </c>
    </row>
    <row r="74" spans="1:3">
      <c r="A74" s="1" t="s">
        <v>1876</v>
      </c>
      <c r="B74" s="1" t="s">
        <v>1877</v>
      </c>
      <c r="C74" s="1" t="s">
        <v>2049</v>
      </c>
    </row>
    <row r="75" spans="1:3">
      <c r="A75" s="1" t="s">
        <v>1878</v>
      </c>
      <c r="B75" s="1" t="s">
        <v>1879</v>
      </c>
      <c r="C75" s="1" t="s">
        <v>2049</v>
      </c>
    </row>
    <row r="76" spans="1:3">
      <c r="A76" s="1" t="s">
        <v>1880</v>
      </c>
      <c r="B76" s="1" t="s">
        <v>1881</v>
      </c>
      <c r="C76" s="1" t="s">
        <v>2049</v>
      </c>
    </row>
    <row r="77" spans="1:3">
      <c r="A77" s="1" t="s">
        <v>1882</v>
      </c>
      <c r="B77" s="1" t="s">
        <v>1883</v>
      </c>
      <c r="C77" s="1" t="s">
        <v>2049</v>
      </c>
    </row>
    <row r="78" spans="1:3">
      <c r="A78" s="1" t="s">
        <v>1884</v>
      </c>
      <c r="B78" s="1" t="s">
        <v>1885</v>
      </c>
      <c r="C78" s="1" t="s">
        <v>2049</v>
      </c>
    </row>
    <row r="79" spans="1:3">
      <c r="A79" s="1" t="s">
        <v>1886</v>
      </c>
      <c r="B79" s="1" t="s">
        <v>1887</v>
      </c>
      <c r="C79" s="1" t="s">
        <v>2049</v>
      </c>
    </row>
    <row r="80" spans="1:3">
      <c r="A80" s="1" t="s">
        <v>1888</v>
      </c>
      <c r="B80" s="1" t="s">
        <v>1889</v>
      </c>
      <c r="C80" s="1" t="s">
        <v>2049</v>
      </c>
    </row>
    <row r="81" spans="1:3">
      <c r="A81" s="1" t="s">
        <v>1890</v>
      </c>
      <c r="B81" s="1" t="s">
        <v>1891</v>
      </c>
      <c r="C81" s="1" t="s">
        <v>2049</v>
      </c>
    </row>
    <row r="82" spans="1:3">
      <c r="A82" s="1" t="s">
        <v>1892</v>
      </c>
      <c r="B82" s="1" t="s">
        <v>1893</v>
      </c>
      <c r="C82" s="1" t="s">
        <v>2049</v>
      </c>
    </row>
    <row r="83" spans="1:3">
      <c r="A83" s="1" t="s">
        <v>1894</v>
      </c>
      <c r="B83" s="1" t="s">
        <v>1895</v>
      </c>
      <c r="C83" s="1" t="s">
        <v>2049</v>
      </c>
    </row>
    <row r="84" spans="1:3">
      <c r="A84" s="1" t="s">
        <v>1896</v>
      </c>
      <c r="B84" s="1" t="s">
        <v>1897</v>
      </c>
      <c r="C84" s="1" t="s">
        <v>2049</v>
      </c>
    </row>
    <row r="85" spans="1:3">
      <c r="A85" s="1" t="s">
        <v>1898</v>
      </c>
      <c r="B85" s="1" t="s">
        <v>1899</v>
      </c>
      <c r="C85" s="1" t="s">
        <v>2049</v>
      </c>
    </row>
    <row r="86" spans="1:3">
      <c r="A86" s="1" t="s">
        <v>1900</v>
      </c>
      <c r="B86" s="1" t="s">
        <v>1901</v>
      </c>
      <c r="C86" s="1" t="s">
        <v>2049</v>
      </c>
    </row>
    <row r="87" spans="1:3">
      <c r="A87" s="1" t="s">
        <v>1902</v>
      </c>
      <c r="B87" s="1" t="s">
        <v>1903</v>
      </c>
      <c r="C87" s="1" t="s">
        <v>2049</v>
      </c>
    </row>
    <row r="88" spans="1:3">
      <c r="A88" s="1" t="s">
        <v>1904</v>
      </c>
      <c r="B88" s="1" t="s">
        <v>1905</v>
      </c>
      <c r="C88" s="1" t="s">
        <v>2049</v>
      </c>
    </row>
    <row r="89" spans="1:3">
      <c r="A89" s="1" t="s">
        <v>1906</v>
      </c>
      <c r="B89" s="1" t="s">
        <v>1907</v>
      </c>
      <c r="C89" s="1" t="s">
        <v>2049</v>
      </c>
    </row>
    <row r="90" spans="1:3">
      <c r="A90" s="1" t="s">
        <v>1908</v>
      </c>
      <c r="B90" s="1" t="s">
        <v>1909</v>
      </c>
      <c r="C90" s="1" t="s">
        <v>2049</v>
      </c>
    </row>
    <row r="91" spans="1:3">
      <c r="A91" s="1" t="s">
        <v>1910</v>
      </c>
      <c r="B91" s="1" t="s">
        <v>1911</v>
      </c>
      <c r="C91" s="1" t="s">
        <v>2049</v>
      </c>
    </row>
    <row r="92" spans="1:3">
      <c r="A92" s="1" t="s">
        <v>1912</v>
      </c>
      <c r="B92" s="1" t="s">
        <v>1913</v>
      </c>
      <c r="C92" s="1" t="s">
        <v>2049</v>
      </c>
    </row>
    <row r="93" spans="1:3">
      <c r="A93" s="1" t="s">
        <v>1914</v>
      </c>
      <c r="B93" s="1" t="s">
        <v>1915</v>
      </c>
      <c r="C93" s="1" t="s">
        <v>2049</v>
      </c>
    </row>
    <row r="94" spans="1:3">
      <c r="A94" s="1" t="s">
        <v>1916</v>
      </c>
      <c r="B94" s="1" t="s">
        <v>1917</v>
      </c>
      <c r="C94" s="1" t="s">
        <v>2049</v>
      </c>
    </row>
    <row r="95" spans="1:3">
      <c r="A95" s="1" t="s">
        <v>1918</v>
      </c>
      <c r="B95" s="1" t="s">
        <v>1919</v>
      </c>
      <c r="C95" s="1" t="s">
        <v>2049</v>
      </c>
    </row>
    <row r="96" spans="1:3">
      <c r="A96" s="1" t="s">
        <v>1920</v>
      </c>
      <c r="B96" s="1" t="s">
        <v>1921</v>
      </c>
      <c r="C96" s="1" t="s">
        <v>2049</v>
      </c>
    </row>
    <row r="97" spans="1:3">
      <c r="A97" s="1" t="s">
        <v>1922</v>
      </c>
      <c r="B97" s="1" t="s">
        <v>1923</v>
      </c>
      <c r="C97" s="1" t="s">
        <v>2049</v>
      </c>
    </row>
    <row r="98" spans="1:3">
      <c r="A98" s="1" t="s">
        <v>1924</v>
      </c>
      <c r="B98" s="1" t="s">
        <v>1925</v>
      </c>
      <c r="C98" s="1" t="s">
        <v>2049</v>
      </c>
    </row>
    <row r="99" spans="1:3">
      <c r="A99" s="1" t="s">
        <v>1926</v>
      </c>
      <c r="B99" s="1" t="s">
        <v>1927</v>
      </c>
      <c r="C99" s="1" t="s">
        <v>2049</v>
      </c>
    </row>
    <row r="100" spans="1:3">
      <c r="A100" s="1" t="s">
        <v>1928</v>
      </c>
      <c r="B100" s="1" t="s">
        <v>1929</v>
      </c>
      <c r="C100" s="1" t="s">
        <v>2049</v>
      </c>
    </row>
    <row r="101" spans="1:3">
      <c r="A101" s="1" t="s">
        <v>1930</v>
      </c>
      <c r="B101" s="1" t="s">
        <v>1931</v>
      </c>
      <c r="C101" s="1" t="s">
        <v>2049</v>
      </c>
    </row>
    <row r="102" spans="1:3">
      <c r="A102" s="1" t="s">
        <v>1932</v>
      </c>
      <c r="B102" s="1" t="s">
        <v>1933</v>
      </c>
      <c r="C102" s="1" t="s">
        <v>2049</v>
      </c>
    </row>
    <row r="103" spans="1:3">
      <c r="A103" s="1" t="s">
        <v>1934</v>
      </c>
      <c r="B103" s="1" t="s">
        <v>1935</v>
      </c>
      <c r="C103" s="1" t="s">
        <v>2049</v>
      </c>
    </row>
    <row r="104" spans="1:3">
      <c r="A104" s="1" t="s">
        <v>1936</v>
      </c>
      <c r="B104" s="1" t="s">
        <v>1937</v>
      </c>
      <c r="C104" s="1" t="s">
        <v>2049</v>
      </c>
    </row>
    <row r="105" spans="1:3">
      <c r="A105" s="1" t="s">
        <v>1938</v>
      </c>
      <c r="B105" s="1" t="s">
        <v>1939</v>
      </c>
      <c r="C105" s="1" t="s">
        <v>2049</v>
      </c>
    </row>
    <row r="106" spans="1:3">
      <c r="A106" s="1" t="s">
        <v>1940</v>
      </c>
      <c r="B106" s="1" t="s">
        <v>1941</v>
      </c>
      <c r="C106" s="1" t="s">
        <v>2049</v>
      </c>
    </row>
    <row r="107" spans="1:3">
      <c r="A107" s="1" t="s">
        <v>1942</v>
      </c>
      <c r="B107" s="1" t="s">
        <v>1943</v>
      </c>
      <c r="C107" s="1" t="s">
        <v>2049</v>
      </c>
    </row>
    <row r="108" spans="1:3">
      <c r="A108" s="1" t="s">
        <v>1944</v>
      </c>
      <c r="B108" s="1" t="s">
        <v>1945</v>
      </c>
      <c r="C108" s="1" t="s">
        <v>2049</v>
      </c>
    </row>
    <row r="109" spans="1:3">
      <c r="A109" s="1" t="s">
        <v>1946</v>
      </c>
      <c r="B109" s="1" t="s">
        <v>1947</v>
      </c>
      <c r="C109" s="1" t="s">
        <v>2049</v>
      </c>
    </row>
    <row r="110" spans="1:3">
      <c r="A110" s="1" t="s">
        <v>1948</v>
      </c>
      <c r="B110" s="1" t="s">
        <v>1949</v>
      </c>
      <c r="C110" s="1" t="s">
        <v>2049</v>
      </c>
    </row>
    <row r="111" spans="1:3">
      <c r="A111" s="1" t="s">
        <v>1950</v>
      </c>
      <c r="B111" s="1" t="s">
        <v>1951</v>
      </c>
      <c r="C111" s="1" t="s">
        <v>2049</v>
      </c>
    </row>
    <row r="112" spans="1:3">
      <c r="A112" s="1" t="s">
        <v>1952</v>
      </c>
      <c r="B112" s="1" t="s">
        <v>1953</v>
      </c>
      <c r="C112" s="1" t="s">
        <v>2049</v>
      </c>
    </row>
    <row r="113" spans="1:3">
      <c r="A113" s="1" t="s">
        <v>1954</v>
      </c>
      <c r="B113" s="1" t="s">
        <v>1955</v>
      </c>
      <c r="C113" s="1" t="s">
        <v>2049</v>
      </c>
    </row>
    <row r="114" spans="1:3">
      <c r="A114" s="1" t="s">
        <v>1956</v>
      </c>
      <c r="B114" s="1" t="s">
        <v>1957</v>
      </c>
      <c r="C114" s="1" t="s">
        <v>2049</v>
      </c>
    </row>
    <row r="115" spans="1:3">
      <c r="A115" s="1" t="s">
        <v>1958</v>
      </c>
      <c r="B115" s="1" t="s">
        <v>1959</v>
      </c>
      <c r="C115" s="1" t="s">
        <v>2049</v>
      </c>
    </row>
    <row r="116" spans="1:3">
      <c r="A116" s="1" t="s">
        <v>1960</v>
      </c>
      <c r="B116" s="1" t="s">
        <v>1961</v>
      </c>
      <c r="C116" s="1" t="s">
        <v>2049</v>
      </c>
    </row>
    <row r="117" spans="1:3">
      <c r="A117" s="1" t="s">
        <v>1962</v>
      </c>
      <c r="B117" s="1" t="s">
        <v>1963</v>
      </c>
      <c r="C117" s="1" t="s">
        <v>2049</v>
      </c>
    </row>
    <row r="118" spans="1:3">
      <c r="A118" s="1" t="s">
        <v>1964</v>
      </c>
      <c r="B118" s="1" t="s">
        <v>1965</v>
      </c>
      <c r="C118" s="1" t="s">
        <v>2049</v>
      </c>
    </row>
    <row r="119" spans="1:3">
      <c r="A119" s="1" t="s">
        <v>1966</v>
      </c>
      <c r="B119" s="1" t="s">
        <v>1967</v>
      </c>
      <c r="C119" s="1" t="s">
        <v>2049</v>
      </c>
    </row>
    <row r="120" spans="1:3">
      <c r="A120" s="1" t="s">
        <v>1968</v>
      </c>
      <c r="B120" s="1" t="s">
        <v>1969</v>
      </c>
      <c r="C120" s="1" t="s">
        <v>2049</v>
      </c>
    </row>
    <row r="121" spans="1:3">
      <c r="A121" s="1" t="s">
        <v>1970</v>
      </c>
      <c r="B121" s="1" t="s">
        <v>1971</v>
      </c>
      <c r="C121" s="1" t="s">
        <v>2049</v>
      </c>
    </row>
    <row r="122" spans="1:3">
      <c r="A122" s="1" t="s">
        <v>1972</v>
      </c>
      <c r="B122" s="1" t="s">
        <v>1973</v>
      </c>
      <c r="C122" s="1" t="s">
        <v>2049</v>
      </c>
    </row>
    <row r="123" spans="1:3">
      <c r="A123" s="1" t="s">
        <v>1974</v>
      </c>
      <c r="B123" s="1" t="s">
        <v>1975</v>
      </c>
      <c r="C123" s="1" t="s">
        <v>2049</v>
      </c>
    </row>
    <row r="124" spans="1:3">
      <c r="A124" s="1" t="s">
        <v>1976</v>
      </c>
      <c r="B124" s="1" t="s">
        <v>1977</v>
      </c>
      <c r="C124" s="1" t="s">
        <v>2049</v>
      </c>
    </row>
    <row r="125" spans="1:3">
      <c r="A125" s="1" t="s">
        <v>1978</v>
      </c>
      <c r="B125" s="1" t="s">
        <v>1979</v>
      </c>
      <c r="C125" s="1" t="s">
        <v>2049</v>
      </c>
    </row>
    <row r="126" spans="1:3">
      <c r="A126" s="1" t="s">
        <v>1980</v>
      </c>
      <c r="B126" s="1" t="s">
        <v>1981</v>
      </c>
      <c r="C126" s="1" t="s">
        <v>2049</v>
      </c>
    </row>
    <row r="127" spans="1:3">
      <c r="A127" s="1" t="s">
        <v>1982</v>
      </c>
      <c r="B127" s="1" t="s">
        <v>1983</v>
      </c>
      <c r="C127" s="1" t="s">
        <v>2049</v>
      </c>
    </row>
    <row r="128" spans="1:3">
      <c r="A128" s="1" t="s">
        <v>1984</v>
      </c>
      <c r="B128" s="1" t="s">
        <v>1985</v>
      </c>
      <c r="C128" s="1" t="s">
        <v>2049</v>
      </c>
    </row>
    <row r="129" spans="1:3">
      <c r="A129" s="1" t="s">
        <v>1986</v>
      </c>
      <c r="B129" s="1" t="s">
        <v>1987</v>
      </c>
      <c r="C129" s="1" t="s">
        <v>2049</v>
      </c>
    </row>
    <row r="130" spans="1:3">
      <c r="A130" s="1" t="s">
        <v>1988</v>
      </c>
      <c r="B130" s="1" t="s">
        <v>1989</v>
      </c>
      <c r="C130" s="1" t="s">
        <v>2049</v>
      </c>
    </row>
    <row r="131" spans="1:3">
      <c r="A131" s="1" t="s">
        <v>1990</v>
      </c>
      <c r="B131" s="1" t="s">
        <v>1991</v>
      </c>
      <c r="C131" s="1" t="s">
        <v>2049</v>
      </c>
    </row>
    <row r="132" spans="1:3">
      <c r="A132" s="1" t="s">
        <v>1992</v>
      </c>
      <c r="B132" s="1" t="s">
        <v>1993</v>
      </c>
      <c r="C132" s="1" t="s">
        <v>2049</v>
      </c>
    </row>
    <row r="133" spans="1:3">
      <c r="A133" s="1" t="s">
        <v>1994</v>
      </c>
      <c r="B133" s="1" t="s">
        <v>1995</v>
      </c>
      <c r="C133" s="1" t="s">
        <v>2049</v>
      </c>
    </row>
    <row r="134" spans="1:3">
      <c r="A134" s="1" t="s">
        <v>1996</v>
      </c>
      <c r="B134" s="1" t="s">
        <v>1997</v>
      </c>
      <c r="C134" s="1" t="s">
        <v>2049</v>
      </c>
    </row>
    <row r="135" spans="1:3">
      <c r="A135" s="1" t="s">
        <v>1998</v>
      </c>
      <c r="B135" s="1" t="s">
        <v>1999</v>
      </c>
      <c r="C135" s="1" t="s">
        <v>2049</v>
      </c>
    </row>
    <row r="136" spans="1:3">
      <c r="A136" s="1" t="s">
        <v>2000</v>
      </c>
      <c r="B136" s="1" t="s">
        <v>2001</v>
      </c>
      <c r="C136" s="1" t="s">
        <v>2049</v>
      </c>
    </row>
    <row r="137" spans="1:3">
      <c r="A137" s="1" t="s">
        <v>2002</v>
      </c>
      <c r="B137" s="1" t="s">
        <v>2003</v>
      </c>
      <c r="C137" s="1" t="s">
        <v>2049</v>
      </c>
    </row>
    <row r="138" spans="1:3">
      <c r="A138" s="1" t="s">
        <v>2004</v>
      </c>
      <c r="B138" s="1" t="s">
        <v>2005</v>
      </c>
      <c r="C138" s="1" t="s">
        <v>2049</v>
      </c>
    </row>
    <row r="139" spans="1:3">
      <c r="A139" s="1" t="s">
        <v>2006</v>
      </c>
      <c r="B139" s="1" t="s">
        <v>2007</v>
      </c>
      <c r="C139" s="1" t="s">
        <v>2049</v>
      </c>
    </row>
    <row r="140" spans="1:3">
      <c r="A140" s="1" t="s">
        <v>2008</v>
      </c>
      <c r="B140" s="1" t="s">
        <v>2009</v>
      </c>
      <c r="C140" s="1" t="s">
        <v>2049</v>
      </c>
    </row>
    <row r="141" spans="1:3">
      <c r="A141" s="1" t="s">
        <v>2010</v>
      </c>
      <c r="B141" s="1" t="s">
        <v>2011</v>
      </c>
      <c r="C141" s="1" t="s">
        <v>2049</v>
      </c>
    </row>
    <row r="142" spans="1:3">
      <c r="A142" s="1" t="s">
        <v>2012</v>
      </c>
      <c r="B142" s="1" t="s">
        <v>2013</v>
      </c>
      <c r="C142" s="1" t="s">
        <v>2049</v>
      </c>
    </row>
    <row r="143" spans="1:3">
      <c r="A143" s="1" t="s">
        <v>2014</v>
      </c>
      <c r="B143" s="1" t="s">
        <v>2015</v>
      </c>
      <c r="C143" s="1" t="s">
        <v>2049</v>
      </c>
    </row>
    <row r="144" spans="1:3">
      <c r="A144" s="1" t="s">
        <v>2016</v>
      </c>
      <c r="B144" s="1" t="s">
        <v>2017</v>
      </c>
      <c r="C144" s="1" t="s">
        <v>2049</v>
      </c>
    </row>
    <row r="145" spans="1:3">
      <c r="A145" s="1" t="s">
        <v>2018</v>
      </c>
      <c r="B145" s="1" t="s">
        <v>2019</v>
      </c>
      <c r="C145" s="1" t="s">
        <v>2049</v>
      </c>
    </row>
    <row r="146" spans="1:3">
      <c r="A146" s="1" t="s">
        <v>2020</v>
      </c>
      <c r="B146" s="1" t="s">
        <v>2021</v>
      </c>
      <c r="C146" s="1" t="s">
        <v>2049</v>
      </c>
    </row>
    <row r="147" spans="1:3">
      <c r="A147" s="1" t="s">
        <v>2022</v>
      </c>
      <c r="B147" s="1" t="s">
        <v>2023</v>
      </c>
      <c r="C147" s="1" t="s">
        <v>2049</v>
      </c>
    </row>
    <row r="148" spans="1:3">
      <c r="A148" s="1" t="s">
        <v>2024</v>
      </c>
      <c r="B148" s="1" t="s">
        <v>2025</v>
      </c>
      <c r="C148" s="1" t="s">
        <v>2049</v>
      </c>
    </row>
    <row r="149" spans="1:3">
      <c r="A149" s="1" t="s">
        <v>2026</v>
      </c>
      <c r="B149" s="1" t="s">
        <v>2027</v>
      </c>
      <c r="C149" s="1" t="s">
        <v>2049</v>
      </c>
    </row>
    <row r="150" spans="1:3">
      <c r="A150" s="1" t="s">
        <v>2028</v>
      </c>
      <c r="B150" s="1" t="s">
        <v>2029</v>
      </c>
      <c r="C150" s="1" t="s">
        <v>2049</v>
      </c>
    </row>
    <row r="151" spans="1:3">
      <c r="A151" s="1" t="s">
        <v>2030</v>
      </c>
      <c r="B151" s="1" t="s">
        <v>2031</v>
      </c>
      <c r="C151" s="1" t="s">
        <v>2049</v>
      </c>
    </row>
    <row r="152" spans="1:3">
      <c r="A152" s="1" t="s">
        <v>2032</v>
      </c>
      <c r="B152" s="1" t="s">
        <v>2033</v>
      </c>
      <c r="C152" s="1" t="s">
        <v>2049</v>
      </c>
    </row>
    <row r="153" spans="1:3">
      <c r="A153" s="1" t="s">
        <v>2034</v>
      </c>
      <c r="B153" s="1" t="s">
        <v>2035</v>
      </c>
      <c r="C153" s="1" t="s">
        <v>2049</v>
      </c>
    </row>
    <row r="154" spans="1:3">
      <c r="A154" s="1" t="s">
        <v>2036</v>
      </c>
      <c r="B154" s="1" t="s">
        <v>2037</v>
      </c>
      <c r="C154" s="1" t="s">
        <v>2049</v>
      </c>
    </row>
    <row r="155" spans="1:3">
      <c r="A155" s="1" t="s">
        <v>2038</v>
      </c>
      <c r="B155" s="1" t="s">
        <v>2039</v>
      </c>
      <c r="C155" s="1" t="s">
        <v>2050</v>
      </c>
    </row>
    <row r="156" spans="1:3">
      <c r="A156" s="1" t="s">
        <v>2040</v>
      </c>
      <c r="B156" s="1" t="s">
        <v>2041</v>
      </c>
      <c r="C156" s="1" t="s">
        <v>2050</v>
      </c>
    </row>
    <row r="157" spans="1:3">
      <c r="A157" s="1" t="s">
        <v>2042</v>
      </c>
      <c r="B157" s="1" t="s">
        <v>2043</v>
      </c>
      <c r="C157" s="1" t="s">
        <v>2050</v>
      </c>
    </row>
    <row r="158" spans="1:3">
      <c r="A158" s="1" t="s">
        <v>2044</v>
      </c>
      <c r="B158" s="1" t="s">
        <v>2045</v>
      </c>
      <c r="C158" s="1" t="s">
        <v>1</v>
      </c>
    </row>
    <row r="159" spans="1:3">
      <c r="A159" s="1" t="s">
        <v>2046</v>
      </c>
      <c r="B159" s="1" t="s">
        <v>2047</v>
      </c>
      <c r="C159" s="1" t="s">
        <v>1</v>
      </c>
    </row>
  </sheetData>
  <customSheetViews>
    <customSheetView guid="{5693F48F-8FCA-4CC0-9286-11E7497B1810}" state="hidden">
      <selection activeCell="I18" sqref="I18"/>
      <pageMargins left="0.7" right="0.7" top="0.75" bottom="0.75" header="0.3" footer="0.3"/>
    </customSheetView>
  </customSheetViews>
  <phoneticPr fontId="3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054F4-B9F7-4043-A1DE-3C797761B6BE}">
  <sheetPr codeName="工作表7"/>
  <dimension ref="A1:AW517"/>
  <sheetViews>
    <sheetView workbookViewId="0"/>
  </sheetViews>
  <sheetFormatPr defaultRowHeight="12.75"/>
  <cols>
    <col min="1" max="1" width="9" style="81"/>
    <col min="2" max="2" width="23.625" style="81" customWidth="1"/>
    <col min="3" max="16384" width="9" style="81"/>
  </cols>
  <sheetData>
    <row r="1" spans="1:49">
      <c r="A1" s="80" t="s">
        <v>2187</v>
      </c>
      <c r="B1" s="80" t="s">
        <v>2127</v>
      </c>
      <c r="C1" s="80" t="s">
        <v>2188</v>
      </c>
      <c r="D1" s="80" t="s">
        <v>2128</v>
      </c>
      <c r="E1" s="80" t="s">
        <v>2189</v>
      </c>
      <c r="F1" s="80" t="s">
        <v>2190</v>
      </c>
      <c r="G1" s="80" t="s">
        <v>2191</v>
      </c>
      <c r="H1" s="80" t="s">
        <v>2192</v>
      </c>
      <c r="I1" s="80" t="s">
        <v>2193</v>
      </c>
      <c r="J1" s="80" t="s">
        <v>2194</v>
      </c>
      <c r="K1" s="80" t="s">
        <v>2195</v>
      </c>
      <c r="L1" s="80" t="s">
        <v>2196</v>
      </c>
      <c r="M1" s="80" t="s">
        <v>2197</v>
      </c>
      <c r="N1" s="80" t="s">
        <v>2198</v>
      </c>
      <c r="O1" s="80" t="s">
        <v>2199</v>
      </c>
      <c r="P1" s="80" t="s">
        <v>2200</v>
      </c>
      <c r="Q1" s="80" t="s">
        <v>2201</v>
      </c>
      <c r="R1" s="80" t="s">
        <v>2202</v>
      </c>
      <c r="S1" s="80" t="s">
        <v>2203</v>
      </c>
      <c r="T1" s="80" t="s">
        <v>2204</v>
      </c>
      <c r="U1" s="80" t="s">
        <v>2205</v>
      </c>
      <c r="V1" s="80" t="s">
        <v>2206</v>
      </c>
      <c r="W1" s="80" t="s">
        <v>2207</v>
      </c>
      <c r="X1" s="80" t="s">
        <v>2208</v>
      </c>
      <c r="Y1" s="80" t="s">
        <v>2209</v>
      </c>
      <c r="Z1" s="80" t="s">
        <v>2210</v>
      </c>
      <c r="AA1" s="80" t="s">
        <v>2211</v>
      </c>
      <c r="AB1" s="80" t="s">
        <v>2212</v>
      </c>
      <c r="AC1" s="80" t="s">
        <v>2213</v>
      </c>
      <c r="AD1" s="80" t="s">
        <v>2214</v>
      </c>
      <c r="AE1" s="80" t="s">
        <v>2215</v>
      </c>
      <c r="AF1" s="80" t="s">
        <v>2216</v>
      </c>
      <c r="AG1" s="80" t="s">
        <v>2217</v>
      </c>
      <c r="AH1" s="80" t="s">
        <v>2218</v>
      </c>
      <c r="AI1" s="80" t="s">
        <v>2219</v>
      </c>
      <c r="AJ1" s="80" t="s">
        <v>2220</v>
      </c>
      <c r="AK1" s="80" t="s">
        <v>2221</v>
      </c>
      <c r="AL1" s="80" t="s">
        <v>2222</v>
      </c>
      <c r="AM1" s="80" t="s">
        <v>2223</v>
      </c>
      <c r="AN1" s="80" t="s">
        <v>2224</v>
      </c>
      <c r="AO1" s="80" t="s">
        <v>2225</v>
      </c>
      <c r="AP1" s="80" t="s">
        <v>2226</v>
      </c>
      <c r="AQ1" s="80" t="s">
        <v>2227</v>
      </c>
      <c r="AR1" s="80" t="s">
        <v>2228</v>
      </c>
      <c r="AS1" s="80" t="s">
        <v>2229</v>
      </c>
      <c r="AT1" s="80" t="s">
        <v>2230</v>
      </c>
      <c r="AU1" s="80" t="s">
        <v>2231</v>
      </c>
      <c r="AV1" s="80" t="s">
        <v>2232</v>
      </c>
      <c r="AW1" s="80" t="s">
        <v>2233</v>
      </c>
    </row>
    <row r="2" spans="1:49">
      <c r="A2" s="80" t="s">
        <v>2234</v>
      </c>
      <c r="B2" s="80" t="s">
        <v>2235</v>
      </c>
      <c r="C2" s="80" t="s">
        <v>2236</v>
      </c>
      <c r="D2" s="80" t="s">
        <v>2237</v>
      </c>
      <c r="E2" s="80" t="s">
        <v>2238</v>
      </c>
      <c r="F2" s="80" t="s">
        <v>2239</v>
      </c>
      <c r="G2" s="80" t="s">
        <v>2240</v>
      </c>
    </row>
    <row r="3" spans="1:49">
      <c r="A3" s="80" t="s">
        <v>2241</v>
      </c>
      <c r="B3" s="80" t="s">
        <v>2242</v>
      </c>
      <c r="C3" s="80" t="s">
        <v>2142</v>
      </c>
      <c r="D3" s="80" t="s">
        <v>2243</v>
      </c>
      <c r="E3" s="80" t="s">
        <v>2244</v>
      </c>
      <c r="F3" s="80" t="s">
        <v>2245</v>
      </c>
      <c r="J3" s="80" t="s">
        <v>2246</v>
      </c>
      <c r="M3" s="80" t="s">
        <v>2247</v>
      </c>
      <c r="N3" s="80" t="s">
        <v>2248</v>
      </c>
      <c r="O3" s="80" t="s">
        <v>2142</v>
      </c>
      <c r="P3" s="80" t="s">
        <v>2249</v>
      </c>
      <c r="Q3" s="80" t="s">
        <v>2243</v>
      </c>
      <c r="R3" s="80" t="s">
        <v>2250</v>
      </c>
      <c r="S3" s="80" t="s">
        <v>2244</v>
      </c>
      <c r="T3" s="80" t="s">
        <v>2251</v>
      </c>
      <c r="U3" s="80" t="s">
        <v>2252</v>
      </c>
      <c r="V3" s="80" t="s">
        <v>2253</v>
      </c>
      <c r="W3" s="80" t="s">
        <v>2254</v>
      </c>
      <c r="X3" s="80" t="s">
        <v>2255</v>
      </c>
      <c r="AA3" s="80" t="s">
        <v>2256</v>
      </c>
      <c r="AC3" s="80" t="s">
        <v>2257</v>
      </c>
      <c r="AE3" s="80" t="s">
        <v>2258</v>
      </c>
      <c r="AF3" s="80" t="s">
        <v>2259</v>
      </c>
      <c r="AJ3" s="80" t="s">
        <v>2260</v>
      </c>
      <c r="AL3" s="80" t="s">
        <v>2261</v>
      </c>
      <c r="AN3" s="80" t="s">
        <v>2245</v>
      </c>
      <c r="AP3" s="80" t="s">
        <v>2262</v>
      </c>
      <c r="AQ3" s="80" t="s">
        <v>2263</v>
      </c>
      <c r="AT3" s="80" t="s">
        <v>2256</v>
      </c>
      <c r="AU3" s="80" t="s">
        <v>2264</v>
      </c>
      <c r="AW3" s="80" t="s">
        <v>2265</v>
      </c>
    </row>
    <row r="4" spans="1:49">
      <c r="A4" s="80" t="s">
        <v>2241</v>
      </c>
      <c r="B4" s="80" t="s">
        <v>2260</v>
      </c>
      <c r="C4" s="80" t="s">
        <v>2142</v>
      </c>
      <c r="D4" s="80" t="s">
        <v>2266</v>
      </c>
      <c r="E4" s="80" t="s">
        <v>2244</v>
      </c>
      <c r="F4" s="80" t="s">
        <v>2267</v>
      </c>
      <c r="J4" s="80" t="s">
        <v>2246</v>
      </c>
      <c r="M4" s="80" t="s">
        <v>2268</v>
      </c>
      <c r="N4" s="80" t="s">
        <v>2248</v>
      </c>
      <c r="O4" s="80" t="s">
        <v>2142</v>
      </c>
      <c r="P4" s="80" t="s">
        <v>2249</v>
      </c>
      <c r="Q4" s="80" t="s">
        <v>2266</v>
      </c>
      <c r="R4" s="80" t="s">
        <v>2269</v>
      </c>
      <c r="S4" s="80" t="s">
        <v>2244</v>
      </c>
      <c r="T4" s="80" t="s">
        <v>2251</v>
      </c>
      <c r="U4" s="80" t="s">
        <v>2234</v>
      </c>
      <c r="W4" s="80" t="s">
        <v>2270</v>
      </c>
      <c r="X4" s="80" t="s">
        <v>2271</v>
      </c>
      <c r="AA4" s="80" t="s">
        <v>2256</v>
      </c>
      <c r="AC4" s="80" t="s">
        <v>2257</v>
      </c>
      <c r="AE4" s="80" t="s">
        <v>2258</v>
      </c>
      <c r="AF4" s="80" t="s">
        <v>2272</v>
      </c>
      <c r="AK4" s="80" t="s">
        <v>2242</v>
      </c>
      <c r="AL4" s="80" t="s">
        <v>2261</v>
      </c>
      <c r="AN4" s="80" t="s">
        <v>2267</v>
      </c>
      <c r="AP4" s="80" t="s">
        <v>2273</v>
      </c>
      <c r="AQ4" s="80" t="s">
        <v>2274</v>
      </c>
      <c r="AT4" s="80" t="s">
        <v>2256</v>
      </c>
      <c r="AU4" s="80" t="s">
        <v>2275</v>
      </c>
      <c r="AW4" s="80" t="s">
        <v>2276</v>
      </c>
    </row>
    <row r="5" spans="1:49">
      <c r="A5" s="80" t="s">
        <v>2241</v>
      </c>
      <c r="B5" s="80" t="s">
        <v>2277</v>
      </c>
      <c r="C5" s="80" t="s">
        <v>2151</v>
      </c>
      <c r="D5" s="80" t="s">
        <v>2278</v>
      </c>
      <c r="E5" s="80" t="s">
        <v>2244</v>
      </c>
      <c r="F5" s="80" t="s">
        <v>2279</v>
      </c>
      <c r="J5" s="80" t="s">
        <v>2280</v>
      </c>
      <c r="M5" s="80" t="s">
        <v>2268</v>
      </c>
      <c r="N5" s="80" t="s">
        <v>2281</v>
      </c>
      <c r="O5" s="80" t="s">
        <v>2151</v>
      </c>
      <c r="P5" s="80" t="s">
        <v>2249</v>
      </c>
      <c r="Q5" s="80" t="s">
        <v>2278</v>
      </c>
      <c r="R5" s="80" t="s">
        <v>2282</v>
      </c>
      <c r="S5" s="80" t="s">
        <v>2244</v>
      </c>
      <c r="T5" s="80" t="s">
        <v>2251</v>
      </c>
      <c r="U5" s="80" t="s">
        <v>2234</v>
      </c>
      <c r="W5" s="80" t="s">
        <v>2270</v>
      </c>
      <c r="X5" s="80" t="s">
        <v>2283</v>
      </c>
      <c r="AA5" s="80" t="s">
        <v>2256</v>
      </c>
      <c r="AC5" s="80" t="s">
        <v>2257</v>
      </c>
      <c r="AE5" s="80" t="s">
        <v>2258</v>
      </c>
      <c r="AF5" s="80" t="s">
        <v>2272</v>
      </c>
      <c r="AK5" s="80" t="s">
        <v>2284</v>
      </c>
      <c r="AL5" s="80" t="s">
        <v>2261</v>
      </c>
      <c r="AN5" s="80" t="s">
        <v>2279</v>
      </c>
      <c r="AP5" s="80" t="s">
        <v>2285</v>
      </c>
      <c r="AQ5" s="80" t="s">
        <v>2286</v>
      </c>
      <c r="AT5" s="80" t="s">
        <v>2256</v>
      </c>
      <c r="AU5" s="80" t="s">
        <v>2287</v>
      </c>
    </row>
    <row r="6" spans="1:49">
      <c r="A6" s="80" t="s">
        <v>2241</v>
      </c>
      <c r="B6" s="80" t="s">
        <v>2284</v>
      </c>
      <c r="C6" s="80" t="s">
        <v>2151</v>
      </c>
      <c r="D6" s="80" t="s">
        <v>2278</v>
      </c>
      <c r="E6" s="80" t="s">
        <v>2244</v>
      </c>
      <c r="F6" s="80" t="s">
        <v>2288</v>
      </c>
      <c r="J6" s="80" t="s">
        <v>2280</v>
      </c>
      <c r="M6" s="80" t="s">
        <v>2247</v>
      </c>
      <c r="N6" s="80" t="s">
        <v>2281</v>
      </c>
      <c r="O6" s="80" t="s">
        <v>2151</v>
      </c>
      <c r="P6" s="80" t="s">
        <v>2249</v>
      </c>
      <c r="Q6" s="80" t="s">
        <v>2278</v>
      </c>
      <c r="R6" s="80" t="s">
        <v>2289</v>
      </c>
      <c r="S6" s="80" t="s">
        <v>2244</v>
      </c>
      <c r="T6" s="80" t="s">
        <v>2251</v>
      </c>
      <c r="U6" s="80" t="s">
        <v>2241</v>
      </c>
      <c r="V6" s="80" t="s">
        <v>2290</v>
      </c>
      <c r="W6" s="80" t="s">
        <v>2270</v>
      </c>
      <c r="X6" s="80" t="s">
        <v>2291</v>
      </c>
      <c r="AA6" s="80" t="s">
        <v>2256</v>
      </c>
      <c r="AC6" s="80" t="s">
        <v>2257</v>
      </c>
      <c r="AE6" s="80" t="s">
        <v>2258</v>
      </c>
      <c r="AF6" s="80" t="s">
        <v>2272</v>
      </c>
      <c r="AJ6" s="80" t="s">
        <v>2277</v>
      </c>
      <c r="AL6" s="80" t="s">
        <v>2261</v>
      </c>
      <c r="AN6" s="80" t="s">
        <v>2288</v>
      </c>
      <c r="AP6" s="80" t="s">
        <v>2292</v>
      </c>
      <c r="AQ6" s="80" t="s">
        <v>2293</v>
      </c>
      <c r="AT6" s="80" t="s">
        <v>2256</v>
      </c>
      <c r="AU6" s="80" t="s">
        <v>2294</v>
      </c>
      <c r="AW6" s="80" t="s">
        <v>2265</v>
      </c>
    </row>
    <row r="7" spans="1:49">
      <c r="A7" s="80" t="s">
        <v>2241</v>
      </c>
      <c r="B7" s="80" t="s">
        <v>2295</v>
      </c>
      <c r="C7" s="80" t="s">
        <v>2296</v>
      </c>
      <c r="D7" s="80" t="s">
        <v>2297</v>
      </c>
      <c r="E7" s="80" t="s">
        <v>2244</v>
      </c>
      <c r="F7" s="80" t="s">
        <v>2298</v>
      </c>
      <c r="J7" s="80" t="s">
        <v>2299</v>
      </c>
      <c r="M7" s="80" t="s">
        <v>2247</v>
      </c>
      <c r="N7" s="80" t="s">
        <v>2300</v>
      </c>
      <c r="O7" s="80" t="s">
        <v>2296</v>
      </c>
      <c r="P7" s="80" t="s">
        <v>2301</v>
      </c>
      <c r="Q7" s="80" t="s">
        <v>2297</v>
      </c>
      <c r="R7" s="80" t="s">
        <v>2302</v>
      </c>
      <c r="S7" s="80" t="s">
        <v>2244</v>
      </c>
      <c r="T7" s="80" t="s">
        <v>2251</v>
      </c>
      <c r="U7" s="80" t="s">
        <v>2252</v>
      </c>
      <c r="V7" s="80" t="s">
        <v>2303</v>
      </c>
      <c r="W7" s="80" t="s">
        <v>2270</v>
      </c>
      <c r="X7" s="80" t="s">
        <v>2291</v>
      </c>
      <c r="AA7" s="80" t="s">
        <v>2256</v>
      </c>
      <c r="AC7" s="80" t="s">
        <v>2257</v>
      </c>
      <c r="AE7" s="80" t="s">
        <v>2258</v>
      </c>
      <c r="AF7" s="80" t="s">
        <v>2272</v>
      </c>
      <c r="AJ7" s="80" t="s">
        <v>2304</v>
      </c>
      <c r="AL7" s="80" t="s">
        <v>2261</v>
      </c>
      <c r="AN7" s="80" t="s">
        <v>2298</v>
      </c>
      <c r="AP7" s="80" t="s">
        <v>2305</v>
      </c>
      <c r="AQ7" s="80" t="s">
        <v>2306</v>
      </c>
      <c r="AU7" s="80" t="s">
        <v>2307</v>
      </c>
    </row>
    <row r="8" spans="1:49">
      <c r="A8" s="80" t="s">
        <v>2241</v>
      </c>
      <c r="B8" s="80" t="s">
        <v>2304</v>
      </c>
      <c r="C8" s="80" t="s">
        <v>2296</v>
      </c>
      <c r="D8" s="80" t="s">
        <v>2308</v>
      </c>
      <c r="E8" s="80" t="s">
        <v>2244</v>
      </c>
      <c r="F8" s="80" t="s">
        <v>2309</v>
      </c>
      <c r="J8" s="80" t="s">
        <v>2299</v>
      </c>
      <c r="M8" s="80" t="s">
        <v>2268</v>
      </c>
      <c r="N8" s="80" t="s">
        <v>2300</v>
      </c>
      <c r="O8" s="80" t="s">
        <v>2296</v>
      </c>
      <c r="P8" s="80" t="s">
        <v>2301</v>
      </c>
      <c r="Q8" s="80" t="s">
        <v>2308</v>
      </c>
      <c r="R8" s="80" t="s">
        <v>2310</v>
      </c>
      <c r="S8" s="80" t="s">
        <v>2244</v>
      </c>
      <c r="T8" s="80" t="s">
        <v>2251</v>
      </c>
      <c r="U8" s="80" t="s">
        <v>2234</v>
      </c>
      <c r="W8" s="80" t="s">
        <v>2311</v>
      </c>
      <c r="X8" s="80" t="s">
        <v>2283</v>
      </c>
      <c r="AA8" s="80" t="s">
        <v>2256</v>
      </c>
      <c r="AC8" s="80" t="s">
        <v>2257</v>
      </c>
      <c r="AE8" s="80" t="s">
        <v>2258</v>
      </c>
      <c r="AF8" s="80" t="s">
        <v>2272</v>
      </c>
      <c r="AK8" s="80" t="s">
        <v>2295</v>
      </c>
      <c r="AL8" s="80" t="s">
        <v>2261</v>
      </c>
      <c r="AN8" s="80" t="s">
        <v>2309</v>
      </c>
      <c r="AP8" s="80" t="s">
        <v>2312</v>
      </c>
      <c r="AQ8" s="80" t="s">
        <v>2313</v>
      </c>
      <c r="AT8" s="80" t="s">
        <v>2256</v>
      </c>
      <c r="AU8" s="80" t="s">
        <v>2314</v>
      </c>
      <c r="AW8" s="80" t="s">
        <v>2265</v>
      </c>
    </row>
    <row r="9" spans="1:49">
      <c r="A9" s="80" t="s">
        <v>2241</v>
      </c>
      <c r="B9" s="80" t="s">
        <v>2315</v>
      </c>
      <c r="C9" s="80" t="s">
        <v>2144</v>
      </c>
      <c r="D9" s="80" t="s">
        <v>2316</v>
      </c>
      <c r="E9" s="80" t="s">
        <v>2244</v>
      </c>
      <c r="F9" s="80" t="s">
        <v>2317</v>
      </c>
      <c r="J9" s="80" t="s">
        <v>2318</v>
      </c>
      <c r="M9" s="80" t="s">
        <v>2247</v>
      </c>
      <c r="N9" s="80" t="s">
        <v>2319</v>
      </c>
      <c r="O9" s="80" t="s">
        <v>2144</v>
      </c>
      <c r="P9" s="80" t="s">
        <v>2320</v>
      </c>
      <c r="Q9" s="80" t="s">
        <v>2316</v>
      </c>
      <c r="R9" s="80" t="s">
        <v>2321</v>
      </c>
      <c r="S9" s="80" t="s">
        <v>2244</v>
      </c>
      <c r="T9" s="80" t="s">
        <v>2251</v>
      </c>
      <c r="U9" s="80" t="s">
        <v>2322</v>
      </c>
      <c r="V9" s="80" t="s">
        <v>2323</v>
      </c>
      <c r="W9" s="80" t="s">
        <v>2324</v>
      </c>
      <c r="X9" s="80" t="s">
        <v>2291</v>
      </c>
      <c r="AA9" s="80" t="s">
        <v>2256</v>
      </c>
      <c r="AC9" s="80" t="s">
        <v>2325</v>
      </c>
      <c r="AE9" s="80" t="s">
        <v>2258</v>
      </c>
      <c r="AF9" s="80" t="s">
        <v>2259</v>
      </c>
      <c r="AJ9" s="80" t="s">
        <v>2326</v>
      </c>
      <c r="AL9" s="80" t="s">
        <v>2261</v>
      </c>
      <c r="AN9" s="80" t="s">
        <v>2317</v>
      </c>
      <c r="AP9" s="80" t="s">
        <v>2327</v>
      </c>
      <c r="AQ9" s="80" t="s">
        <v>2328</v>
      </c>
      <c r="AT9" s="80" t="s">
        <v>2256</v>
      </c>
      <c r="AU9" s="80" t="s">
        <v>2329</v>
      </c>
      <c r="AW9" s="80" t="s">
        <v>2330</v>
      </c>
    </row>
    <row r="10" spans="1:49">
      <c r="A10" s="80" t="s">
        <v>2241</v>
      </c>
      <c r="B10" s="80" t="s">
        <v>2326</v>
      </c>
      <c r="C10" s="80" t="s">
        <v>2144</v>
      </c>
      <c r="D10" s="80" t="s">
        <v>2331</v>
      </c>
      <c r="E10" s="80" t="s">
        <v>2244</v>
      </c>
      <c r="F10" s="80" t="s">
        <v>2332</v>
      </c>
      <c r="J10" s="80" t="s">
        <v>2318</v>
      </c>
      <c r="M10" s="80" t="s">
        <v>2268</v>
      </c>
      <c r="N10" s="80" t="s">
        <v>2319</v>
      </c>
      <c r="O10" s="80" t="s">
        <v>2144</v>
      </c>
      <c r="P10" s="80" t="s">
        <v>2320</v>
      </c>
      <c r="Q10" s="80" t="s">
        <v>2331</v>
      </c>
      <c r="R10" s="80" t="s">
        <v>2333</v>
      </c>
      <c r="S10" s="80" t="s">
        <v>2244</v>
      </c>
      <c r="T10" s="80" t="s">
        <v>2251</v>
      </c>
      <c r="U10" s="80" t="s">
        <v>2234</v>
      </c>
      <c r="W10" s="80" t="s">
        <v>2334</v>
      </c>
      <c r="X10" s="80" t="s">
        <v>2291</v>
      </c>
      <c r="AA10" s="80" t="s">
        <v>2256</v>
      </c>
      <c r="AC10" s="80" t="s">
        <v>2325</v>
      </c>
      <c r="AE10" s="80" t="s">
        <v>2258</v>
      </c>
      <c r="AF10" s="80" t="s">
        <v>2272</v>
      </c>
      <c r="AK10" s="80" t="s">
        <v>2315</v>
      </c>
      <c r="AL10" s="80" t="s">
        <v>2261</v>
      </c>
      <c r="AN10" s="80" t="s">
        <v>2332</v>
      </c>
      <c r="AP10" s="80" t="s">
        <v>2335</v>
      </c>
      <c r="AQ10" s="80" t="s">
        <v>2336</v>
      </c>
      <c r="AU10" s="80" t="s">
        <v>2337</v>
      </c>
      <c r="AW10" s="80" t="s">
        <v>2265</v>
      </c>
    </row>
    <row r="11" spans="1:49">
      <c r="A11" s="80" t="s">
        <v>2241</v>
      </c>
      <c r="B11" s="80" t="s">
        <v>2338</v>
      </c>
      <c r="C11" s="80" t="s">
        <v>2144</v>
      </c>
      <c r="D11" s="80" t="s">
        <v>2339</v>
      </c>
      <c r="E11" s="80" t="s">
        <v>2244</v>
      </c>
      <c r="F11" s="80" t="s">
        <v>2340</v>
      </c>
      <c r="J11" s="80" t="s">
        <v>2341</v>
      </c>
      <c r="M11" s="80" t="s">
        <v>2247</v>
      </c>
      <c r="N11" s="80" t="s">
        <v>2342</v>
      </c>
      <c r="O11" s="80" t="s">
        <v>2144</v>
      </c>
      <c r="P11" s="80" t="s">
        <v>2320</v>
      </c>
      <c r="Q11" s="80" t="s">
        <v>2339</v>
      </c>
      <c r="R11" s="80" t="s">
        <v>2343</v>
      </c>
      <c r="S11" s="80" t="s">
        <v>2244</v>
      </c>
      <c r="T11" s="80" t="s">
        <v>2251</v>
      </c>
      <c r="U11" s="80" t="s">
        <v>2241</v>
      </c>
      <c r="V11" s="80" t="s">
        <v>2344</v>
      </c>
      <c r="W11" s="80" t="s">
        <v>2345</v>
      </c>
      <c r="X11" s="80" t="s">
        <v>2283</v>
      </c>
      <c r="AA11" s="80" t="s">
        <v>2256</v>
      </c>
      <c r="AC11" s="80" t="s">
        <v>2325</v>
      </c>
      <c r="AE11" s="80" t="s">
        <v>2258</v>
      </c>
      <c r="AF11" s="80" t="s">
        <v>2272</v>
      </c>
      <c r="AJ11" s="80" t="s">
        <v>2346</v>
      </c>
      <c r="AL11" s="80" t="s">
        <v>2261</v>
      </c>
      <c r="AN11" s="80" t="s">
        <v>2340</v>
      </c>
      <c r="AP11" s="80" t="s">
        <v>2347</v>
      </c>
      <c r="AQ11" s="80" t="s">
        <v>2348</v>
      </c>
      <c r="AT11" s="80" t="s">
        <v>2256</v>
      </c>
      <c r="AU11" s="80" t="s">
        <v>2349</v>
      </c>
      <c r="AW11" s="80" t="s">
        <v>2350</v>
      </c>
    </row>
    <row r="12" spans="1:49">
      <c r="A12" s="80" t="s">
        <v>2241</v>
      </c>
      <c r="B12" s="80" t="s">
        <v>2346</v>
      </c>
      <c r="C12" s="80" t="s">
        <v>2144</v>
      </c>
      <c r="D12" s="80" t="s">
        <v>2351</v>
      </c>
      <c r="E12" s="80" t="s">
        <v>2244</v>
      </c>
      <c r="F12" s="80" t="s">
        <v>2352</v>
      </c>
      <c r="J12" s="80" t="s">
        <v>2341</v>
      </c>
      <c r="M12" s="80" t="s">
        <v>2268</v>
      </c>
      <c r="N12" s="80" t="s">
        <v>2342</v>
      </c>
      <c r="O12" s="80" t="s">
        <v>2144</v>
      </c>
      <c r="P12" s="80" t="s">
        <v>2320</v>
      </c>
      <c r="Q12" s="80" t="s">
        <v>2351</v>
      </c>
      <c r="R12" s="80" t="s">
        <v>2353</v>
      </c>
      <c r="S12" s="80" t="s">
        <v>2244</v>
      </c>
      <c r="T12" s="80" t="s">
        <v>2251</v>
      </c>
      <c r="U12" s="80" t="s">
        <v>2234</v>
      </c>
      <c r="W12" s="80" t="s">
        <v>2354</v>
      </c>
      <c r="X12" s="80" t="s">
        <v>2271</v>
      </c>
      <c r="AA12" s="80" t="s">
        <v>2256</v>
      </c>
      <c r="AC12" s="80" t="s">
        <v>2325</v>
      </c>
      <c r="AE12" s="80" t="s">
        <v>2258</v>
      </c>
      <c r="AF12" s="80" t="s">
        <v>2272</v>
      </c>
      <c r="AK12" s="80" t="s">
        <v>2338</v>
      </c>
      <c r="AL12" s="80" t="s">
        <v>2261</v>
      </c>
      <c r="AN12" s="80" t="s">
        <v>2352</v>
      </c>
      <c r="AP12" s="80" t="s">
        <v>2335</v>
      </c>
      <c r="AQ12" s="80" t="s">
        <v>2355</v>
      </c>
      <c r="AT12" s="80" t="s">
        <v>2256</v>
      </c>
      <c r="AU12" s="80" t="s">
        <v>2356</v>
      </c>
      <c r="AW12" s="80" t="s">
        <v>2265</v>
      </c>
    </row>
    <row r="13" spans="1:49">
      <c r="A13" s="80" t="s">
        <v>2241</v>
      </c>
      <c r="B13" s="80" t="s">
        <v>2357</v>
      </c>
      <c r="C13" s="80" t="s">
        <v>2144</v>
      </c>
      <c r="D13" s="80" t="s">
        <v>2351</v>
      </c>
      <c r="E13" s="80" t="s">
        <v>2244</v>
      </c>
      <c r="F13" s="80" t="s">
        <v>2358</v>
      </c>
      <c r="J13" s="80" t="s">
        <v>2359</v>
      </c>
      <c r="M13" s="80" t="s">
        <v>2268</v>
      </c>
      <c r="N13" s="80" t="s">
        <v>2360</v>
      </c>
      <c r="O13" s="80" t="s">
        <v>2144</v>
      </c>
      <c r="P13" s="80" t="s">
        <v>2320</v>
      </c>
      <c r="Q13" s="80" t="s">
        <v>2351</v>
      </c>
      <c r="R13" s="80" t="s">
        <v>2361</v>
      </c>
      <c r="S13" s="80" t="s">
        <v>2244</v>
      </c>
      <c r="T13" s="80" t="s">
        <v>2251</v>
      </c>
      <c r="U13" s="80" t="s">
        <v>2234</v>
      </c>
      <c r="W13" s="80" t="s">
        <v>2362</v>
      </c>
      <c r="X13" s="80" t="s">
        <v>2271</v>
      </c>
      <c r="AA13" s="80" t="s">
        <v>2256</v>
      </c>
      <c r="AC13" s="80" t="s">
        <v>2325</v>
      </c>
      <c r="AE13" s="80" t="s">
        <v>2258</v>
      </c>
      <c r="AF13" s="80" t="s">
        <v>2272</v>
      </c>
      <c r="AK13" s="80" t="s">
        <v>2363</v>
      </c>
      <c r="AL13" s="80" t="s">
        <v>2261</v>
      </c>
      <c r="AN13" s="80" t="s">
        <v>2358</v>
      </c>
      <c r="AP13" s="80" t="s">
        <v>2347</v>
      </c>
      <c r="AQ13" s="80" t="s">
        <v>2364</v>
      </c>
      <c r="AU13" s="80" t="s">
        <v>2365</v>
      </c>
      <c r="AW13" s="80" t="s">
        <v>2350</v>
      </c>
    </row>
    <row r="14" spans="1:49">
      <c r="A14" s="80" t="s">
        <v>2241</v>
      </c>
      <c r="B14" s="80" t="s">
        <v>2363</v>
      </c>
      <c r="C14" s="80" t="s">
        <v>2144</v>
      </c>
      <c r="D14" s="80" t="s">
        <v>2366</v>
      </c>
      <c r="E14" s="80" t="s">
        <v>2244</v>
      </c>
      <c r="F14" s="80" t="s">
        <v>2367</v>
      </c>
      <c r="J14" s="80" t="s">
        <v>2359</v>
      </c>
      <c r="M14" s="80" t="s">
        <v>2247</v>
      </c>
      <c r="N14" s="80" t="s">
        <v>2360</v>
      </c>
      <c r="O14" s="80" t="s">
        <v>2144</v>
      </c>
      <c r="P14" s="80" t="s">
        <v>2320</v>
      </c>
      <c r="Q14" s="80" t="s">
        <v>2366</v>
      </c>
      <c r="R14" s="80" t="s">
        <v>2368</v>
      </c>
      <c r="S14" s="80" t="s">
        <v>2244</v>
      </c>
      <c r="T14" s="80" t="s">
        <v>2251</v>
      </c>
      <c r="U14" s="80" t="s">
        <v>2322</v>
      </c>
      <c r="V14" s="80" t="s">
        <v>2369</v>
      </c>
      <c r="W14" s="80" t="s">
        <v>2370</v>
      </c>
      <c r="X14" s="80" t="s">
        <v>2255</v>
      </c>
      <c r="AA14" s="80" t="s">
        <v>2256</v>
      </c>
      <c r="AC14" s="80" t="s">
        <v>2325</v>
      </c>
      <c r="AE14" s="80" t="s">
        <v>2258</v>
      </c>
      <c r="AF14" s="80" t="s">
        <v>2259</v>
      </c>
      <c r="AJ14" s="80" t="s">
        <v>2357</v>
      </c>
      <c r="AL14" s="80" t="s">
        <v>2261</v>
      </c>
      <c r="AN14" s="80" t="s">
        <v>2367</v>
      </c>
      <c r="AP14" s="80" t="s">
        <v>2327</v>
      </c>
      <c r="AQ14" s="80" t="s">
        <v>2371</v>
      </c>
      <c r="AT14" s="80" t="s">
        <v>2256</v>
      </c>
      <c r="AU14" s="80" t="s">
        <v>2372</v>
      </c>
      <c r="AW14" s="80" t="s">
        <v>2373</v>
      </c>
    </row>
    <row r="15" spans="1:49">
      <c r="A15" s="80" t="s">
        <v>2241</v>
      </c>
      <c r="B15" s="80" t="s">
        <v>2374</v>
      </c>
      <c r="C15" s="80" t="s">
        <v>2145</v>
      </c>
      <c r="D15" s="80" t="s">
        <v>2375</v>
      </c>
      <c r="E15" s="80" t="s">
        <v>2244</v>
      </c>
      <c r="F15" s="80" t="s">
        <v>2376</v>
      </c>
      <c r="J15" s="80" t="s">
        <v>2377</v>
      </c>
      <c r="M15" s="80" t="s">
        <v>2247</v>
      </c>
      <c r="O15" s="80" t="s">
        <v>2145</v>
      </c>
      <c r="P15" s="80" t="s">
        <v>2378</v>
      </c>
      <c r="Q15" s="80" t="s">
        <v>2375</v>
      </c>
      <c r="R15" s="80" t="s">
        <v>2379</v>
      </c>
      <c r="S15" s="80" t="s">
        <v>2244</v>
      </c>
      <c r="T15" s="80" t="s">
        <v>2251</v>
      </c>
      <c r="U15" s="80" t="s">
        <v>2241</v>
      </c>
      <c r="V15" s="80" t="s">
        <v>2380</v>
      </c>
      <c r="W15" s="80" t="s">
        <v>2381</v>
      </c>
      <c r="X15" s="80" t="s">
        <v>2283</v>
      </c>
      <c r="AA15" s="80" t="s">
        <v>2256</v>
      </c>
      <c r="AC15" s="80" t="s">
        <v>2382</v>
      </c>
      <c r="AE15" s="80" t="s">
        <v>2258</v>
      </c>
      <c r="AF15" s="80" t="s">
        <v>2272</v>
      </c>
      <c r="AL15" s="80" t="s">
        <v>2261</v>
      </c>
      <c r="AN15" s="80" t="s">
        <v>2376</v>
      </c>
      <c r="AP15" s="80" t="s">
        <v>2383</v>
      </c>
      <c r="AQ15" s="80" t="s">
        <v>2384</v>
      </c>
      <c r="AT15" s="80" t="s">
        <v>2256</v>
      </c>
      <c r="AU15" s="80" t="s">
        <v>2385</v>
      </c>
      <c r="AW15" s="80" t="s">
        <v>2265</v>
      </c>
    </row>
    <row r="16" spans="1:49">
      <c r="A16" s="80" t="s">
        <v>2241</v>
      </c>
      <c r="B16" s="80" t="s">
        <v>2386</v>
      </c>
      <c r="C16" s="80" t="s">
        <v>2146</v>
      </c>
      <c r="D16" s="80" t="s">
        <v>2387</v>
      </c>
      <c r="E16" s="80" t="s">
        <v>2244</v>
      </c>
      <c r="F16" s="80" t="s">
        <v>2388</v>
      </c>
      <c r="J16" s="80" t="s">
        <v>2389</v>
      </c>
      <c r="M16" s="80" t="s">
        <v>2247</v>
      </c>
      <c r="N16" s="80" t="s">
        <v>2390</v>
      </c>
      <c r="O16" s="80" t="s">
        <v>2146</v>
      </c>
      <c r="P16" s="80" t="s">
        <v>2378</v>
      </c>
      <c r="Q16" s="80" t="s">
        <v>2387</v>
      </c>
      <c r="R16" s="80" t="s">
        <v>2391</v>
      </c>
      <c r="S16" s="80" t="s">
        <v>2244</v>
      </c>
      <c r="T16" s="80" t="s">
        <v>2251</v>
      </c>
      <c r="U16" s="80" t="s">
        <v>2241</v>
      </c>
      <c r="V16" s="80" t="s">
        <v>2392</v>
      </c>
      <c r="W16" s="80" t="s">
        <v>2381</v>
      </c>
      <c r="X16" s="80" t="s">
        <v>2271</v>
      </c>
      <c r="AA16" s="80" t="s">
        <v>2256</v>
      </c>
      <c r="AC16" s="80" t="s">
        <v>2393</v>
      </c>
      <c r="AE16" s="80" t="s">
        <v>2258</v>
      </c>
      <c r="AF16" s="80" t="s">
        <v>2272</v>
      </c>
      <c r="AJ16" s="80" t="s">
        <v>2394</v>
      </c>
      <c r="AL16" s="80" t="s">
        <v>2261</v>
      </c>
      <c r="AN16" s="80" t="s">
        <v>2388</v>
      </c>
      <c r="AP16" s="80" t="s">
        <v>2395</v>
      </c>
      <c r="AQ16" s="80" t="s">
        <v>2396</v>
      </c>
      <c r="AT16" s="80" t="s">
        <v>2256</v>
      </c>
      <c r="AU16" s="80" t="s">
        <v>2397</v>
      </c>
      <c r="AW16" s="80" t="s">
        <v>2398</v>
      </c>
    </row>
    <row r="17" spans="1:49">
      <c r="A17" s="80" t="s">
        <v>2241</v>
      </c>
      <c r="B17" s="80" t="s">
        <v>2394</v>
      </c>
      <c r="C17" s="80" t="s">
        <v>2146</v>
      </c>
      <c r="D17" s="80" t="s">
        <v>2399</v>
      </c>
      <c r="E17" s="80" t="s">
        <v>2244</v>
      </c>
      <c r="F17" s="80" t="s">
        <v>2400</v>
      </c>
      <c r="J17" s="80" t="s">
        <v>2389</v>
      </c>
      <c r="M17" s="80" t="s">
        <v>2268</v>
      </c>
      <c r="N17" s="80" t="s">
        <v>2390</v>
      </c>
      <c r="O17" s="80" t="s">
        <v>2146</v>
      </c>
      <c r="P17" s="80" t="s">
        <v>2378</v>
      </c>
      <c r="Q17" s="80" t="s">
        <v>2399</v>
      </c>
      <c r="R17" s="80" t="s">
        <v>2401</v>
      </c>
      <c r="S17" s="80" t="s">
        <v>2244</v>
      </c>
      <c r="T17" s="80" t="s">
        <v>2251</v>
      </c>
      <c r="U17" s="80" t="s">
        <v>2234</v>
      </c>
      <c r="W17" s="80" t="s">
        <v>2334</v>
      </c>
      <c r="X17" s="80" t="s">
        <v>2271</v>
      </c>
      <c r="AA17" s="80" t="s">
        <v>2256</v>
      </c>
      <c r="AC17" s="80" t="s">
        <v>2393</v>
      </c>
      <c r="AE17" s="80" t="s">
        <v>2258</v>
      </c>
      <c r="AF17" s="80" t="s">
        <v>2259</v>
      </c>
      <c r="AK17" s="80" t="s">
        <v>2386</v>
      </c>
      <c r="AL17" s="80" t="s">
        <v>2261</v>
      </c>
      <c r="AN17" s="80" t="s">
        <v>2400</v>
      </c>
      <c r="AP17" s="80" t="s">
        <v>2335</v>
      </c>
      <c r="AQ17" s="80" t="s">
        <v>2402</v>
      </c>
      <c r="AT17" s="80" t="s">
        <v>2256</v>
      </c>
      <c r="AU17" s="80" t="s">
        <v>2403</v>
      </c>
      <c r="AW17" s="80" t="s">
        <v>2265</v>
      </c>
    </row>
    <row r="18" spans="1:49">
      <c r="A18" s="80" t="s">
        <v>2241</v>
      </c>
      <c r="B18" s="80" t="s">
        <v>2404</v>
      </c>
      <c r="C18" s="80" t="s">
        <v>2173</v>
      </c>
      <c r="D18" s="80" t="s">
        <v>2405</v>
      </c>
      <c r="E18" s="80" t="s">
        <v>2244</v>
      </c>
      <c r="F18" s="80" t="s">
        <v>2406</v>
      </c>
      <c r="J18" s="80" t="s">
        <v>2407</v>
      </c>
      <c r="M18" s="80" t="s">
        <v>2247</v>
      </c>
      <c r="N18" s="80" t="s">
        <v>2408</v>
      </c>
      <c r="O18" s="80" t="s">
        <v>2173</v>
      </c>
      <c r="P18" s="80" t="s">
        <v>2378</v>
      </c>
      <c r="Q18" s="80" t="s">
        <v>2405</v>
      </c>
      <c r="R18" s="80" t="s">
        <v>2409</v>
      </c>
      <c r="S18" s="80" t="s">
        <v>2244</v>
      </c>
      <c r="T18" s="80" t="s">
        <v>2251</v>
      </c>
      <c r="U18" s="80" t="s">
        <v>2252</v>
      </c>
      <c r="V18" s="80" t="s">
        <v>2410</v>
      </c>
      <c r="W18" s="80" t="s">
        <v>2411</v>
      </c>
      <c r="X18" s="80" t="s">
        <v>2412</v>
      </c>
      <c r="AA18" s="80" t="s">
        <v>2256</v>
      </c>
      <c r="AC18" s="80" t="s">
        <v>2393</v>
      </c>
      <c r="AE18" s="80" t="s">
        <v>2258</v>
      </c>
      <c r="AF18" s="80" t="s">
        <v>2272</v>
      </c>
      <c r="AJ18" s="80" t="s">
        <v>2413</v>
      </c>
      <c r="AL18" s="80" t="s">
        <v>2261</v>
      </c>
      <c r="AN18" s="80" t="s">
        <v>2406</v>
      </c>
      <c r="AP18" s="80" t="s">
        <v>2383</v>
      </c>
      <c r="AQ18" s="80" t="s">
        <v>2414</v>
      </c>
      <c r="AT18" s="80" t="s">
        <v>2256</v>
      </c>
      <c r="AU18" s="80" t="s">
        <v>2415</v>
      </c>
      <c r="AW18" s="80" t="s">
        <v>2416</v>
      </c>
    </row>
    <row r="19" spans="1:49">
      <c r="A19" s="80" t="s">
        <v>2241</v>
      </c>
      <c r="B19" s="80" t="s">
        <v>2413</v>
      </c>
      <c r="C19" s="80" t="s">
        <v>2173</v>
      </c>
      <c r="D19" s="80" t="s">
        <v>2417</v>
      </c>
      <c r="E19" s="80" t="s">
        <v>2418</v>
      </c>
      <c r="F19" s="80" t="s">
        <v>2419</v>
      </c>
      <c r="J19" s="80" t="s">
        <v>2407</v>
      </c>
      <c r="M19" s="80" t="s">
        <v>2268</v>
      </c>
      <c r="N19" s="80" t="s">
        <v>2408</v>
      </c>
      <c r="O19" s="80" t="s">
        <v>2173</v>
      </c>
      <c r="P19" s="80" t="s">
        <v>2378</v>
      </c>
      <c r="Q19" s="80" t="s">
        <v>2417</v>
      </c>
      <c r="R19" s="80" t="s">
        <v>2420</v>
      </c>
      <c r="S19" s="80" t="s">
        <v>2418</v>
      </c>
      <c r="T19" s="80" t="s">
        <v>2251</v>
      </c>
      <c r="U19" s="80" t="s">
        <v>2234</v>
      </c>
      <c r="W19" s="80" t="s">
        <v>2345</v>
      </c>
      <c r="X19" s="80" t="s">
        <v>2271</v>
      </c>
      <c r="AA19" s="80" t="s">
        <v>2256</v>
      </c>
      <c r="AC19" s="80" t="s">
        <v>2393</v>
      </c>
      <c r="AE19" s="80" t="s">
        <v>2258</v>
      </c>
      <c r="AF19" s="80" t="s">
        <v>2259</v>
      </c>
      <c r="AK19" s="80" t="s">
        <v>2404</v>
      </c>
      <c r="AL19" s="80" t="s">
        <v>2261</v>
      </c>
      <c r="AN19" s="80" t="s">
        <v>2419</v>
      </c>
      <c r="AP19" s="80" t="s">
        <v>2421</v>
      </c>
      <c r="AQ19" s="80" t="s">
        <v>2422</v>
      </c>
      <c r="AT19" s="80" t="s">
        <v>2256</v>
      </c>
      <c r="AU19" s="80" t="s">
        <v>2423</v>
      </c>
      <c r="AW19" s="80" t="s">
        <v>2373</v>
      </c>
    </row>
    <row r="20" spans="1:49">
      <c r="A20" s="80" t="s">
        <v>2241</v>
      </c>
      <c r="B20" s="80" t="s">
        <v>2424</v>
      </c>
      <c r="C20" s="80" t="s">
        <v>2145</v>
      </c>
      <c r="D20" s="80" t="s">
        <v>2425</v>
      </c>
      <c r="E20" s="80" t="s">
        <v>2418</v>
      </c>
      <c r="F20" s="80" t="s">
        <v>2426</v>
      </c>
      <c r="J20" s="80" t="s">
        <v>2427</v>
      </c>
      <c r="M20" s="80" t="s">
        <v>2268</v>
      </c>
      <c r="N20" s="80" t="s">
        <v>2428</v>
      </c>
      <c r="O20" s="80" t="s">
        <v>2145</v>
      </c>
      <c r="P20" s="80" t="s">
        <v>2378</v>
      </c>
      <c r="Q20" s="80" t="s">
        <v>2425</v>
      </c>
      <c r="R20" s="80" t="s">
        <v>2429</v>
      </c>
      <c r="S20" s="80" t="s">
        <v>2418</v>
      </c>
      <c r="T20" s="80" t="s">
        <v>2251</v>
      </c>
      <c r="U20" s="80" t="s">
        <v>2234</v>
      </c>
      <c r="W20" s="80" t="s">
        <v>2430</v>
      </c>
      <c r="X20" s="80" t="s">
        <v>2271</v>
      </c>
      <c r="AA20" s="80" t="s">
        <v>2256</v>
      </c>
      <c r="AC20" s="80" t="s">
        <v>2382</v>
      </c>
      <c r="AE20" s="80" t="s">
        <v>2258</v>
      </c>
      <c r="AF20" s="80" t="s">
        <v>2272</v>
      </c>
      <c r="AK20" s="80" t="s">
        <v>2431</v>
      </c>
      <c r="AL20" s="80" t="s">
        <v>2261</v>
      </c>
      <c r="AN20" s="80" t="s">
        <v>2426</v>
      </c>
      <c r="AP20" s="80" t="s">
        <v>2421</v>
      </c>
      <c r="AQ20" s="80" t="s">
        <v>2432</v>
      </c>
      <c r="AT20" s="80" t="s">
        <v>2256</v>
      </c>
      <c r="AU20" s="80" t="s">
        <v>2433</v>
      </c>
      <c r="AW20" s="80" t="s">
        <v>2265</v>
      </c>
    </row>
    <row r="21" spans="1:49">
      <c r="A21" s="80" t="s">
        <v>2241</v>
      </c>
      <c r="B21" s="80" t="s">
        <v>2431</v>
      </c>
      <c r="C21" s="80" t="s">
        <v>2145</v>
      </c>
      <c r="D21" s="80" t="s">
        <v>2434</v>
      </c>
      <c r="E21" s="80" t="s">
        <v>2244</v>
      </c>
      <c r="F21" s="80" t="s">
        <v>2435</v>
      </c>
      <c r="J21" s="80" t="s">
        <v>2427</v>
      </c>
      <c r="M21" s="80" t="s">
        <v>2247</v>
      </c>
      <c r="N21" s="80" t="s">
        <v>2428</v>
      </c>
      <c r="O21" s="80" t="s">
        <v>2145</v>
      </c>
      <c r="P21" s="80" t="s">
        <v>2378</v>
      </c>
      <c r="Q21" s="80" t="s">
        <v>2434</v>
      </c>
      <c r="R21" s="80" t="s">
        <v>2436</v>
      </c>
      <c r="S21" s="80" t="s">
        <v>2244</v>
      </c>
      <c r="T21" s="80" t="s">
        <v>2251</v>
      </c>
      <c r="U21" s="80" t="s">
        <v>2241</v>
      </c>
      <c r="V21" s="80" t="s">
        <v>2437</v>
      </c>
      <c r="W21" s="80" t="s">
        <v>2438</v>
      </c>
      <c r="X21" s="80" t="s">
        <v>2271</v>
      </c>
      <c r="AA21" s="80" t="s">
        <v>2256</v>
      </c>
      <c r="AC21" s="80" t="s">
        <v>2382</v>
      </c>
      <c r="AE21" s="80" t="s">
        <v>2258</v>
      </c>
      <c r="AF21" s="80" t="s">
        <v>2272</v>
      </c>
      <c r="AJ21" s="80" t="s">
        <v>2424</v>
      </c>
      <c r="AL21" s="80" t="s">
        <v>2261</v>
      </c>
      <c r="AN21" s="80" t="s">
        <v>2435</v>
      </c>
      <c r="AP21" s="80" t="s">
        <v>2395</v>
      </c>
      <c r="AQ21" s="80" t="s">
        <v>2439</v>
      </c>
      <c r="AT21" s="80" t="s">
        <v>2256</v>
      </c>
      <c r="AU21" s="80" t="s">
        <v>2440</v>
      </c>
      <c r="AW21" s="80" t="s">
        <v>2373</v>
      </c>
    </row>
    <row r="22" spans="1:49">
      <c r="A22" s="80" t="s">
        <v>2241</v>
      </c>
      <c r="B22" s="80" t="s">
        <v>2441</v>
      </c>
      <c r="C22" s="80" t="s">
        <v>2145</v>
      </c>
      <c r="D22" s="80" t="s">
        <v>2442</v>
      </c>
      <c r="E22" s="80" t="s">
        <v>2244</v>
      </c>
      <c r="F22" s="80" t="s">
        <v>2443</v>
      </c>
      <c r="J22" s="80" t="s">
        <v>2444</v>
      </c>
      <c r="M22" s="80" t="s">
        <v>2247</v>
      </c>
      <c r="O22" s="80" t="s">
        <v>2145</v>
      </c>
      <c r="P22" s="80" t="s">
        <v>2378</v>
      </c>
      <c r="Q22" s="80" t="s">
        <v>2442</v>
      </c>
      <c r="R22" s="80" t="s">
        <v>2445</v>
      </c>
      <c r="S22" s="80" t="s">
        <v>2244</v>
      </c>
      <c r="T22" s="80" t="s">
        <v>2251</v>
      </c>
      <c r="U22" s="80" t="s">
        <v>2446</v>
      </c>
      <c r="V22" s="80" t="s">
        <v>2447</v>
      </c>
      <c r="W22" s="80" t="s">
        <v>2345</v>
      </c>
      <c r="X22" s="80" t="s">
        <v>2291</v>
      </c>
      <c r="AA22" s="80" t="s">
        <v>2256</v>
      </c>
      <c r="AC22" s="80" t="s">
        <v>2382</v>
      </c>
      <c r="AE22" s="80" t="s">
        <v>2258</v>
      </c>
      <c r="AF22" s="80" t="s">
        <v>2272</v>
      </c>
      <c r="AL22" s="80" t="s">
        <v>2261</v>
      </c>
      <c r="AN22" s="80" t="s">
        <v>2443</v>
      </c>
      <c r="AP22" s="80" t="s">
        <v>2448</v>
      </c>
      <c r="AQ22" s="80" t="s">
        <v>2449</v>
      </c>
      <c r="AT22" s="80" t="s">
        <v>2256</v>
      </c>
      <c r="AU22" s="80" t="s">
        <v>2450</v>
      </c>
      <c r="AW22" s="80" t="s">
        <v>2265</v>
      </c>
    </row>
    <row r="23" spans="1:49">
      <c r="A23" s="80" t="s">
        <v>2241</v>
      </c>
      <c r="B23" s="80" t="s">
        <v>2451</v>
      </c>
      <c r="C23" s="80" t="s">
        <v>2146</v>
      </c>
      <c r="D23" s="80" t="s">
        <v>2452</v>
      </c>
      <c r="E23" s="80" t="s">
        <v>2244</v>
      </c>
      <c r="F23" s="80" t="s">
        <v>2453</v>
      </c>
      <c r="J23" s="80" t="s">
        <v>2454</v>
      </c>
      <c r="M23" s="80" t="s">
        <v>2247</v>
      </c>
      <c r="N23" s="80" t="s">
        <v>2455</v>
      </c>
      <c r="O23" s="80" t="s">
        <v>2146</v>
      </c>
      <c r="P23" s="80" t="s">
        <v>2378</v>
      </c>
      <c r="Q23" s="80" t="s">
        <v>2452</v>
      </c>
      <c r="R23" s="80" t="s">
        <v>2456</v>
      </c>
      <c r="S23" s="80" t="s">
        <v>2244</v>
      </c>
      <c r="T23" s="80" t="s">
        <v>2251</v>
      </c>
      <c r="U23" s="80" t="s">
        <v>2457</v>
      </c>
      <c r="V23" s="80" t="s">
        <v>2458</v>
      </c>
      <c r="W23" s="80" t="s">
        <v>2345</v>
      </c>
      <c r="X23" s="80" t="s">
        <v>2459</v>
      </c>
      <c r="AA23" s="80" t="s">
        <v>2256</v>
      </c>
      <c r="AC23" s="80" t="s">
        <v>2393</v>
      </c>
      <c r="AE23" s="80" t="s">
        <v>2258</v>
      </c>
      <c r="AF23" s="80" t="s">
        <v>2272</v>
      </c>
      <c r="AJ23" s="80" t="s">
        <v>2460</v>
      </c>
      <c r="AL23" s="80" t="s">
        <v>2261</v>
      </c>
      <c r="AN23" s="80" t="s">
        <v>2453</v>
      </c>
      <c r="AP23" s="80" t="s">
        <v>2383</v>
      </c>
      <c r="AQ23" s="80" t="s">
        <v>2461</v>
      </c>
      <c r="AT23" s="80" t="s">
        <v>2256</v>
      </c>
      <c r="AU23" s="80" t="s">
        <v>2462</v>
      </c>
      <c r="AW23" s="80" t="s">
        <v>2463</v>
      </c>
    </row>
    <row r="24" spans="1:49">
      <c r="A24" s="80" t="s">
        <v>2241</v>
      </c>
      <c r="B24" s="80" t="s">
        <v>2460</v>
      </c>
      <c r="C24" s="80" t="s">
        <v>2146</v>
      </c>
      <c r="D24" s="80" t="s">
        <v>2464</v>
      </c>
      <c r="E24" s="80" t="s">
        <v>2244</v>
      </c>
      <c r="F24" s="80" t="s">
        <v>2465</v>
      </c>
      <c r="J24" s="80" t="s">
        <v>2454</v>
      </c>
      <c r="M24" s="80" t="s">
        <v>2268</v>
      </c>
      <c r="N24" s="80" t="s">
        <v>2455</v>
      </c>
      <c r="O24" s="80" t="s">
        <v>2146</v>
      </c>
      <c r="P24" s="80" t="s">
        <v>2378</v>
      </c>
      <c r="Q24" s="80" t="s">
        <v>2464</v>
      </c>
      <c r="R24" s="80" t="s">
        <v>2466</v>
      </c>
      <c r="S24" s="80" t="s">
        <v>2244</v>
      </c>
      <c r="T24" s="80" t="s">
        <v>2251</v>
      </c>
      <c r="U24" s="80" t="s">
        <v>2234</v>
      </c>
      <c r="W24" s="80" t="s">
        <v>2334</v>
      </c>
      <c r="X24" s="80" t="s">
        <v>2283</v>
      </c>
      <c r="AA24" s="80" t="s">
        <v>2256</v>
      </c>
      <c r="AC24" s="80" t="s">
        <v>2393</v>
      </c>
      <c r="AE24" s="80" t="s">
        <v>2258</v>
      </c>
      <c r="AF24" s="80" t="s">
        <v>2259</v>
      </c>
      <c r="AK24" s="80" t="s">
        <v>2451</v>
      </c>
      <c r="AL24" s="80" t="s">
        <v>2261</v>
      </c>
      <c r="AN24" s="80" t="s">
        <v>2465</v>
      </c>
      <c r="AP24" s="80" t="s">
        <v>2467</v>
      </c>
      <c r="AQ24" s="80" t="s">
        <v>2468</v>
      </c>
      <c r="AT24" s="80" t="s">
        <v>2256</v>
      </c>
      <c r="AU24" s="80" t="s">
        <v>2469</v>
      </c>
      <c r="AW24" s="80" t="s">
        <v>2470</v>
      </c>
    </row>
    <row r="25" spans="1:49">
      <c r="A25" s="80" t="s">
        <v>2241</v>
      </c>
      <c r="B25" s="80" t="s">
        <v>2471</v>
      </c>
      <c r="C25" s="80" t="s">
        <v>2166</v>
      </c>
      <c r="D25" s="80" t="s">
        <v>2472</v>
      </c>
      <c r="E25" s="80" t="s">
        <v>2244</v>
      </c>
      <c r="F25" s="80" t="s">
        <v>2473</v>
      </c>
      <c r="J25" s="80" t="s">
        <v>2474</v>
      </c>
      <c r="M25" s="80" t="s">
        <v>2247</v>
      </c>
      <c r="N25" s="80" t="s">
        <v>2475</v>
      </c>
      <c r="O25" s="80" t="s">
        <v>2166</v>
      </c>
      <c r="P25" s="80" t="s">
        <v>2378</v>
      </c>
      <c r="Q25" s="80" t="s">
        <v>2472</v>
      </c>
      <c r="R25" s="80" t="s">
        <v>2476</v>
      </c>
      <c r="S25" s="80" t="s">
        <v>2244</v>
      </c>
      <c r="T25" s="80" t="s">
        <v>2251</v>
      </c>
      <c r="U25" s="80" t="s">
        <v>2241</v>
      </c>
      <c r="V25" s="80" t="s">
        <v>2477</v>
      </c>
      <c r="W25" s="80" t="s">
        <v>2438</v>
      </c>
      <c r="X25" s="80" t="s">
        <v>2478</v>
      </c>
      <c r="AA25" s="80" t="s">
        <v>2256</v>
      </c>
      <c r="AC25" s="80" t="s">
        <v>2382</v>
      </c>
      <c r="AE25" s="80" t="s">
        <v>2258</v>
      </c>
      <c r="AF25" s="80" t="s">
        <v>2259</v>
      </c>
      <c r="AJ25" s="80" t="s">
        <v>2479</v>
      </c>
      <c r="AL25" s="80" t="s">
        <v>2261</v>
      </c>
      <c r="AN25" s="80" t="s">
        <v>2473</v>
      </c>
      <c r="AP25" s="80" t="s">
        <v>2448</v>
      </c>
      <c r="AQ25" s="80" t="s">
        <v>2480</v>
      </c>
      <c r="AT25" s="80" t="s">
        <v>2256</v>
      </c>
      <c r="AU25" s="80" t="s">
        <v>2481</v>
      </c>
      <c r="AW25" s="80" t="s">
        <v>2482</v>
      </c>
    </row>
    <row r="26" spans="1:49">
      <c r="A26" s="80" t="s">
        <v>2241</v>
      </c>
      <c r="B26" s="80" t="s">
        <v>2479</v>
      </c>
      <c r="C26" s="80" t="s">
        <v>2166</v>
      </c>
      <c r="D26" s="80" t="s">
        <v>2472</v>
      </c>
      <c r="E26" s="80" t="s">
        <v>2244</v>
      </c>
      <c r="F26" s="80" t="s">
        <v>2483</v>
      </c>
      <c r="J26" s="80" t="s">
        <v>2474</v>
      </c>
      <c r="M26" s="80" t="s">
        <v>2268</v>
      </c>
      <c r="N26" s="80" t="s">
        <v>2475</v>
      </c>
      <c r="O26" s="80" t="s">
        <v>2166</v>
      </c>
      <c r="P26" s="80" t="s">
        <v>2378</v>
      </c>
      <c r="Q26" s="80" t="s">
        <v>2472</v>
      </c>
      <c r="R26" s="80" t="s">
        <v>2484</v>
      </c>
      <c r="S26" s="80" t="s">
        <v>2244</v>
      </c>
      <c r="T26" s="80" t="s">
        <v>2251</v>
      </c>
      <c r="U26" s="80" t="s">
        <v>2234</v>
      </c>
      <c r="W26" s="80" t="s">
        <v>2438</v>
      </c>
      <c r="X26" s="80" t="s">
        <v>2485</v>
      </c>
      <c r="AA26" s="80" t="s">
        <v>2256</v>
      </c>
      <c r="AC26" s="80" t="s">
        <v>2382</v>
      </c>
      <c r="AE26" s="80" t="s">
        <v>2258</v>
      </c>
      <c r="AF26" s="80" t="s">
        <v>2272</v>
      </c>
      <c r="AK26" s="80" t="s">
        <v>2471</v>
      </c>
      <c r="AL26" s="80" t="s">
        <v>2261</v>
      </c>
      <c r="AN26" s="80" t="s">
        <v>2483</v>
      </c>
      <c r="AP26" s="80" t="s">
        <v>2383</v>
      </c>
      <c r="AQ26" s="80" t="s">
        <v>2486</v>
      </c>
      <c r="AT26" s="80" t="s">
        <v>2256</v>
      </c>
      <c r="AU26" s="80" t="s">
        <v>2487</v>
      </c>
      <c r="AW26" s="80" t="s">
        <v>2488</v>
      </c>
    </row>
    <row r="27" spans="1:49">
      <c r="A27" s="80" t="s">
        <v>2241</v>
      </c>
      <c r="B27" s="80" t="s">
        <v>2489</v>
      </c>
      <c r="C27" s="80" t="s">
        <v>2168</v>
      </c>
      <c r="D27" s="80" t="s">
        <v>2490</v>
      </c>
      <c r="E27" s="80" t="s">
        <v>2244</v>
      </c>
      <c r="F27" s="80" t="s">
        <v>2491</v>
      </c>
      <c r="J27" s="80" t="s">
        <v>2492</v>
      </c>
      <c r="M27" s="80" t="s">
        <v>2268</v>
      </c>
      <c r="N27" s="80" t="s">
        <v>2493</v>
      </c>
      <c r="O27" s="80" t="s">
        <v>2168</v>
      </c>
      <c r="P27" s="80" t="s">
        <v>2494</v>
      </c>
      <c r="Q27" s="80" t="s">
        <v>2490</v>
      </c>
      <c r="R27" s="80" t="s">
        <v>2495</v>
      </c>
      <c r="S27" s="80" t="s">
        <v>2244</v>
      </c>
      <c r="T27" s="80" t="s">
        <v>2251</v>
      </c>
      <c r="U27" s="80" t="s">
        <v>2234</v>
      </c>
      <c r="W27" s="80" t="s">
        <v>2334</v>
      </c>
      <c r="X27" s="80" t="s">
        <v>2283</v>
      </c>
      <c r="AA27" s="80" t="s">
        <v>2256</v>
      </c>
      <c r="AC27" s="80" t="s">
        <v>2393</v>
      </c>
      <c r="AE27" s="80" t="s">
        <v>2258</v>
      </c>
      <c r="AF27" s="80" t="s">
        <v>2272</v>
      </c>
      <c r="AK27" s="80" t="s">
        <v>2496</v>
      </c>
      <c r="AL27" s="80" t="s">
        <v>2261</v>
      </c>
      <c r="AN27" s="80" t="s">
        <v>2491</v>
      </c>
      <c r="AP27" s="80" t="s">
        <v>2327</v>
      </c>
      <c r="AQ27" s="80" t="s">
        <v>2497</v>
      </c>
      <c r="AT27" s="80" t="s">
        <v>2256</v>
      </c>
      <c r="AU27" s="80" t="s">
        <v>2498</v>
      </c>
      <c r="AW27" s="80" t="s">
        <v>2373</v>
      </c>
    </row>
    <row r="28" spans="1:49">
      <c r="A28" s="80" t="s">
        <v>2241</v>
      </c>
      <c r="B28" s="80" t="s">
        <v>2496</v>
      </c>
      <c r="C28" s="80" t="s">
        <v>2168</v>
      </c>
      <c r="D28" s="80" t="s">
        <v>2490</v>
      </c>
      <c r="E28" s="80" t="s">
        <v>2244</v>
      </c>
      <c r="F28" s="80" t="s">
        <v>2499</v>
      </c>
      <c r="J28" s="80" t="s">
        <v>2492</v>
      </c>
      <c r="M28" s="80" t="s">
        <v>2247</v>
      </c>
      <c r="N28" s="80" t="s">
        <v>2493</v>
      </c>
      <c r="O28" s="80" t="s">
        <v>2168</v>
      </c>
      <c r="P28" s="80" t="s">
        <v>2494</v>
      </c>
      <c r="Q28" s="80" t="s">
        <v>2490</v>
      </c>
      <c r="R28" s="80" t="s">
        <v>2500</v>
      </c>
      <c r="S28" s="80" t="s">
        <v>2244</v>
      </c>
      <c r="T28" s="80" t="s">
        <v>2251</v>
      </c>
      <c r="U28" s="80" t="s">
        <v>2501</v>
      </c>
      <c r="V28" s="80" t="s">
        <v>2502</v>
      </c>
      <c r="W28" s="80" t="s">
        <v>2438</v>
      </c>
      <c r="X28" s="80" t="s">
        <v>2271</v>
      </c>
      <c r="AA28" s="80" t="s">
        <v>2256</v>
      </c>
      <c r="AC28" s="80" t="s">
        <v>2393</v>
      </c>
      <c r="AE28" s="80" t="s">
        <v>2258</v>
      </c>
      <c r="AF28" s="80" t="s">
        <v>2272</v>
      </c>
      <c r="AJ28" s="80" t="s">
        <v>2489</v>
      </c>
      <c r="AL28" s="80" t="s">
        <v>2261</v>
      </c>
      <c r="AN28" s="80" t="s">
        <v>2499</v>
      </c>
      <c r="AP28" s="80" t="s">
        <v>2347</v>
      </c>
      <c r="AQ28" s="80" t="s">
        <v>2503</v>
      </c>
      <c r="AT28" s="80" t="s">
        <v>2256</v>
      </c>
      <c r="AU28" s="80" t="s">
        <v>2504</v>
      </c>
      <c r="AW28" s="80" t="s">
        <v>2350</v>
      </c>
    </row>
    <row r="29" spans="1:49">
      <c r="A29" s="80" t="s">
        <v>2241</v>
      </c>
      <c r="B29" s="80" t="s">
        <v>2505</v>
      </c>
      <c r="C29" s="80" t="s">
        <v>2152</v>
      </c>
      <c r="D29" s="80" t="s">
        <v>2506</v>
      </c>
      <c r="E29" s="80" t="s">
        <v>2244</v>
      </c>
      <c r="F29" s="80" t="s">
        <v>2507</v>
      </c>
      <c r="J29" s="80" t="s">
        <v>2508</v>
      </c>
      <c r="M29" s="80" t="s">
        <v>2268</v>
      </c>
      <c r="N29" s="80" t="s">
        <v>2509</v>
      </c>
      <c r="O29" s="80" t="s">
        <v>2152</v>
      </c>
      <c r="P29" s="80" t="s">
        <v>2510</v>
      </c>
      <c r="Q29" s="80" t="s">
        <v>2506</v>
      </c>
      <c r="R29" s="80" t="s">
        <v>2511</v>
      </c>
      <c r="S29" s="80" t="s">
        <v>2244</v>
      </c>
      <c r="T29" s="80" t="s">
        <v>2251</v>
      </c>
      <c r="U29" s="80" t="s">
        <v>2234</v>
      </c>
      <c r="W29" s="80" t="s">
        <v>2512</v>
      </c>
      <c r="X29" s="80" t="s">
        <v>2291</v>
      </c>
      <c r="AA29" s="80" t="s">
        <v>2256</v>
      </c>
      <c r="AC29" s="80" t="s">
        <v>2513</v>
      </c>
      <c r="AE29" s="80" t="s">
        <v>2258</v>
      </c>
      <c r="AF29" s="80" t="s">
        <v>2272</v>
      </c>
      <c r="AK29" s="80" t="s">
        <v>2514</v>
      </c>
      <c r="AL29" s="80" t="s">
        <v>2261</v>
      </c>
      <c r="AN29" s="80" t="s">
        <v>2507</v>
      </c>
      <c r="AP29" s="80" t="s">
        <v>2515</v>
      </c>
      <c r="AQ29" s="80" t="s">
        <v>2516</v>
      </c>
      <c r="AT29" s="80" t="s">
        <v>2256</v>
      </c>
      <c r="AU29" s="80" t="s">
        <v>2517</v>
      </c>
      <c r="AW29" s="80" t="s">
        <v>2373</v>
      </c>
    </row>
    <row r="30" spans="1:49">
      <c r="A30" s="80" t="s">
        <v>2241</v>
      </c>
      <c r="B30" s="80" t="s">
        <v>2514</v>
      </c>
      <c r="C30" s="80" t="s">
        <v>2152</v>
      </c>
      <c r="D30" s="80" t="s">
        <v>2518</v>
      </c>
      <c r="E30" s="80" t="s">
        <v>2244</v>
      </c>
      <c r="F30" s="80" t="s">
        <v>2519</v>
      </c>
      <c r="J30" s="80" t="s">
        <v>2508</v>
      </c>
      <c r="M30" s="80" t="s">
        <v>2247</v>
      </c>
      <c r="N30" s="80" t="s">
        <v>2509</v>
      </c>
      <c r="O30" s="80" t="s">
        <v>2152</v>
      </c>
      <c r="P30" s="80" t="s">
        <v>2510</v>
      </c>
      <c r="Q30" s="80" t="s">
        <v>2518</v>
      </c>
      <c r="R30" s="80" t="s">
        <v>2520</v>
      </c>
      <c r="S30" s="80" t="s">
        <v>2244</v>
      </c>
      <c r="T30" s="80" t="s">
        <v>2251</v>
      </c>
      <c r="U30" s="80" t="s">
        <v>2322</v>
      </c>
      <c r="V30" s="80" t="s">
        <v>2521</v>
      </c>
      <c r="W30" s="80" t="s">
        <v>2522</v>
      </c>
      <c r="X30" s="80" t="s">
        <v>2523</v>
      </c>
      <c r="AA30" s="80" t="s">
        <v>2256</v>
      </c>
      <c r="AC30" s="80" t="s">
        <v>2513</v>
      </c>
      <c r="AE30" s="80" t="s">
        <v>2258</v>
      </c>
      <c r="AF30" s="80" t="s">
        <v>2272</v>
      </c>
      <c r="AJ30" s="80" t="s">
        <v>2505</v>
      </c>
      <c r="AL30" s="80" t="s">
        <v>2261</v>
      </c>
      <c r="AN30" s="80" t="s">
        <v>2519</v>
      </c>
      <c r="AP30" s="80" t="s">
        <v>2524</v>
      </c>
      <c r="AQ30" s="80" t="s">
        <v>2525</v>
      </c>
      <c r="AT30" s="80" t="s">
        <v>2256</v>
      </c>
      <c r="AU30" s="80" t="s">
        <v>2526</v>
      </c>
      <c r="AW30" s="80" t="s">
        <v>2265</v>
      </c>
    </row>
    <row r="31" spans="1:49">
      <c r="A31" s="80" t="s">
        <v>2241</v>
      </c>
      <c r="B31" s="80" t="s">
        <v>2527</v>
      </c>
      <c r="C31" s="80" t="s">
        <v>2152</v>
      </c>
      <c r="D31" s="80" t="s">
        <v>2528</v>
      </c>
      <c r="E31" s="80" t="s">
        <v>2244</v>
      </c>
      <c r="F31" s="80" t="s">
        <v>2529</v>
      </c>
      <c r="J31" s="80" t="s">
        <v>2530</v>
      </c>
      <c r="M31" s="80" t="s">
        <v>2268</v>
      </c>
      <c r="N31" s="80" t="s">
        <v>2531</v>
      </c>
      <c r="O31" s="80" t="s">
        <v>2152</v>
      </c>
      <c r="P31" s="80" t="s">
        <v>2510</v>
      </c>
      <c r="Q31" s="80" t="s">
        <v>2528</v>
      </c>
      <c r="R31" s="80" t="s">
        <v>2532</v>
      </c>
      <c r="S31" s="80" t="s">
        <v>2244</v>
      </c>
      <c r="T31" s="80" t="s">
        <v>2251</v>
      </c>
      <c r="U31" s="80" t="s">
        <v>2234</v>
      </c>
      <c r="W31" s="80" t="s">
        <v>2270</v>
      </c>
      <c r="X31" s="80" t="s">
        <v>2283</v>
      </c>
      <c r="AA31" s="80" t="s">
        <v>2256</v>
      </c>
      <c r="AC31" s="80" t="s">
        <v>2513</v>
      </c>
      <c r="AE31" s="80" t="s">
        <v>2258</v>
      </c>
      <c r="AF31" s="80" t="s">
        <v>2272</v>
      </c>
      <c r="AK31" s="80" t="s">
        <v>2533</v>
      </c>
      <c r="AL31" s="80" t="s">
        <v>2261</v>
      </c>
      <c r="AN31" s="80" t="s">
        <v>2529</v>
      </c>
      <c r="AP31" s="80" t="s">
        <v>2515</v>
      </c>
      <c r="AQ31" s="80" t="s">
        <v>2534</v>
      </c>
      <c r="AU31" s="80" t="s">
        <v>2535</v>
      </c>
      <c r="AW31" s="80" t="s">
        <v>2350</v>
      </c>
    </row>
    <row r="32" spans="1:49">
      <c r="A32" s="80" t="s">
        <v>2241</v>
      </c>
      <c r="B32" s="80" t="s">
        <v>2533</v>
      </c>
      <c r="C32" s="80" t="s">
        <v>2152</v>
      </c>
      <c r="D32" s="80" t="s">
        <v>2536</v>
      </c>
      <c r="E32" s="80" t="s">
        <v>2244</v>
      </c>
      <c r="F32" s="80" t="s">
        <v>2537</v>
      </c>
      <c r="J32" s="80" t="s">
        <v>2530</v>
      </c>
      <c r="M32" s="80" t="s">
        <v>2247</v>
      </c>
      <c r="N32" s="80" t="s">
        <v>2531</v>
      </c>
      <c r="O32" s="80" t="s">
        <v>2152</v>
      </c>
      <c r="P32" s="80" t="s">
        <v>2510</v>
      </c>
      <c r="Q32" s="80" t="s">
        <v>2536</v>
      </c>
      <c r="R32" s="80" t="s">
        <v>2538</v>
      </c>
      <c r="S32" s="80" t="s">
        <v>2244</v>
      </c>
      <c r="T32" s="80" t="s">
        <v>2251</v>
      </c>
      <c r="U32" s="80" t="s">
        <v>2539</v>
      </c>
      <c r="V32" s="80" t="s">
        <v>2540</v>
      </c>
      <c r="W32" s="80" t="s">
        <v>2334</v>
      </c>
      <c r="X32" s="80" t="s">
        <v>2291</v>
      </c>
      <c r="AA32" s="80" t="s">
        <v>2256</v>
      </c>
      <c r="AC32" s="80" t="s">
        <v>2513</v>
      </c>
      <c r="AE32" s="80" t="s">
        <v>2258</v>
      </c>
      <c r="AF32" s="80" t="s">
        <v>2272</v>
      </c>
      <c r="AJ32" s="80" t="s">
        <v>2527</v>
      </c>
      <c r="AL32" s="80" t="s">
        <v>2261</v>
      </c>
      <c r="AN32" s="80" t="s">
        <v>2537</v>
      </c>
      <c r="AP32" s="80" t="s">
        <v>2524</v>
      </c>
      <c r="AQ32" s="80" t="s">
        <v>2541</v>
      </c>
      <c r="AT32" s="80" t="s">
        <v>2256</v>
      </c>
      <c r="AU32" s="80" t="s">
        <v>2542</v>
      </c>
      <c r="AW32" s="80" t="s">
        <v>2265</v>
      </c>
    </row>
    <row r="33" spans="1:49">
      <c r="A33" s="80" t="s">
        <v>2241</v>
      </c>
      <c r="B33" s="80" t="s">
        <v>2543</v>
      </c>
      <c r="C33" s="80" t="s">
        <v>2148</v>
      </c>
      <c r="D33" s="80" t="s">
        <v>2544</v>
      </c>
      <c r="E33" s="80" t="s">
        <v>2244</v>
      </c>
      <c r="F33" s="80" t="s">
        <v>2545</v>
      </c>
      <c r="J33" s="80" t="s">
        <v>2546</v>
      </c>
      <c r="M33" s="80" t="s">
        <v>2247</v>
      </c>
      <c r="N33" s="80" t="s">
        <v>2547</v>
      </c>
      <c r="O33" s="80" t="s">
        <v>2148</v>
      </c>
      <c r="P33" s="80" t="s">
        <v>2548</v>
      </c>
      <c r="Q33" s="80" t="s">
        <v>2544</v>
      </c>
      <c r="R33" s="80" t="s">
        <v>2549</v>
      </c>
      <c r="S33" s="80" t="s">
        <v>2244</v>
      </c>
      <c r="T33" s="80" t="s">
        <v>2251</v>
      </c>
      <c r="U33" s="80" t="s">
        <v>2550</v>
      </c>
      <c r="V33" s="80" t="s">
        <v>2551</v>
      </c>
      <c r="W33" s="80" t="s">
        <v>2381</v>
      </c>
      <c r="X33" s="80" t="s">
        <v>2523</v>
      </c>
      <c r="AA33" s="80" t="s">
        <v>2256</v>
      </c>
      <c r="AC33" s="80" t="s">
        <v>2257</v>
      </c>
      <c r="AE33" s="80" t="s">
        <v>2258</v>
      </c>
      <c r="AF33" s="80" t="s">
        <v>2272</v>
      </c>
      <c r="AJ33" s="80" t="s">
        <v>2552</v>
      </c>
      <c r="AL33" s="80" t="s">
        <v>2261</v>
      </c>
      <c r="AN33" s="80" t="s">
        <v>2545</v>
      </c>
      <c r="AP33" s="80" t="s">
        <v>2553</v>
      </c>
      <c r="AQ33" s="80" t="s">
        <v>2554</v>
      </c>
      <c r="AT33" s="80" t="s">
        <v>2256</v>
      </c>
      <c r="AU33" s="80" t="s">
        <v>2555</v>
      </c>
      <c r="AW33" s="80" t="s">
        <v>2265</v>
      </c>
    </row>
    <row r="34" spans="1:49">
      <c r="A34" s="80" t="s">
        <v>2241</v>
      </c>
      <c r="B34" s="80" t="s">
        <v>2552</v>
      </c>
      <c r="C34" s="80" t="s">
        <v>2148</v>
      </c>
      <c r="D34" s="80" t="s">
        <v>2544</v>
      </c>
      <c r="E34" s="80" t="s">
        <v>2244</v>
      </c>
      <c r="F34" s="80" t="s">
        <v>2556</v>
      </c>
      <c r="J34" s="80" t="s">
        <v>2546</v>
      </c>
      <c r="M34" s="80" t="s">
        <v>2268</v>
      </c>
      <c r="N34" s="80" t="s">
        <v>2547</v>
      </c>
      <c r="O34" s="80" t="s">
        <v>2148</v>
      </c>
      <c r="P34" s="80" t="s">
        <v>2548</v>
      </c>
      <c r="Q34" s="80" t="s">
        <v>2544</v>
      </c>
      <c r="R34" s="80" t="s">
        <v>2557</v>
      </c>
      <c r="S34" s="80" t="s">
        <v>2244</v>
      </c>
      <c r="T34" s="80" t="s">
        <v>2251</v>
      </c>
      <c r="U34" s="80" t="s">
        <v>2234</v>
      </c>
      <c r="W34" s="80" t="s">
        <v>2334</v>
      </c>
      <c r="X34" s="80" t="s">
        <v>2283</v>
      </c>
      <c r="AA34" s="80" t="s">
        <v>2256</v>
      </c>
      <c r="AC34" s="80" t="s">
        <v>2257</v>
      </c>
      <c r="AE34" s="80" t="s">
        <v>2258</v>
      </c>
      <c r="AF34" s="80" t="s">
        <v>2272</v>
      </c>
      <c r="AK34" s="80" t="s">
        <v>2543</v>
      </c>
      <c r="AL34" s="80" t="s">
        <v>2261</v>
      </c>
      <c r="AN34" s="80" t="s">
        <v>2556</v>
      </c>
      <c r="AP34" s="80" t="s">
        <v>2327</v>
      </c>
      <c r="AQ34" s="80" t="s">
        <v>2558</v>
      </c>
      <c r="AT34" s="80" t="s">
        <v>2256</v>
      </c>
      <c r="AU34" s="80" t="s">
        <v>2559</v>
      </c>
      <c r="AW34" s="80" t="s">
        <v>2265</v>
      </c>
    </row>
    <row r="35" spans="1:49">
      <c r="A35" s="80" t="s">
        <v>2241</v>
      </c>
      <c r="B35" s="80" t="s">
        <v>2560</v>
      </c>
      <c r="C35" s="80" t="s">
        <v>2148</v>
      </c>
      <c r="D35" s="80" t="s">
        <v>2561</v>
      </c>
      <c r="E35" s="80" t="s">
        <v>2244</v>
      </c>
      <c r="F35" s="80" t="s">
        <v>2562</v>
      </c>
      <c r="J35" s="80" t="s">
        <v>2563</v>
      </c>
      <c r="M35" s="80" t="s">
        <v>2247</v>
      </c>
      <c r="N35" s="80" t="s">
        <v>2564</v>
      </c>
      <c r="O35" s="80" t="s">
        <v>2148</v>
      </c>
      <c r="P35" s="80" t="s">
        <v>2548</v>
      </c>
      <c r="Q35" s="80" t="s">
        <v>2561</v>
      </c>
      <c r="R35" s="80" t="s">
        <v>2565</v>
      </c>
      <c r="S35" s="80" t="s">
        <v>2244</v>
      </c>
      <c r="T35" s="80" t="s">
        <v>2251</v>
      </c>
      <c r="U35" s="80" t="s">
        <v>2566</v>
      </c>
      <c r="V35" s="80" t="s">
        <v>2567</v>
      </c>
      <c r="W35" s="80" t="s">
        <v>2345</v>
      </c>
      <c r="X35" s="80" t="s">
        <v>2459</v>
      </c>
      <c r="AA35" s="80" t="s">
        <v>2256</v>
      </c>
      <c r="AC35" s="80" t="s">
        <v>2257</v>
      </c>
      <c r="AE35" s="80" t="s">
        <v>2258</v>
      </c>
      <c r="AF35" s="80" t="s">
        <v>2259</v>
      </c>
      <c r="AJ35" s="80" t="s">
        <v>2568</v>
      </c>
      <c r="AL35" s="80" t="s">
        <v>2261</v>
      </c>
      <c r="AN35" s="80" t="s">
        <v>2562</v>
      </c>
      <c r="AP35" s="80" t="s">
        <v>2553</v>
      </c>
      <c r="AQ35" s="80" t="s">
        <v>2569</v>
      </c>
      <c r="AT35" s="80" t="s">
        <v>2256</v>
      </c>
      <c r="AU35" s="80" t="s">
        <v>2570</v>
      </c>
      <c r="AW35" s="80" t="s">
        <v>2398</v>
      </c>
    </row>
    <row r="36" spans="1:49">
      <c r="A36" s="80" t="s">
        <v>2241</v>
      </c>
      <c r="B36" s="80" t="s">
        <v>2568</v>
      </c>
      <c r="C36" s="80" t="s">
        <v>2148</v>
      </c>
      <c r="D36" s="80" t="s">
        <v>2571</v>
      </c>
      <c r="E36" s="80" t="s">
        <v>2244</v>
      </c>
      <c r="F36" s="80" t="s">
        <v>2572</v>
      </c>
      <c r="J36" s="80" t="s">
        <v>2563</v>
      </c>
      <c r="M36" s="80" t="s">
        <v>2268</v>
      </c>
      <c r="N36" s="80" t="s">
        <v>2564</v>
      </c>
      <c r="O36" s="80" t="s">
        <v>2148</v>
      </c>
      <c r="P36" s="80" t="s">
        <v>2548</v>
      </c>
      <c r="Q36" s="80" t="s">
        <v>2571</v>
      </c>
      <c r="R36" s="80" t="s">
        <v>2573</v>
      </c>
      <c r="S36" s="80" t="s">
        <v>2244</v>
      </c>
      <c r="T36" s="80" t="s">
        <v>2251</v>
      </c>
      <c r="U36" s="80" t="s">
        <v>2234</v>
      </c>
      <c r="W36" s="80" t="s">
        <v>2270</v>
      </c>
      <c r="X36" s="80" t="s">
        <v>2283</v>
      </c>
      <c r="AA36" s="80" t="s">
        <v>2256</v>
      </c>
      <c r="AC36" s="80" t="s">
        <v>2257</v>
      </c>
      <c r="AE36" s="80" t="s">
        <v>2258</v>
      </c>
      <c r="AF36" s="80" t="s">
        <v>2272</v>
      </c>
      <c r="AK36" s="80" t="s">
        <v>2560</v>
      </c>
      <c r="AL36" s="80" t="s">
        <v>2261</v>
      </c>
      <c r="AN36" s="80" t="s">
        <v>2572</v>
      </c>
      <c r="AP36" s="80" t="s">
        <v>2574</v>
      </c>
      <c r="AQ36" s="80" t="s">
        <v>2575</v>
      </c>
      <c r="AT36" s="80" t="s">
        <v>2256</v>
      </c>
      <c r="AU36" s="80" t="s">
        <v>2576</v>
      </c>
      <c r="AW36" s="80" t="s">
        <v>2577</v>
      </c>
    </row>
    <row r="37" spans="1:49">
      <c r="A37" s="80" t="s">
        <v>2241</v>
      </c>
      <c r="B37" s="80" t="s">
        <v>2578</v>
      </c>
      <c r="C37" s="80" t="s">
        <v>2149</v>
      </c>
      <c r="D37" s="80" t="s">
        <v>2579</v>
      </c>
      <c r="E37" s="80" t="s">
        <v>2244</v>
      </c>
      <c r="F37" s="80" t="s">
        <v>2580</v>
      </c>
      <c r="J37" s="80" t="s">
        <v>2581</v>
      </c>
      <c r="M37" s="80" t="s">
        <v>2247</v>
      </c>
      <c r="N37" s="80" t="s">
        <v>2582</v>
      </c>
      <c r="O37" s="80" t="s">
        <v>2149</v>
      </c>
      <c r="P37" s="80" t="s">
        <v>2583</v>
      </c>
      <c r="Q37" s="80" t="s">
        <v>2579</v>
      </c>
      <c r="R37" s="80" t="s">
        <v>2584</v>
      </c>
      <c r="S37" s="80" t="s">
        <v>2244</v>
      </c>
      <c r="T37" s="80" t="s">
        <v>2251</v>
      </c>
      <c r="U37" s="80" t="s">
        <v>2566</v>
      </c>
      <c r="V37" s="80" t="s">
        <v>2585</v>
      </c>
      <c r="W37" s="80" t="s">
        <v>2270</v>
      </c>
      <c r="X37" s="80" t="s">
        <v>2283</v>
      </c>
      <c r="AA37" s="80" t="s">
        <v>2256</v>
      </c>
      <c r="AC37" s="80" t="s">
        <v>2393</v>
      </c>
      <c r="AE37" s="80" t="s">
        <v>2258</v>
      </c>
      <c r="AF37" s="80" t="s">
        <v>2272</v>
      </c>
      <c r="AJ37" s="80" t="s">
        <v>2586</v>
      </c>
      <c r="AL37" s="80" t="s">
        <v>2261</v>
      </c>
      <c r="AN37" s="80" t="s">
        <v>2580</v>
      </c>
      <c r="AP37" s="80" t="s">
        <v>2395</v>
      </c>
      <c r="AQ37" s="80" t="s">
        <v>2587</v>
      </c>
      <c r="AT37" s="80" t="s">
        <v>2256</v>
      </c>
      <c r="AU37" s="80" t="s">
        <v>2588</v>
      </c>
      <c r="AW37" s="80" t="s">
        <v>2488</v>
      </c>
    </row>
    <row r="38" spans="1:49">
      <c r="A38" s="80" t="s">
        <v>2241</v>
      </c>
      <c r="B38" s="80" t="s">
        <v>2586</v>
      </c>
      <c r="C38" s="80" t="s">
        <v>2149</v>
      </c>
      <c r="D38" s="80" t="s">
        <v>2589</v>
      </c>
      <c r="E38" s="80" t="s">
        <v>2244</v>
      </c>
      <c r="F38" s="80" t="s">
        <v>2590</v>
      </c>
      <c r="J38" s="80" t="s">
        <v>2581</v>
      </c>
      <c r="M38" s="80" t="s">
        <v>2268</v>
      </c>
      <c r="N38" s="80" t="s">
        <v>2582</v>
      </c>
      <c r="O38" s="80" t="s">
        <v>2149</v>
      </c>
      <c r="P38" s="80" t="s">
        <v>2583</v>
      </c>
      <c r="Q38" s="80" t="s">
        <v>2589</v>
      </c>
      <c r="R38" s="80" t="s">
        <v>2591</v>
      </c>
      <c r="S38" s="80" t="s">
        <v>2244</v>
      </c>
      <c r="T38" s="80" t="s">
        <v>2251</v>
      </c>
      <c r="U38" s="80" t="s">
        <v>2234</v>
      </c>
      <c r="W38" s="80" t="s">
        <v>2354</v>
      </c>
      <c r="X38" s="80" t="s">
        <v>2283</v>
      </c>
      <c r="AA38" s="80" t="s">
        <v>2256</v>
      </c>
      <c r="AC38" s="80" t="s">
        <v>2393</v>
      </c>
      <c r="AE38" s="80" t="s">
        <v>2258</v>
      </c>
      <c r="AF38" s="80" t="s">
        <v>2272</v>
      </c>
      <c r="AK38" s="80" t="s">
        <v>2578</v>
      </c>
      <c r="AL38" s="80" t="s">
        <v>2261</v>
      </c>
      <c r="AN38" s="80" t="s">
        <v>2590</v>
      </c>
      <c r="AP38" s="80" t="s">
        <v>2347</v>
      </c>
      <c r="AQ38" s="80" t="s">
        <v>2592</v>
      </c>
      <c r="AT38" s="80" t="s">
        <v>2256</v>
      </c>
      <c r="AU38" s="80" t="s">
        <v>2593</v>
      </c>
      <c r="AW38" s="80" t="s">
        <v>2350</v>
      </c>
    </row>
    <row r="39" spans="1:49">
      <c r="A39" s="80" t="s">
        <v>2241</v>
      </c>
      <c r="B39" s="80" t="s">
        <v>2594</v>
      </c>
      <c r="C39" s="80" t="s">
        <v>2595</v>
      </c>
      <c r="D39" s="80" t="s">
        <v>2596</v>
      </c>
      <c r="E39" s="80" t="s">
        <v>2244</v>
      </c>
      <c r="F39" s="80" t="s">
        <v>2597</v>
      </c>
      <c r="J39" s="80" t="s">
        <v>2598</v>
      </c>
      <c r="M39" s="80" t="s">
        <v>2268</v>
      </c>
      <c r="N39" s="80" t="s">
        <v>2599</v>
      </c>
      <c r="O39" s="80" t="s">
        <v>2595</v>
      </c>
      <c r="P39" s="80" t="s">
        <v>2548</v>
      </c>
      <c r="Q39" s="80" t="s">
        <v>2596</v>
      </c>
      <c r="R39" s="80" t="s">
        <v>2600</v>
      </c>
      <c r="S39" s="80" t="s">
        <v>2244</v>
      </c>
      <c r="T39" s="80" t="s">
        <v>2251</v>
      </c>
      <c r="U39" s="80" t="s">
        <v>2234</v>
      </c>
      <c r="W39" s="80" t="s">
        <v>2601</v>
      </c>
      <c r="X39" s="80" t="s">
        <v>2602</v>
      </c>
      <c r="AA39" s="80" t="s">
        <v>2256</v>
      </c>
      <c r="AC39" s="80" t="s">
        <v>2257</v>
      </c>
      <c r="AE39" s="80" t="s">
        <v>2258</v>
      </c>
      <c r="AF39" s="80" t="s">
        <v>2259</v>
      </c>
      <c r="AK39" s="80" t="s">
        <v>2603</v>
      </c>
      <c r="AL39" s="80" t="s">
        <v>2261</v>
      </c>
      <c r="AN39" s="80" t="s">
        <v>2597</v>
      </c>
      <c r="AP39" s="80" t="s">
        <v>2574</v>
      </c>
      <c r="AQ39" s="80" t="s">
        <v>2604</v>
      </c>
      <c r="AT39" s="80" t="s">
        <v>2256</v>
      </c>
      <c r="AU39" s="80" t="s">
        <v>2605</v>
      </c>
      <c r="AW39" s="80" t="s">
        <v>2265</v>
      </c>
    </row>
    <row r="40" spans="1:49">
      <c r="A40" s="80" t="s">
        <v>2241</v>
      </c>
      <c r="B40" s="80" t="s">
        <v>2603</v>
      </c>
      <c r="C40" s="80" t="s">
        <v>2595</v>
      </c>
      <c r="D40" s="80" t="s">
        <v>2606</v>
      </c>
      <c r="E40" s="80" t="s">
        <v>2244</v>
      </c>
      <c r="F40" s="80" t="s">
        <v>2607</v>
      </c>
      <c r="J40" s="80" t="s">
        <v>2598</v>
      </c>
      <c r="M40" s="80" t="s">
        <v>2247</v>
      </c>
      <c r="N40" s="80" t="s">
        <v>2599</v>
      </c>
      <c r="O40" s="80" t="s">
        <v>2595</v>
      </c>
      <c r="P40" s="80" t="s">
        <v>2548</v>
      </c>
      <c r="Q40" s="80" t="s">
        <v>2606</v>
      </c>
      <c r="R40" s="80" t="s">
        <v>2608</v>
      </c>
      <c r="S40" s="80" t="s">
        <v>2244</v>
      </c>
      <c r="T40" s="80" t="s">
        <v>2251</v>
      </c>
      <c r="U40" s="80" t="s">
        <v>2252</v>
      </c>
      <c r="V40" s="80" t="s">
        <v>2609</v>
      </c>
      <c r="W40" s="80" t="s">
        <v>2345</v>
      </c>
      <c r="X40" s="80" t="s">
        <v>2610</v>
      </c>
      <c r="AA40" s="80" t="s">
        <v>2256</v>
      </c>
      <c r="AC40" s="80" t="s">
        <v>2257</v>
      </c>
      <c r="AE40" s="80" t="s">
        <v>2258</v>
      </c>
      <c r="AF40" s="80" t="s">
        <v>2272</v>
      </c>
      <c r="AJ40" s="80" t="s">
        <v>2594</v>
      </c>
      <c r="AL40" s="80" t="s">
        <v>2261</v>
      </c>
      <c r="AN40" s="80" t="s">
        <v>2607</v>
      </c>
      <c r="AP40" s="80" t="s">
        <v>2611</v>
      </c>
      <c r="AQ40" s="80" t="s">
        <v>2612</v>
      </c>
      <c r="AT40" s="80" t="s">
        <v>2256</v>
      </c>
      <c r="AU40" s="80" t="s">
        <v>2613</v>
      </c>
      <c r="AW40" s="80" t="s">
        <v>2265</v>
      </c>
    </row>
    <row r="41" spans="1:49">
      <c r="A41" s="80" t="s">
        <v>2241</v>
      </c>
      <c r="B41" s="80" t="s">
        <v>2614</v>
      </c>
      <c r="C41" s="80" t="s">
        <v>2615</v>
      </c>
      <c r="D41" s="80" t="s">
        <v>2616</v>
      </c>
      <c r="E41" s="80" t="s">
        <v>2244</v>
      </c>
      <c r="F41" s="80" t="s">
        <v>2617</v>
      </c>
      <c r="J41" s="80" t="s">
        <v>2618</v>
      </c>
      <c r="M41" s="80" t="s">
        <v>2268</v>
      </c>
      <c r="N41" s="80" t="s">
        <v>2619</v>
      </c>
      <c r="O41" s="80" t="s">
        <v>2615</v>
      </c>
      <c r="P41" s="80" t="s">
        <v>2583</v>
      </c>
      <c r="Q41" s="80" t="s">
        <v>2616</v>
      </c>
      <c r="R41" s="80" t="s">
        <v>2620</v>
      </c>
      <c r="S41" s="80" t="s">
        <v>2244</v>
      </c>
      <c r="T41" s="80" t="s">
        <v>2251</v>
      </c>
      <c r="U41" s="80" t="s">
        <v>2234</v>
      </c>
      <c r="W41" s="80" t="s">
        <v>2354</v>
      </c>
      <c r="X41" s="80" t="s">
        <v>2291</v>
      </c>
      <c r="AA41" s="80" t="s">
        <v>2256</v>
      </c>
      <c r="AC41" s="80" t="s">
        <v>2393</v>
      </c>
      <c r="AE41" s="80" t="s">
        <v>2258</v>
      </c>
      <c r="AF41" s="80" t="s">
        <v>2259</v>
      </c>
      <c r="AK41" s="80" t="s">
        <v>2621</v>
      </c>
      <c r="AL41" s="80" t="s">
        <v>2261</v>
      </c>
      <c r="AN41" s="80" t="s">
        <v>2617</v>
      </c>
      <c r="AP41" s="80" t="s">
        <v>2395</v>
      </c>
      <c r="AQ41" s="80" t="s">
        <v>2622</v>
      </c>
      <c r="AT41" s="80" t="s">
        <v>2256</v>
      </c>
      <c r="AU41" s="80" t="s">
        <v>2623</v>
      </c>
      <c r="AW41" s="80" t="s">
        <v>2265</v>
      </c>
    </row>
    <row r="42" spans="1:49">
      <c r="A42" s="80" t="s">
        <v>2241</v>
      </c>
      <c r="B42" s="80" t="s">
        <v>2621</v>
      </c>
      <c r="C42" s="80" t="s">
        <v>2615</v>
      </c>
      <c r="D42" s="80" t="s">
        <v>2624</v>
      </c>
      <c r="E42" s="80" t="s">
        <v>2244</v>
      </c>
      <c r="F42" s="80" t="s">
        <v>2625</v>
      </c>
      <c r="J42" s="80" t="s">
        <v>2618</v>
      </c>
      <c r="M42" s="80" t="s">
        <v>2247</v>
      </c>
      <c r="N42" s="80" t="s">
        <v>2619</v>
      </c>
      <c r="O42" s="80" t="s">
        <v>2615</v>
      </c>
      <c r="P42" s="80" t="s">
        <v>2583</v>
      </c>
      <c r="Q42" s="80" t="s">
        <v>2624</v>
      </c>
      <c r="R42" s="80" t="s">
        <v>2626</v>
      </c>
      <c r="S42" s="80" t="s">
        <v>2244</v>
      </c>
      <c r="T42" s="80" t="s">
        <v>2251</v>
      </c>
      <c r="U42" s="80" t="s">
        <v>2627</v>
      </c>
      <c r="V42" s="80" t="s">
        <v>2628</v>
      </c>
      <c r="W42" s="80" t="s">
        <v>2270</v>
      </c>
      <c r="X42" s="80" t="s">
        <v>2291</v>
      </c>
      <c r="AA42" s="80" t="s">
        <v>2256</v>
      </c>
      <c r="AC42" s="80" t="s">
        <v>2393</v>
      </c>
      <c r="AE42" s="80" t="s">
        <v>2258</v>
      </c>
      <c r="AF42" s="80" t="s">
        <v>2629</v>
      </c>
      <c r="AJ42" s="80" t="s">
        <v>2614</v>
      </c>
      <c r="AL42" s="80" t="s">
        <v>2261</v>
      </c>
      <c r="AN42" s="80" t="s">
        <v>2625</v>
      </c>
      <c r="AP42" s="80" t="s">
        <v>2327</v>
      </c>
      <c r="AQ42" s="80" t="s">
        <v>2630</v>
      </c>
      <c r="AT42" s="80" t="s">
        <v>2256</v>
      </c>
      <c r="AU42" s="80" t="s">
        <v>2631</v>
      </c>
      <c r="AW42" s="80" t="s">
        <v>2488</v>
      </c>
    </row>
    <row r="43" spans="1:49">
      <c r="A43" s="80" t="s">
        <v>2241</v>
      </c>
      <c r="B43" s="80" t="s">
        <v>2632</v>
      </c>
      <c r="C43" s="80" t="s">
        <v>2149</v>
      </c>
      <c r="D43" s="80" t="s">
        <v>2633</v>
      </c>
      <c r="E43" s="80" t="s">
        <v>2244</v>
      </c>
      <c r="F43" s="80" t="s">
        <v>2634</v>
      </c>
      <c r="J43" s="80" t="s">
        <v>2635</v>
      </c>
      <c r="M43" s="80" t="s">
        <v>2247</v>
      </c>
      <c r="N43" s="80" t="s">
        <v>2636</v>
      </c>
      <c r="O43" s="80" t="s">
        <v>2149</v>
      </c>
      <c r="P43" s="80" t="s">
        <v>2583</v>
      </c>
      <c r="Q43" s="80" t="s">
        <v>2633</v>
      </c>
      <c r="R43" s="80" t="s">
        <v>2637</v>
      </c>
      <c r="S43" s="80" t="s">
        <v>2244</v>
      </c>
      <c r="T43" s="80" t="s">
        <v>2251</v>
      </c>
      <c r="U43" s="80" t="s">
        <v>2252</v>
      </c>
      <c r="V43" s="80" t="s">
        <v>2638</v>
      </c>
      <c r="W43" s="80" t="s">
        <v>2411</v>
      </c>
      <c r="X43" s="80" t="s">
        <v>2478</v>
      </c>
      <c r="AA43" s="80" t="s">
        <v>2256</v>
      </c>
      <c r="AC43" s="80" t="s">
        <v>2393</v>
      </c>
      <c r="AE43" s="80" t="s">
        <v>2258</v>
      </c>
      <c r="AF43" s="80" t="s">
        <v>2259</v>
      </c>
      <c r="AJ43" s="80" t="s">
        <v>2639</v>
      </c>
      <c r="AL43" s="80" t="s">
        <v>2261</v>
      </c>
      <c r="AN43" s="80" t="s">
        <v>2634</v>
      </c>
      <c r="AP43" s="80" t="s">
        <v>2574</v>
      </c>
      <c r="AQ43" s="80" t="s">
        <v>2640</v>
      </c>
      <c r="AT43" s="80" t="s">
        <v>2256</v>
      </c>
      <c r="AU43" s="80" t="s">
        <v>2641</v>
      </c>
      <c r="AW43" s="80" t="s">
        <v>2642</v>
      </c>
    </row>
    <row r="44" spans="1:49">
      <c r="A44" s="80" t="s">
        <v>2241</v>
      </c>
      <c r="B44" s="80" t="s">
        <v>2639</v>
      </c>
      <c r="C44" s="80" t="s">
        <v>2149</v>
      </c>
      <c r="D44" s="80" t="s">
        <v>2643</v>
      </c>
      <c r="E44" s="80" t="s">
        <v>2244</v>
      </c>
      <c r="F44" s="80" t="s">
        <v>2644</v>
      </c>
      <c r="J44" s="80" t="s">
        <v>2635</v>
      </c>
      <c r="M44" s="80" t="s">
        <v>2268</v>
      </c>
      <c r="N44" s="80" t="s">
        <v>2636</v>
      </c>
      <c r="O44" s="80" t="s">
        <v>2149</v>
      </c>
      <c r="P44" s="80" t="s">
        <v>2583</v>
      </c>
      <c r="Q44" s="80" t="s">
        <v>2643</v>
      </c>
      <c r="R44" s="80" t="s">
        <v>2645</v>
      </c>
      <c r="S44" s="80" t="s">
        <v>2244</v>
      </c>
      <c r="T44" s="80" t="s">
        <v>2251</v>
      </c>
      <c r="U44" s="80" t="s">
        <v>2234</v>
      </c>
      <c r="W44" s="80" t="s">
        <v>2430</v>
      </c>
      <c r="X44" s="80" t="s">
        <v>2271</v>
      </c>
      <c r="AA44" s="80" t="s">
        <v>2256</v>
      </c>
      <c r="AC44" s="80" t="s">
        <v>2393</v>
      </c>
      <c r="AE44" s="80" t="s">
        <v>2258</v>
      </c>
      <c r="AF44" s="80" t="s">
        <v>2272</v>
      </c>
      <c r="AK44" s="80" t="s">
        <v>2632</v>
      </c>
      <c r="AL44" s="80" t="s">
        <v>2261</v>
      </c>
      <c r="AN44" s="80" t="s">
        <v>2644</v>
      </c>
      <c r="AP44" s="80" t="s">
        <v>2611</v>
      </c>
      <c r="AQ44" s="80" t="s">
        <v>2646</v>
      </c>
      <c r="AT44" s="80" t="s">
        <v>2256</v>
      </c>
      <c r="AU44" s="80" t="s">
        <v>2647</v>
      </c>
      <c r="AW44" s="80" t="s">
        <v>2648</v>
      </c>
    </row>
    <row r="45" spans="1:49">
      <c r="A45" s="80" t="s">
        <v>2241</v>
      </c>
      <c r="B45" s="80" t="s">
        <v>2649</v>
      </c>
      <c r="C45" s="80" t="s">
        <v>2141</v>
      </c>
      <c r="D45" s="80" t="s">
        <v>2650</v>
      </c>
      <c r="E45" s="80" t="s">
        <v>2244</v>
      </c>
      <c r="F45" s="80" t="s">
        <v>2651</v>
      </c>
      <c r="J45" s="80" t="s">
        <v>2652</v>
      </c>
      <c r="M45" s="80" t="s">
        <v>2247</v>
      </c>
      <c r="O45" s="80" t="s">
        <v>2141</v>
      </c>
      <c r="P45" s="80" t="s">
        <v>2653</v>
      </c>
      <c r="Q45" s="80" t="s">
        <v>2650</v>
      </c>
      <c r="R45" s="80" t="s">
        <v>2654</v>
      </c>
      <c r="S45" s="80" t="s">
        <v>2244</v>
      </c>
      <c r="T45" s="80" t="s">
        <v>2251</v>
      </c>
      <c r="U45" s="80" t="s">
        <v>2252</v>
      </c>
      <c r="V45" s="80" t="s">
        <v>2655</v>
      </c>
      <c r="W45" s="80" t="s">
        <v>2270</v>
      </c>
      <c r="X45" s="80" t="s">
        <v>2523</v>
      </c>
      <c r="AA45" s="80" t="s">
        <v>2256</v>
      </c>
      <c r="AC45" s="80" t="s">
        <v>2656</v>
      </c>
      <c r="AE45" s="80" t="s">
        <v>2258</v>
      </c>
      <c r="AF45" s="80" t="s">
        <v>2272</v>
      </c>
      <c r="AL45" s="80" t="s">
        <v>2261</v>
      </c>
      <c r="AN45" s="80" t="s">
        <v>2651</v>
      </c>
      <c r="AP45" s="80" t="s">
        <v>2657</v>
      </c>
      <c r="AQ45" s="80" t="s">
        <v>2658</v>
      </c>
      <c r="AU45" s="80" t="s">
        <v>2659</v>
      </c>
    </row>
    <row r="46" spans="1:49">
      <c r="AP46" s="80" t="s">
        <v>2660</v>
      </c>
      <c r="AQ46" s="80" t="s">
        <v>2661</v>
      </c>
      <c r="AU46" s="80" t="s">
        <v>2662</v>
      </c>
    </row>
    <row r="47" spans="1:49">
      <c r="AP47" s="80" t="s">
        <v>2663</v>
      </c>
      <c r="AQ47" s="80" t="s">
        <v>2664</v>
      </c>
      <c r="AU47" s="80" t="s">
        <v>2665</v>
      </c>
    </row>
    <row r="48" spans="1:49">
      <c r="AP48" s="80" t="s">
        <v>2666</v>
      </c>
      <c r="AQ48" s="80" t="s">
        <v>2667</v>
      </c>
      <c r="AU48" s="80" t="s">
        <v>2668</v>
      </c>
    </row>
    <row r="49" spans="1:49">
      <c r="A49" s="80" t="s">
        <v>2241</v>
      </c>
      <c r="B49" s="80" t="s">
        <v>2669</v>
      </c>
      <c r="C49" s="80" t="s">
        <v>2143</v>
      </c>
      <c r="D49" s="80" t="s">
        <v>2670</v>
      </c>
      <c r="E49" s="80" t="s">
        <v>2244</v>
      </c>
      <c r="F49" s="80" t="s">
        <v>2671</v>
      </c>
      <c r="J49" s="80" t="s">
        <v>2672</v>
      </c>
      <c r="M49" s="80" t="s">
        <v>2247</v>
      </c>
      <c r="N49" s="80" t="s">
        <v>2673</v>
      </c>
      <c r="O49" s="80" t="s">
        <v>2143</v>
      </c>
      <c r="P49" s="80" t="s">
        <v>2674</v>
      </c>
      <c r="Q49" s="80" t="s">
        <v>2670</v>
      </c>
      <c r="R49" s="80" t="s">
        <v>2675</v>
      </c>
      <c r="S49" s="80" t="s">
        <v>2244</v>
      </c>
      <c r="T49" s="80" t="s">
        <v>2251</v>
      </c>
      <c r="U49" s="80" t="s">
        <v>2550</v>
      </c>
      <c r="V49" s="80" t="s">
        <v>2676</v>
      </c>
      <c r="W49" s="80" t="s">
        <v>2270</v>
      </c>
      <c r="X49" s="80" t="s">
        <v>2271</v>
      </c>
      <c r="AA49" s="80" t="s">
        <v>2256</v>
      </c>
      <c r="AC49" s="80" t="s">
        <v>2325</v>
      </c>
      <c r="AE49" s="80" t="s">
        <v>2258</v>
      </c>
      <c r="AF49" s="80" t="s">
        <v>2272</v>
      </c>
      <c r="AJ49" s="80" t="s">
        <v>2677</v>
      </c>
      <c r="AL49" s="80" t="s">
        <v>2261</v>
      </c>
      <c r="AN49" s="80" t="s">
        <v>2671</v>
      </c>
      <c r="AP49" s="80" t="s">
        <v>2327</v>
      </c>
      <c r="AQ49" s="80" t="s">
        <v>2678</v>
      </c>
      <c r="AU49" s="80" t="s">
        <v>2679</v>
      </c>
      <c r="AW49" s="80" t="s">
        <v>2648</v>
      </c>
    </row>
    <row r="50" spans="1:49">
      <c r="A50" s="80" t="s">
        <v>2241</v>
      </c>
      <c r="B50" s="80" t="s">
        <v>2677</v>
      </c>
      <c r="C50" s="80" t="s">
        <v>2143</v>
      </c>
      <c r="D50" s="80" t="s">
        <v>2670</v>
      </c>
      <c r="E50" s="80" t="s">
        <v>2244</v>
      </c>
      <c r="F50" s="80" t="s">
        <v>2680</v>
      </c>
      <c r="J50" s="80" t="s">
        <v>2672</v>
      </c>
      <c r="M50" s="80" t="s">
        <v>2268</v>
      </c>
      <c r="N50" s="80" t="s">
        <v>2673</v>
      </c>
      <c r="O50" s="80" t="s">
        <v>2143</v>
      </c>
      <c r="P50" s="80" t="s">
        <v>2674</v>
      </c>
      <c r="Q50" s="80" t="s">
        <v>2670</v>
      </c>
      <c r="R50" s="80" t="s">
        <v>2681</v>
      </c>
      <c r="S50" s="80" t="s">
        <v>2244</v>
      </c>
      <c r="T50" s="80" t="s">
        <v>2251</v>
      </c>
      <c r="U50" s="80" t="s">
        <v>2234</v>
      </c>
      <c r="W50" s="80" t="s">
        <v>2270</v>
      </c>
      <c r="X50" s="80" t="s">
        <v>2283</v>
      </c>
      <c r="AA50" s="80" t="s">
        <v>2256</v>
      </c>
      <c r="AC50" s="80" t="s">
        <v>2325</v>
      </c>
      <c r="AE50" s="80" t="s">
        <v>2258</v>
      </c>
      <c r="AF50" s="80" t="s">
        <v>2272</v>
      </c>
      <c r="AK50" s="80" t="s">
        <v>2669</v>
      </c>
      <c r="AL50" s="80" t="s">
        <v>2261</v>
      </c>
      <c r="AN50" s="80" t="s">
        <v>2680</v>
      </c>
      <c r="AP50" s="80" t="s">
        <v>2682</v>
      </c>
      <c r="AQ50" s="80" t="s">
        <v>2683</v>
      </c>
      <c r="AT50" s="80" t="s">
        <v>2256</v>
      </c>
      <c r="AU50" s="80" t="s">
        <v>2684</v>
      </c>
      <c r="AW50" s="80" t="s">
        <v>2350</v>
      </c>
    </row>
    <row r="51" spans="1:49">
      <c r="A51" s="80" t="s">
        <v>2241</v>
      </c>
      <c r="B51" s="80" t="s">
        <v>2685</v>
      </c>
      <c r="C51" s="80" t="s">
        <v>2150</v>
      </c>
      <c r="D51" s="80" t="s">
        <v>2686</v>
      </c>
      <c r="E51" s="80" t="s">
        <v>2244</v>
      </c>
      <c r="F51" s="80" t="s">
        <v>2687</v>
      </c>
      <c r="J51" s="80" t="s">
        <v>2688</v>
      </c>
      <c r="M51" s="80" t="s">
        <v>2268</v>
      </c>
      <c r="N51" s="80" t="s">
        <v>2689</v>
      </c>
      <c r="O51" s="80" t="s">
        <v>2150</v>
      </c>
      <c r="P51" s="80" t="s">
        <v>2690</v>
      </c>
      <c r="Q51" s="80" t="s">
        <v>2686</v>
      </c>
      <c r="R51" s="80" t="s">
        <v>2691</v>
      </c>
      <c r="S51" s="80" t="s">
        <v>2244</v>
      </c>
      <c r="T51" s="80" t="s">
        <v>2251</v>
      </c>
      <c r="U51" s="80" t="s">
        <v>2234</v>
      </c>
      <c r="W51" s="80" t="s">
        <v>2270</v>
      </c>
      <c r="X51" s="80" t="s">
        <v>2271</v>
      </c>
      <c r="AA51" s="80" t="s">
        <v>2256</v>
      </c>
      <c r="AC51" s="80" t="s">
        <v>2656</v>
      </c>
      <c r="AE51" s="80" t="s">
        <v>2258</v>
      </c>
      <c r="AF51" s="80" t="s">
        <v>2272</v>
      </c>
      <c r="AK51" s="80" t="s">
        <v>2692</v>
      </c>
      <c r="AL51" s="80" t="s">
        <v>2261</v>
      </c>
      <c r="AN51" s="80" t="s">
        <v>2687</v>
      </c>
      <c r="AP51" s="80" t="s">
        <v>2693</v>
      </c>
      <c r="AQ51" s="80" t="s">
        <v>2694</v>
      </c>
      <c r="AT51" s="80" t="s">
        <v>2256</v>
      </c>
      <c r="AU51" s="80" t="s">
        <v>2695</v>
      </c>
      <c r="AW51" s="80" t="s">
        <v>2265</v>
      </c>
    </row>
    <row r="52" spans="1:49">
      <c r="A52" s="80" t="s">
        <v>2241</v>
      </c>
      <c r="B52" s="80" t="s">
        <v>2692</v>
      </c>
      <c r="C52" s="80" t="s">
        <v>2150</v>
      </c>
      <c r="D52" s="80" t="s">
        <v>2696</v>
      </c>
      <c r="E52" s="80" t="s">
        <v>2244</v>
      </c>
      <c r="F52" s="80" t="s">
        <v>2687</v>
      </c>
      <c r="J52" s="80" t="s">
        <v>2688</v>
      </c>
      <c r="M52" s="80" t="s">
        <v>2247</v>
      </c>
      <c r="N52" s="80" t="s">
        <v>2689</v>
      </c>
      <c r="O52" s="80" t="s">
        <v>2150</v>
      </c>
      <c r="P52" s="80" t="s">
        <v>2690</v>
      </c>
      <c r="Q52" s="80" t="s">
        <v>2696</v>
      </c>
      <c r="R52" s="80" t="s">
        <v>2697</v>
      </c>
      <c r="S52" s="80" t="s">
        <v>2244</v>
      </c>
      <c r="T52" s="80" t="s">
        <v>2251</v>
      </c>
      <c r="U52" s="80" t="s">
        <v>2241</v>
      </c>
      <c r="V52" s="80" t="s">
        <v>2698</v>
      </c>
      <c r="W52" s="80" t="s">
        <v>2699</v>
      </c>
      <c r="X52" s="80" t="s">
        <v>2459</v>
      </c>
      <c r="AA52" s="80" t="s">
        <v>2256</v>
      </c>
      <c r="AC52" s="80" t="s">
        <v>2656</v>
      </c>
      <c r="AE52" s="80" t="s">
        <v>2258</v>
      </c>
      <c r="AF52" s="80" t="s">
        <v>2259</v>
      </c>
      <c r="AJ52" s="80" t="s">
        <v>2685</v>
      </c>
      <c r="AL52" s="80" t="s">
        <v>2261</v>
      </c>
      <c r="AN52" s="80" t="s">
        <v>2687</v>
      </c>
      <c r="AP52" s="80" t="s">
        <v>2421</v>
      </c>
      <c r="AQ52" s="80" t="s">
        <v>2700</v>
      </c>
      <c r="AT52" s="80" t="s">
        <v>2256</v>
      </c>
      <c r="AU52" s="80" t="s">
        <v>2701</v>
      </c>
      <c r="AW52" s="80" t="s">
        <v>2265</v>
      </c>
    </row>
    <row r="53" spans="1:49">
      <c r="A53" s="80" t="s">
        <v>2241</v>
      </c>
      <c r="B53" s="80" t="s">
        <v>2702</v>
      </c>
      <c r="C53" s="80" t="s">
        <v>2144</v>
      </c>
      <c r="D53" s="80" t="s">
        <v>2703</v>
      </c>
      <c r="E53" s="80" t="s">
        <v>2244</v>
      </c>
      <c r="F53" s="80" t="s">
        <v>2332</v>
      </c>
      <c r="J53" s="80" t="s">
        <v>2704</v>
      </c>
      <c r="M53" s="80" t="s">
        <v>2247</v>
      </c>
      <c r="N53" s="80" t="s">
        <v>2705</v>
      </c>
      <c r="O53" s="80" t="s">
        <v>2144</v>
      </c>
      <c r="P53" s="80" t="s">
        <v>2320</v>
      </c>
      <c r="Q53" s="80" t="s">
        <v>2703</v>
      </c>
      <c r="R53" s="80" t="s">
        <v>2706</v>
      </c>
      <c r="S53" s="80" t="s">
        <v>2244</v>
      </c>
      <c r="T53" s="80" t="s">
        <v>2251</v>
      </c>
      <c r="U53" s="80" t="s">
        <v>2241</v>
      </c>
      <c r="V53" s="80" t="s">
        <v>2707</v>
      </c>
      <c r="W53" s="80" t="s">
        <v>2270</v>
      </c>
      <c r="X53" s="80" t="s">
        <v>2283</v>
      </c>
      <c r="AA53" s="80" t="s">
        <v>2256</v>
      </c>
      <c r="AC53" s="80" t="s">
        <v>2325</v>
      </c>
      <c r="AE53" s="80" t="s">
        <v>2258</v>
      </c>
      <c r="AF53" s="80" t="s">
        <v>2259</v>
      </c>
      <c r="AJ53" s="80" t="s">
        <v>2708</v>
      </c>
      <c r="AL53" s="80" t="s">
        <v>2261</v>
      </c>
      <c r="AN53" s="80" t="s">
        <v>2332</v>
      </c>
      <c r="AP53" s="80" t="s">
        <v>2383</v>
      </c>
      <c r="AQ53" s="80" t="s">
        <v>2709</v>
      </c>
      <c r="AT53" s="80" t="s">
        <v>2256</v>
      </c>
      <c r="AU53" s="80" t="s">
        <v>2710</v>
      </c>
      <c r="AW53" s="80" t="s">
        <v>2463</v>
      </c>
    </row>
    <row r="54" spans="1:49">
      <c r="A54" s="80" t="s">
        <v>2241</v>
      </c>
      <c r="B54" s="80" t="s">
        <v>2708</v>
      </c>
      <c r="C54" s="80" t="s">
        <v>2144</v>
      </c>
      <c r="D54" s="80" t="s">
        <v>2711</v>
      </c>
      <c r="E54" s="80" t="s">
        <v>2244</v>
      </c>
      <c r="F54" s="80" t="s">
        <v>2352</v>
      </c>
      <c r="J54" s="80" t="s">
        <v>2704</v>
      </c>
      <c r="M54" s="80" t="s">
        <v>2268</v>
      </c>
      <c r="N54" s="80" t="s">
        <v>2705</v>
      </c>
      <c r="O54" s="80" t="s">
        <v>2144</v>
      </c>
      <c r="P54" s="80" t="s">
        <v>2320</v>
      </c>
      <c r="Q54" s="80" t="s">
        <v>2711</v>
      </c>
      <c r="R54" s="80" t="s">
        <v>2712</v>
      </c>
      <c r="S54" s="80" t="s">
        <v>2244</v>
      </c>
      <c r="T54" s="80" t="s">
        <v>2251</v>
      </c>
      <c r="U54" s="80" t="s">
        <v>2234</v>
      </c>
      <c r="W54" s="80" t="s">
        <v>2270</v>
      </c>
      <c r="X54" s="80" t="s">
        <v>2283</v>
      </c>
      <c r="AA54" s="80" t="s">
        <v>2256</v>
      </c>
      <c r="AC54" s="80" t="s">
        <v>2325</v>
      </c>
      <c r="AE54" s="80" t="s">
        <v>2258</v>
      </c>
      <c r="AF54" s="80" t="s">
        <v>2272</v>
      </c>
      <c r="AK54" s="80" t="s">
        <v>2702</v>
      </c>
      <c r="AL54" s="80" t="s">
        <v>2261</v>
      </c>
      <c r="AN54" s="80" t="s">
        <v>2352</v>
      </c>
      <c r="AP54" s="80" t="s">
        <v>2327</v>
      </c>
      <c r="AQ54" s="80" t="s">
        <v>2713</v>
      </c>
      <c r="AT54" s="80" t="s">
        <v>2256</v>
      </c>
      <c r="AU54" s="80" t="s">
        <v>2714</v>
      </c>
      <c r="AW54" s="80" t="s">
        <v>2373</v>
      </c>
    </row>
    <row r="55" spans="1:49">
      <c r="A55" s="80" t="s">
        <v>2241</v>
      </c>
      <c r="B55" s="80" t="s">
        <v>2715</v>
      </c>
      <c r="C55" s="80" t="s">
        <v>2144</v>
      </c>
      <c r="D55" s="80" t="s">
        <v>2716</v>
      </c>
      <c r="E55" s="80" t="s">
        <v>2244</v>
      </c>
      <c r="F55" s="80" t="s">
        <v>2717</v>
      </c>
      <c r="J55" s="80" t="s">
        <v>2718</v>
      </c>
      <c r="M55" s="80" t="s">
        <v>2268</v>
      </c>
      <c r="N55" s="80" t="s">
        <v>2719</v>
      </c>
      <c r="O55" s="80" t="s">
        <v>2144</v>
      </c>
      <c r="P55" s="80" t="s">
        <v>2320</v>
      </c>
      <c r="Q55" s="80" t="s">
        <v>2716</v>
      </c>
      <c r="R55" s="80" t="s">
        <v>2720</v>
      </c>
      <c r="S55" s="80" t="s">
        <v>2244</v>
      </c>
      <c r="T55" s="80" t="s">
        <v>2251</v>
      </c>
      <c r="U55" s="80" t="s">
        <v>2234</v>
      </c>
      <c r="W55" s="80" t="s">
        <v>2370</v>
      </c>
      <c r="X55" s="80" t="s">
        <v>2271</v>
      </c>
      <c r="AA55" s="80" t="s">
        <v>2256</v>
      </c>
      <c r="AC55" s="80" t="s">
        <v>2325</v>
      </c>
      <c r="AE55" s="80" t="s">
        <v>2258</v>
      </c>
      <c r="AF55" s="80" t="s">
        <v>2272</v>
      </c>
      <c r="AK55" s="80" t="s">
        <v>2721</v>
      </c>
      <c r="AL55" s="80" t="s">
        <v>2261</v>
      </c>
      <c r="AN55" s="80" t="s">
        <v>2717</v>
      </c>
      <c r="AP55" s="80" t="s">
        <v>2553</v>
      </c>
      <c r="AQ55" s="80" t="s">
        <v>2722</v>
      </c>
      <c r="AT55" s="80" t="s">
        <v>2256</v>
      </c>
      <c r="AU55" s="80" t="s">
        <v>2723</v>
      </c>
      <c r="AW55" s="80" t="s">
        <v>2265</v>
      </c>
    </row>
    <row r="56" spans="1:49">
      <c r="A56" s="80" t="s">
        <v>2241</v>
      </c>
      <c r="B56" s="80" t="s">
        <v>2721</v>
      </c>
      <c r="C56" s="80" t="s">
        <v>2144</v>
      </c>
      <c r="D56" s="80" t="s">
        <v>2724</v>
      </c>
      <c r="E56" s="80" t="s">
        <v>2244</v>
      </c>
      <c r="F56" s="80" t="s">
        <v>2725</v>
      </c>
      <c r="J56" s="80" t="s">
        <v>2718</v>
      </c>
      <c r="M56" s="80" t="s">
        <v>2247</v>
      </c>
      <c r="N56" s="80" t="s">
        <v>2719</v>
      </c>
      <c r="O56" s="80" t="s">
        <v>2144</v>
      </c>
      <c r="P56" s="80" t="s">
        <v>2320</v>
      </c>
      <c r="Q56" s="80" t="s">
        <v>2724</v>
      </c>
      <c r="R56" s="80" t="s">
        <v>2726</v>
      </c>
      <c r="S56" s="80" t="s">
        <v>2244</v>
      </c>
      <c r="T56" s="80" t="s">
        <v>2251</v>
      </c>
      <c r="U56" s="80" t="s">
        <v>2252</v>
      </c>
      <c r="V56" s="80" t="s">
        <v>2727</v>
      </c>
      <c r="W56" s="80" t="s">
        <v>2512</v>
      </c>
      <c r="X56" s="80" t="s">
        <v>2291</v>
      </c>
      <c r="AA56" s="80" t="s">
        <v>2256</v>
      </c>
      <c r="AC56" s="80" t="s">
        <v>2325</v>
      </c>
      <c r="AE56" s="80" t="s">
        <v>2258</v>
      </c>
      <c r="AF56" s="80" t="s">
        <v>2272</v>
      </c>
      <c r="AJ56" s="80" t="s">
        <v>2715</v>
      </c>
      <c r="AL56" s="80" t="s">
        <v>2261</v>
      </c>
      <c r="AN56" s="80" t="s">
        <v>2725</v>
      </c>
      <c r="AP56" s="80" t="s">
        <v>2327</v>
      </c>
      <c r="AQ56" s="80" t="s">
        <v>2728</v>
      </c>
      <c r="AT56" s="80" t="s">
        <v>2256</v>
      </c>
      <c r="AU56" s="80" t="s">
        <v>2729</v>
      </c>
      <c r="AW56" s="80" t="s">
        <v>2265</v>
      </c>
    </row>
    <row r="57" spans="1:49">
      <c r="A57" s="80" t="s">
        <v>2241</v>
      </c>
      <c r="B57" s="80" t="s">
        <v>2730</v>
      </c>
      <c r="C57" s="80" t="s">
        <v>2146</v>
      </c>
      <c r="D57" s="80" t="s">
        <v>2731</v>
      </c>
      <c r="E57" s="80" t="s">
        <v>2244</v>
      </c>
      <c r="F57" s="80" t="s">
        <v>2732</v>
      </c>
      <c r="J57" s="80" t="s">
        <v>2733</v>
      </c>
      <c r="M57" s="80" t="s">
        <v>2247</v>
      </c>
      <c r="N57" s="80" t="s">
        <v>2734</v>
      </c>
      <c r="O57" s="80" t="s">
        <v>2146</v>
      </c>
      <c r="P57" s="80" t="s">
        <v>2378</v>
      </c>
      <c r="Q57" s="80" t="s">
        <v>2731</v>
      </c>
      <c r="R57" s="80" t="s">
        <v>2735</v>
      </c>
      <c r="S57" s="80" t="s">
        <v>2244</v>
      </c>
      <c r="T57" s="80" t="s">
        <v>2251</v>
      </c>
      <c r="U57" s="80" t="s">
        <v>2550</v>
      </c>
      <c r="V57" s="80" t="s">
        <v>2736</v>
      </c>
      <c r="W57" s="80" t="s">
        <v>2270</v>
      </c>
      <c r="X57" s="80" t="s">
        <v>2271</v>
      </c>
      <c r="AA57" s="80" t="s">
        <v>2256</v>
      </c>
      <c r="AC57" s="80" t="s">
        <v>2393</v>
      </c>
      <c r="AE57" s="80" t="s">
        <v>2258</v>
      </c>
      <c r="AF57" s="80" t="s">
        <v>2272</v>
      </c>
      <c r="AJ57" s="80" t="s">
        <v>2737</v>
      </c>
      <c r="AL57" s="80" t="s">
        <v>2261</v>
      </c>
      <c r="AN57" s="80" t="s">
        <v>2732</v>
      </c>
      <c r="AP57" s="80" t="s">
        <v>2327</v>
      </c>
      <c r="AQ57" s="80" t="s">
        <v>2738</v>
      </c>
      <c r="AT57" s="80" t="s">
        <v>2256</v>
      </c>
      <c r="AU57" s="80" t="s">
        <v>2739</v>
      </c>
      <c r="AW57" s="80" t="s">
        <v>2373</v>
      </c>
    </row>
    <row r="58" spans="1:49">
      <c r="A58" s="80" t="s">
        <v>2241</v>
      </c>
      <c r="B58" s="80" t="s">
        <v>2737</v>
      </c>
      <c r="C58" s="80" t="s">
        <v>2146</v>
      </c>
      <c r="D58" s="80" t="s">
        <v>2740</v>
      </c>
      <c r="E58" s="80" t="s">
        <v>2244</v>
      </c>
      <c r="F58" s="80" t="s">
        <v>2400</v>
      </c>
      <c r="J58" s="80" t="s">
        <v>2733</v>
      </c>
      <c r="M58" s="80" t="s">
        <v>2268</v>
      </c>
      <c r="N58" s="80" t="s">
        <v>2734</v>
      </c>
      <c r="O58" s="80" t="s">
        <v>2146</v>
      </c>
      <c r="P58" s="80" t="s">
        <v>2378</v>
      </c>
      <c r="Q58" s="80" t="s">
        <v>2740</v>
      </c>
      <c r="R58" s="80" t="s">
        <v>2741</v>
      </c>
      <c r="S58" s="80" t="s">
        <v>2244</v>
      </c>
      <c r="T58" s="80" t="s">
        <v>2251</v>
      </c>
      <c r="U58" s="80" t="s">
        <v>2234</v>
      </c>
      <c r="W58" s="80" t="s">
        <v>2334</v>
      </c>
      <c r="X58" s="80" t="s">
        <v>2271</v>
      </c>
      <c r="AA58" s="80" t="s">
        <v>2256</v>
      </c>
      <c r="AC58" s="80" t="s">
        <v>2393</v>
      </c>
      <c r="AE58" s="80" t="s">
        <v>2258</v>
      </c>
      <c r="AF58" s="80" t="s">
        <v>2272</v>
      </c>
      <c r="AK58" s="80" t="s">
        <v>2730</v>
      </c>
      <c r="AL58" s="80" t="s">
        <v>2261</v>
      </c>
      <c r="AN58" s="80" t="s">
        <v>2400</v>
      </c>
      <c r="AP58" s="80" t="s">
        <v>2383</v>
      </c>
      <c r="AQ58" s="80" t="s">
        <v>2742</v>
      </c>
      <c r="AT58" s="80" t="s">
        <v>2256</v>
      </c>
      <c r="AU58" s="80" t="s">
        <v>2743</v>
      </c>
      <c r="AW58" s="80" t="s">
        <v>2744</v>
      </c>
    </row>
    <row r="59" spans="1:49">
      <c r="A59" s="80" t="s">
        <v>2241</v>
      </c>
      <c r="B59" s="80" t="s">
        <v>2745</v>
      </c>
      <c r="C59" s="80" t="s">
        <v>2148</v>
      </c>
      <c r="D59" s="80" t="s">
        <v>2571</v>
      </c>
      <c r="E59" s="80" t="s">
        <v>2244</v>
      </c>
      <c r="F59" s="80" t="s">
        <v>2746</v>
      </c>
      <c r="J59" s="80" t="s">
        <v>2747</v>
      </c>
      <c r="M59" s="80" t="s">
        <v>2247</v>
      </c>
      <c r="N59" s="80" t="s">
        <v>2748</v>
      </c>
      <c r="O59" s="80" t="s">
        <v>2148</v>
      </c>
      <c r="P59" s="80" t="s">
        <v>2548</v>
      </c>
      <c r="Q59" s="80" t="s">
        <v>2571</v>
      </c>
      <c r="R59" s="80" t="s">
        <v>2573</v>
      </c>
      <c r="S59" s="80" t="s">
        <v>2244</v>
      </c>
      <c r="T59" s="80" t="s">
        <v>2251</v>
      </c>
      <c r="U59" s="80" t="s">
        <v>2252</v>
      </c>
      <c r="V59" s="80" t="s">
        <v>2749</v>
      </c>
      <c r="W59" s="80" t="s">
        <v>2750</v>
      </c>
      <c r="X59" s="80" t="s">
        <v>2751</v>
      </c>
      <c r="AA59" s="80" t="s">
        <v>2256</v>
      </c>
      <c r="AC59" s="80" t="s">
        <v>2257</v>
      </c>
      <c r="AE59" s="80" t="s">
        <v>2258</v>
      </c>
      <c r="AF59" s="80" t="s">
        <v>2272</v>
      </c>
      <c r="AJ59" s="80" t="s">
        <v>2752</v>
      </c>
      <c r="AL59" s="80" t="s">
        <v>2261</v>
      </c>
      <c r="AN59" s="80" t="s">
        <v>2746</v>
      </c>
      <c r="AP59" s="80" t="s">
        <v>2574</v>
      </c>
      <c r="AQ59" s="80" t="s">
        <v>2753</v>
      </c>
      <c r="AT59" s="80" t="s">
        <v>2256</v>
      </c>
      <c r="AU59" s="80" t="s">
        <v>2754</v>
      </c>
      <c r="AW59" s="80" t="s">
        <v>2577</v>
      </c>
    </row>
    <row r="60" spans="1:49">
      <c r="A60" s="80" t="s">
        <v>2241</v>
      </c>
      <c r="B60" s="80" t="s">
        <v>2752</v>
      </c>
      <c r="C60" s="80" t="s">
        <v>2148</v>
      </c>
      <c r="D60" s="80" t="s">
        <v>2561</v>
      </c>
      <c r="E60" s="80" t="s">
        <v>2244</v>
      </c>
      <c r="F60" s="80" t="s">
        <v>2755</v>
      </c>
      <c r="J60" s="80" t="s">
        <v>2747</v>
      </c>
      <c r="M60" s="80" t="s">
        <v>2268</v>
      </c>
      <c r="N60" s="80" t="s">
        <v>2748</v>
      </c>
      <c r="O60" s="80" t="s">
        <v>2148</v>
      </c>
      <c r="P60" s="80" t="s">
        <v>2548</v>
      </c>
      <c r="Q60" s="80" t="s">
        <v>2561</v>
      </c>
      <c r="R60" s="80" t="s">
        <v>2565</v>
      </c>
      <c r="S60" s="80" t="s">
        <v>2244</v>
      </c>
      <c r="T60" s="80" t="s">
        <v>2251</v>
      </c>
      <c r="U60" s="80" t="s">
        <v>2234</v>
      </c>
      <c r="W60" s="80" t="s">
        <v>2270</v>
      </c>
      <c r="X60" s="80" t="s">
        <v>2283</v>
      </c>
      <c r="AA60" s="80" t="s">
        <v>2256</v>
      </c>
      <c r="AC60" s="80" t="s">
        <v>2257</v>
      </c>
      <c r="AE60" s="80" t="s">
        <v>2258</v>
      </c>
      <c r="AF60" s="80" t="s">
        <v>2259</v>
      </c>
      <c r="AK60" s="80" t="s">
        <v>2745</v>
      </c>
      <c r="AL60" s="80" t="s">
        <v>2261</v>
      </c>
      <c r="AN60" s="80" t="s">
        <v>2755</v>
      </c>
      <c r="AP60" s="80" t="s">
        <v>2553</v>
      </c>
      <c r="AQ60" s="80" t="s">
        <v>2756</v>
      </c>
      <c r="AT60" s="80" t="s">
        <v>2256</v>
      </c>
      <c r="AU60" s="80" t="s">
        <v>2757</v>
      </c>
      <c r="AW60" s="80" t="s">
        <v>2265</v>
      </c>
    </row>
    <row r="61" spans="1:49">
      <c r="A61" s="80" t="s">
        <v>2241</v>
      </c>
      <c r="B61" s="80" t="s">
        <v>2758</v>
      </c>
      <c r="C61" s="80" t="s">
        <v>2759</v>
      </c>
      <c r="D61" s="80" t="s">
        <v>2760</v>
      </c>
      <c r="E61" s="80" t="s">
        <v>2244</v>
      </c>
      <c r="F61" s="80" t="s">
        <v>2761</v>
      </c>
      <c r="J61" s="80" t="s">
        <v>2762</v>
      </c>
      <c r="M61" s="80" t="s">
        <v>2247</v>
      </c>
      <c r="O61" s="80" t="s">
        <v>2759</v>
      </c>
      <c r="P61" s="80" t="s">
        <v>2378</v>
      </c>
      <c r="Q61" s="80" t="s">
        <v>2760</v>
      </c>
      <c r="R61" s="80" t="s">
        <v>2763</v>
      </c>
      <c r="S61" s="80" t="s">
        <v>2244</v>
      </c>
      <c r="T61" s="80" t="s">
        <v>2251</v>
      </c>
      <c r="U61" s="80" t="s">
        <v>2550</v>
      </c>
      <c r="V61" s="80" t="s">
        <v>2764</v>
      </c>
      <c r="W61" s="80" t="s">
        <v>2270</v>
      </c>
      <c r="X61" s="80" t="s">
        <v>2283</v>
      </c>
      <c r="AA61" s="80" t="s">
        <v>2256</v>
      </c>
      <c r="AC61" s="80" t="s">
        <v>2382</v>
      </c>
      <c r="AE61" s="80" t="s">
        <v>2258</v>
      </c>
      <c r="AF61" s="80" t="s">
        <v>2259</v>
      </c>
      <c r="AL61" s="80" t="s">
        <v>2261</v>
      </c>
      <c r="AN61" s="80" t="s">
        <v>2761</v>
      </c>
      <c r="AP61" s="80" t="s">
        <v>2765</v>
      </c>
      <c r="AQ61" s="80" t="s">
        <v>2766</v>
      </c>
      <c r="AU61" s="80" t="s">
        <v>2767</v>
      </c>
    </row>
    <row r="62" spans="1:49">
      <c r="A62" s="80" t="s">
        <v>2241</v>
      </c>
      <c r="B62" s="80" t="s">
        <v>2768</v>
      </c>
      <c r="C62" s="80" t="s">
        <v>2769</v>
      </c>
      <c r="D62" s="80" t="s">
        <v>2770</v>
      </c>
      <c r="E62" s="80" t="s">
        <v>2244</v>
      </c>
      <c r="F62" s="80" t="s">
        <v>2771</v>
      </c>
      <c r="J62" s="80" t="s">
        <v>2772</v>
      </c>
      <c r="M62" s="80" t="s">
        <v>2247</v>
      </c>
      <c r="N62" s="80" t="s">
        <v>2773</v>
      </c>
      <c r="O62" s="80" t="s">
        <v>2769</v>
      </c>
      <c r="P62" s="80" t="s">
        <v>2774</v>
      </c>
      <c r="Q62" s="80" t="s">
        <v>2770</v>
      </c>
      <c r="R62" s="80" t="s">
        <v>2775</v>
      </c>
      <c r="S62" s="80" t="s">
        <v>2244</v>
      </c>
      <c r="T62" s="80" t="s">
        <v>2251</v>
      </c>
      <c r="U62" s="80" t="s">
        <v>2241</v>
      </c>
      <c r="W62" s="80" t="s">
        <v>2270</v>
      </c>
      <c r="X62" s="80" t="s">
        <v>2283</v>
      </c>
      <c r="AA62" s="80" t="s">
        <v>2256</v>
      </c>
      <c r="AC62" s="80" t="s">
        <v>2776</v>
      </c>
      <c r="AE62" s="80" t="s">
        <v>2258</v>
      </c>
      <c r="AF62" s="80" t="s">
        <v>2272</v>
      </c>
      <c r="AJ62" s="80" t="s">
        <v>2777</v>
      </c>
      <c r="AL62" s="80" t="s">
        <v>2261</v>
      </c>
      <c r="AN62" s="80" t="s">
        <v>2771</v>
      </c>
      <c r="AP62" s="80" t="s">
        <v>2778</v>
      </c>
      <c r="AQ62" s="80" t="s">
        <v>2779</v>
      </c>
      <c r="AU62" s="80" t="s">
        <v>2780</v>
      </c>
    </row>
    <row r="63" spans="1:49">
      <c r="A63" s="80" t="s">
        <v>2241</v>
      </c>
      <c r="B63" s="80" t="s">
        <v>2781</v>
      </c>
      <c r="C63" s="80" t="s">
        <v>2769</v>
      </c>
      <c r="D63" s="80" t="s">
        <v>2782</v>
      </c>
      <c r="E63" s="80" t="s">
        <v>2244</v>
      </c>
      <c r="F63" s="80" t="s">
        <v>2783</v>
      </c>
      <c r="J63" s="80" t="s">
        <v>2772</v>
      </c>
      <c r="M63" s="80" t="s">
        <v>2268</v>
      </c>
      <c r="N63" s="80" t="s">
        <v>2773</v>
      </c>
      <c r="O63" s="80" t="s">
        <v>2769</v>
      </c>
      <c r="P63" s="80" t="s">
        <v>2774</v>
      </c>
      <c r="Q63" s="80" t="s">
        <v>2782</v>
      </c>
      <c r="R63" s="80" t="s">
        <v>2784</v>
      </c>
      <c r="S63" s="80" t="s">
        <v>2244</v>
      </c>
      <c r="T63" s="80" t="s">
        <v>2251</v>
      </c>
      <c r="U63" s="80" t="s">
        <v>2234</v>
      </c>
      <c r="W63" s="80" t="s">
        <v>2270</v>
      </c>
      <c r="X63" s="80" t="s">
        <v>2283</v>
      </c>
      <c r="AA63" s="80" t="s">
        <v>2256</v>
      </c>
      <c r="AC63" s="80" t="s">
        <v>2776</v>
      </c>
      <c r="AE63" s="80" t="s">
        <v>2258</v>
      </c>
      <c r="AF63" s="80" t="s">
        <v>2272</v>
      </c>
      <c r="AK63" s="80" t="s">
        <v>2768</v>
      </c>
      <c r="AL63" s="80" t="s">
        <v>2261</v>
      </c>
      <c r="AN63" s="80" t="s">
        <v>2783</v>
      </c>
      <c r="AP63" s="80" t="s">
        <v>2785</v>
      </c>
      <c r="AQ63" s="80" t="s">
        <v>2786</v>
      </c>
      <c r="AU63" s="80" t="s">
        <v>2787</v>
      </c>
    </row>
    <row r="64" spans="1:49">
      <c r="A64" s="80" t="s">
        <v>2241</v>
      </c>
      <c r="B64" s="80" t="s">
        <v>2788</v>
      </c>
      <c r="C64" s="80" t="s">
        <v>2769</v>
      </c>
      <c r="D64" s="80" t="s">
        <v>2789</v>
      </c>
      <c r="E64" s="80" t="s">
        <v>2244</v>
      </c>
      <c r="F64" s="80" t="s">
        <v>2790</v>
      </c>
      <c r="J64" s="80" t="s">
        <v>2772</v>
      </c>
      <c r="M64" s="80" t="s">
        <v>2268</v>
      </c>
      <c r="N64" s="80" t="s">
        <v>2773</v>
      </c>
      <c r="O64" s="80" t="s">
        <v>2769</v>
      </c>
      <c r="P64" s="80" t="s">
        <v>2774</v>
      </c>
      <c r="Q64" s="80" t="s">
        <v>2789</v>
      </c>
      <c r="R64" s="80" t="s">
        <v>2791</v>
      </c>
      <c r="S64" s="80" t="s">
        <v>2244</v>
      </c>
      <c r="T64" s="80" t="s">
        <v>2251</v>
      </c>
      <c r="U64" s="80" t="s">
        <v>2234</v>
      </c>
      <c r="W64" s="80" t="s">
        <v>2270</v>
      </c>
      <c r="X64" s="80" t="s">
        <v>2283</v>
      </c>
      <c r="AA64" s="80" t="s">
        <v>2256</v>
      </c>
      <c r="AC64" s="80" t="s">
        <v>2776</v>
      </c>
      <c r="AE64" s="80" t="s">
        <v>2258</v>
      </c>
      <c r="AF64" s="80" t="s">
        <v>2272</v>
      </c>
      <c r="AK64" s="80" t="s">
        <v>2768</v>
      </c>
      <c r="AL64" s="80" t="s">
        <v>2261</v>
      </c>
      <c r="AN64" s="80" t="s">
        <v>2790</v>
      </c>
      <c r="AP64" s="80" t="s">
        <v>2792</v>
      </c>
      <c r="AQ64" s="80" t="s">
        <v>2793</v>
      </c>
      <c r="AU64" s="80" t="s">
        <v>2794</v>
      </c>
    </row>
    <row r="65" spans="1:49">
      <c r="A65" s="80" t="s">
        <v>2241</v>
      </c>
      <c r="B65" s="80" t="s">
        <v>2795</v>
      </c>
      <c r="C65" s="80" t="s">
        <v>2796</v>
      </c>
      <c r="D65" s="80" t="s">
        <v>2797</v>
      </c>
      <c r="E65" s="80" t="s">
        <v>2244</v>
      </c>
      <c r="F65" s="80" t="s">
        <v>2798</v>
      </c>
      <c r="J65" s="80" t="s">
        <v>2799</v>
      </c>
      <c r="M65" s="80" t="s">
        <v>2247</v>
      </c>
      <c r="N65" s="80" t="s">
        <v>2800</v>
      </c>
      <c r="O65" s="80" t="s">
        <v>2796</v>
      </c>
      <c r="P65" s="80" t="s">
        <v>2801</v>
      </c>
      <c r="Q65" s="80" t="s">
        <v>2797</v>
      </c>
      <c r="R65" s="80" t="s">
        <v>2802</v>
      </c>
      <c r="S65" s="80" t="s">
        <v>2244</v>
      </c>
      <c r="T65" s="80" t="s">
        <v>2251</v>
      </c>
      <c r="U65" s="80" t="s">
        <v>2241</v>
      </c>
      <c r="V65" s="80" t="s">
        <v>2803</v>
      </c>
      <c r="W65" s="80" t="s">
        <v>2270</v>
      </c>
      <c r="X65" s="80" t="s">
        <v>2283</v>
      </c>
      <c r="AA65" s="80" t="s">
        <v>2256</v>
      </c>
      <c r="AC65" s="80" t="s">
        <v>2804</v>
      </c>
      <c r="AE65" s="80" t="s">
        <v>2258</v>
      </c>
      <c r="AF65" s="80" t="s">
        <v>2272</v>
      </c>
      <c r="AJ65" s="80" t="s">
        <v>2805</v>
      </c>
      <c r="AL65" s="80" t="s">
        <v>2261</v>
      </c>
      <c r="AN65" s="80" t="s">
        <v>2798</v>
      </c>
      <c r="AP65" s="80" t="s">
        <v>2806</v>
      </c>
      <c r="AQ65" s="80" t="s">
        <v>2807</v>
      </c>
      <c r="AU65" s="80" t="s">
        <v>2808</v>
      </c>
      <c r="AW65" s="80" t="s">
        <v>2265</v>
      </c>
    </row>
    <row r="66" spans="1:49">
      <c r="A66" s="80" t="s">
        <v>2241</v>
      </c>
      <c r="B66" s="80" t="s">
        <v>2805</v>
      </c>
      <c r="C66" s="80" t="s">
        <v>2796</v>
      </c>
      <c r="D66" s="80" t="s">
        <v>2809</v>
      </c>
      <c r="E66" s="80" t="s">
        <v>2244</v>
      </c>
      <c r="F66" s="80" t="s">
        <v>2810</v>
      </c>
      <c r="J66" s="80" t="s">
        <v>2799</v>
      </c>
      <c r="M66" s="80" t="s">
        <v>2268</v>
      </c>
      <c r="N66" s="80" t="s">
        <v>2800</v>
      </c>
      <c r="O66" s="80" t="s">
        <v>2796</v>
      </c>
      <c r="P66" s="80" t="s">
        <v>2801</v>
      </c>
      <c r="Q66" s="80" t="s">
        <v>2809</v>
      </c>
      <c r="R66" s="80" t="s">
        <v>2811</v>
      </c>
      <c r="S66" s="80" t="s">
        <v>2244</v>
      </c>
      <c r="T66" s="80" t="s">
        <v>2251</v>
      </c>
      <c r="U66" s="80" t="s">
        <v>2234</v>
      </c>
      <c r="W66" s="80" t="s">
        <v>2270</v>
      </c>
      <c r="X66" s="80" t="s">
        <v>2283</v>
      </c>
      <c r="AA66" s="80" t="s">
        <v>2256</v>
      </c>
      <c r="AC66" s="80" t="s">
        <v>2804</v>
      </c>
      <c r="AE66" s="80" t="s">
        <v>2258</v>
      </c>
      <c r="AF66" s="80" t="s">
        <v>2272</v>
      </c>
      <c r="AK66" s="80" t="s">
        <v>2795</v>
      </c>
      <c r="AL66" s="80" t="s">
        <v>2261</v>
      </c>
      <c r="AN66" s="80" t="s">
        <v>2810</v>
      </c>
      <c r="AP66" s="80" t="s">
        <v>2812</v>
      </c>
      <c r="AQ66" s="80" t="s">
        <v>2813</v>
      </c>
      <c r="AU66" s="80" t="s">
        <v>2814</v>
      </c>
    </row>
    <row r="67" spans="1:49">
      <c r="A67" s="80" t="s">
        <v>2241</v>
      </c>
      <c r="B67" s="80" t="s">
        <v>2815</v>
      </c>
      <c r="C67" s="80" t="s">
        <v>2140</v>
      </c>
      <c r="D67" s="80" t="s">
        <v>2816</v>
      </c>
      <c r="E67" s="80" t="s">
        <v>2244</v>
      </c>
      <c r="F67" s="80" t="s">
        <v>2817</v>
      </c>
      <c r="J67" s="80" t="s">
        <v>2818</v>
      </c>
      <c r="M67" s="80" t="s">
        <v>2247</v>
      </c>
      <c r="O67" s="80" t="s">
        <v>2140</v>
      </c>
      <c r="P67" s="80" t="s">
        <v>2653</v>
      </c>
      <c r="Q67" s="80" t="s">
        <v>2816</v>
      </c>
      <c r="R67" s="80" t="s">
        <v>2819</v>
      </c>
      <c r="S67" s="80" t="s">
        <v>2244</v>
      </c>
      <c r="T67" s="80" t="s">
        <v>2251</v>
      </c>
      <c r="U67" s="80" t="s">
        <v>2241</v>
      </c>
      <c r="V67" s="80" t="s">
        <v>2820</v>
      </c>
      <c r="W67" s="80" t="s">
        <v>2270</v>
      </c>
      <c r="X67" s="80" t="s">
        <v>2291</v>
      </c>
      <c r="AA67" s="80" t="s">
        <v>2256</v>
      </c>
      <c r="AC67" s="80" t="s">
        <v>2656</v>
      </c>
      <c r="AE67" s="80" t="s">
        <v>2258</v>
      </c>
      <c r="AF67" s="80" t="s">
        <v>2272</v>
      </c>
      <c r="AL67" s="80" t="s">
        <v>2261</v>
      </c>
      <c r="AN67" s="80" t="s">
        <v>2817</v>
      </c>
      <c r="AP67" s="80" t="s">
        <v>2660</v>
      </c>
      <c r="AQ67" s="80" t="s">
        <v>2821</v>
      </c>
      <c r="AT67" s="80" t="s">
        <v>2256</v>
      </c>
      <c r="AU67" s="80" t="s">
        <v>2822</v>
      </c>
      <c r="AW67" s="80" t="s">
        <v>2577</v>
      </c>
    </row>
    <row r="68" spans="1:49">
      <c r="AP68" s="80" t="s">
        <v>2663</v>
      </c>
      <c r="AQ68" s="80" t="s">
        <v>2823</v>
      </c>
      <c r="AT68" s="80" t="s">
        <v>2256</v>
      </c>
      <c r="AU68" s="80" t="s">
        <v>2824</v>
      </c>
      <c r="AW68" s="80" t="s">
        <v>2265</v>
      </c>
    </row>
    <row r="69" spans="1:49">
      <c r="AP69" s="80" t="s">
        <v>2657</v>
      </c>
      <c r="AQ69" s="80" t="s">
        <v>2825</v>
      </c>
      <c r="AT69" s="80" t="s">
        <v>2256</v>
      </c>
      <c r="AU69" s="80" t="s">
        <v>2826</v>
      </c>
      <c r="AW69" s="80" t="s">
        <v>2577</v>
      </c>
    </row>
    <row r="70" spans="1:49">
      <c r="AP70" s="80" t="s">
        <v>2666</v>
      </c>
      <c r="AQ70" s="80" t="s">
        <v>2827</v>
      </c>
      <c r="AT70" s="80" t="s">
        <v>2256</v>
      </c>
      <c r="AU70" s="80" t="s">
        <v>2828</v>
      </c>
      <c r="AW70" s="80" t="s">
        <v>2577</v>
      </c>
    </row>
    <row r="71" spans="1:49">
      <c r="A71" s="80" t="s">
        <v>2241</v>
      </c>
      <c r="B71" s="80" t="s">
        <v>2829</v>
      </c>
      <c r="C71" s="80" t="s">
        <v>2140</v>
      </c>
      <c r="D71" s="80" t="s">
        <v>2830</v>
      </c>
      <c r="E71" s="80" t="s">
        <v>2244</v>
      </c>
      <c r="F71" s="80" t="s">
        <v>2831</v>
      </c>
      <c r="J71" s="80" t="s">
        <v>2832</v>
      </c>
      <c r="M71" s="80" t="s">
        <v>2247</v>
      </c>
      <c r="O71" s="80" t="s">
        <v>2140</v>
      </c>
      <c r="P71" s="80" t="s">
        <v>2653</v>
      </c>
      <c r="Q71" s="80" t="s">
        <v>2830</v>
      </c>
      <c r="R71" s="80" t="s">
        <v>2833</v>
      </c>
      <c r="S71" s="80" t="s">
        <v>2244</v>
      </c>
      <c r="T71" s="80" t="s">
        <v>2251</v>
      </c>
      <c r="U71" s="80" t="s">
        <v>2252</v>
      </c>
      <c r="V71" s="80" t="s">
        <v>2834</v>
      </c>
      <c r="W71" s="80" t="s">
        <v>2254</v>
      </c>
      <c r="X71" s="80" t="s">
        <v>2255</v>
      </c>
      <c r="AA71" s="80" t="s">
        <v>2256</v>
      </c>
      <c r="AC71" s="80" t="s">
        <v>2656</v>
      </c>
      <c r="AE71" s="80" t="s">
        <v>2258</v>
      </c>
      <c r="AF71" s="80" t="s">
        <v>2259</v>
      </c>
      <c r="AL71" s="80" t="s">
        <v>2261</v>
      </c>
      <c r="AN71" s="80" t="s">
        <v>2831</v>
      </c>
      <c r="AP71" s="80" t="s">
        <v>2663</v>
      </c>
      <c r="AQ71" s="80" t="s">
        <v>2835</v>
      </c>
      <c r="AT71" s="80" t="s">
        <v>2256</v>
      </c>
      <c r="AU71" s="80" t="s">
        <v>2836</v>
      </c>
      <c r="AW71" s="80" t="s">
        <v>2265</v>
      </c>
    </row>
    <row r="72" spans="1:49">
      <c r="AP72" s="80" t="s">
        <v>2666</v>
      </c>
      <c r="AQ72" s="80" t="s">
        <v>2837</v>
      </c>
      <c r="AT72" s="80" t="s">
        <v>2256</v>
      </c>
      <c r="AU72" s="80" t="s">
        <v>2838</v>
      </c>
      <c r="AW72" s="80" t="s">
        <v>2577</v>
      </c>
    </row>
    <row r="73" spans="1:49">
      <c r="AP73" s="80" t="s">
        <v>2660</v>
      </c>
      <c r="AQ73" s="80" t="s">
        <v>2839</v>
      </c>
      <c r="AT73" s="80" t="s">
        <v>2256</v>
      </c>
      <c r="AU73" s="80" t="s">
        <v>2840</v>
      </c>
      <c r="AW73" s="80" t="s">
        <v>2577</v>
      </c>
    </row>
    <row r="74" spans="1:49">
      <c r="AP74" s="80" t="s">
        <v>2657</v>
      </c>
      <c r="AQ74" s="80" t="s">
        <v>2841</v>
      </c>
      <c r="AT74" s="80" t="s">
        <v>2256</v>
      </c>
      <c r="AU74" s="80" t="s">
        <v>2842</v>
      </c>
      <c r="AW74" s="80" t="s">
        <v>2265</v>
      </c>
    </row>
    <row r="75" spans="1:49">
      <c r="A75" s="80" t="s">
        <v>2241</v>
      </c>
      <c r="B75" s="80" t="s">
        <v>2843</v>
      </c>
      <c r="C75" s="80" t="s">
        <v>2141</v>
      </c>
      <c r="D75" s="80" t="s">
        <v>2844</v>
      </c>
      <c r="E75" s="80" t="s">
        <v>2244</v>
      </c>
      <c r="F75" s="80" t="s">
        <v>2845</v>
      </c>
      <c r="J75" s="80" t="s">
        <v>2846</v>
      </c>
      <c r="M75" s="80" t="s">
        <v>2247</v>
      </c>
      <c r="O75" s="80" t="s">
        <v>2141</v>
      </c>
      <c r="P75" s="80" t="s">
        <v>2653</v>
      </c>
      <c r="Q75" s="80" t="s">
        <v>2844</v>
      </c>
      <c r="R75" s="80" t="s">
        <v>2847</v>
      </c>
      <c r="S75" s="80" t="s">
        <v>2244</v>
      </c>
      <c r="T75" s="80" t="s">
        <v>2251</v>
      </c>
      <c r="U75" s="80" t="s">
        <v>2627</v>
      </c>
      <c r="V75" s="80" t="s">
        <v>2848</v>
      </c>
      <c r="W75" s="80" t="s">
        <v>2270</v>
      </c>
      <c r="X75" s="80" t="s">
        <v>2478</v>
      </c>
      <c r="AA75" s="80" t="s">
        <v>2256</v>
      </c>
      <c r="AC75" s="80" t="s">
        <v>2656</v>
      </c>
      <c r="AE75" s="80" t="s">
        <v>2258</v>
      </c>
      <c r="AF75" s="80" t="s">
        <v>2272</v>
      </c>
      <c r="AL75" s="80" t="s">
        <v>2261</v>
      </c>
      <c r="AN75" s="80" t="s">
        <v>2845</v>
      </c>
      <c r="AP75" s="80" t="s">
        <v>2660</v>
      </c>
      <c r="AQ75" s="80" t="s">
        <v>2849</v>
      </c>
      <c r="AT75" s="80" t="s">
        <v>2256</v>
      </c>
      <c r="AU75" s="80" t="s">
        <v>2850</v>
      </c>
      <c r="AW75" s="80" t="s">
        <v>2577</v>
      </c>
    </row>
    <row r="76" spans="1:49">
      <c r="AP76" s="80" t="s">
        <v>2663</v>
      </c>
      <c r="AQ76" s="80" t="s">
        <v>2851</v>
      </c>
      <c r="AT76" s="80" t="s">
        <v>2256</v>
      </c>
      <c r="AU76" s="80" t="s">
        <v>2852</v>
      </c>
      <c r="AW76" s="80" t="s">
        <v>2265</v>
      </c>
    </row>
    <row r="77" spans="1:49">
      <c r="A77" s="80" t="s">
        <v>2241</v>
      </c>
      <c r="B77" s="80" t="s">
        <v>2853</v>
      </c>
      <c r="C77" s="80" t="s">
        <v>2141</v>
      </c>
      <c r="D77" s="80" t="s">
        <v>2854</v>
      </c>
      <c r="E77" s="80" t="s">
        <v>2244</v>
      </c>
      <c r="F77" s="80" t="s">
        <v>2855</v>
      </c>
      <c r="J77" s="80" t="s">
        <v>2856</v>
      </c>
      <c r="M77" s="80" t="s">
        <v>2247</v>
      </c>
      <c r="O77" s="80" t="s">
        <v>2141</v>
      </c>
      <c r="P77" s="80" t="s">
        <v>2653</v>
      </c>
      <c r="Q77" s="80" t="s">
        <v>2854</v>
      </c>
      <c r="R77" s="80" t="s">
        <v>2857</v>
      </c>
      <c r="S77" s="80" t="s">
        <v>2244</v>
      </c>
      <c r="T77" s="80" t="s">
        <v>2251</v>
      </c>
      <c r="U77" s="80" t="s">
        <v>2858</v>
      </c>
      <c r="V77" s="80" t="s">
        <v>2859</v>
      </c>
      <c r="W77" s="80" t="s">
        <v>2411</v>
      </c>
      <c r="X77" s="80" t="s">
        <v>2478</v>
      </c>
      <c r="AA77" s="80" t="s">
        <v>2256</v>
      </c>
      <c r="AC77" s="80" t="s">
        <v>2656</v>
      </c>
      <c r="AE77" s="80" t="s">
        <v>2258</v>
      </c>
      <c r="AF77" s="80" t="s">
        <v>2272</v>
      </c>
      <c r="AL77" s="80" t="s">
        <v>2261</v>
      </c>
      <c r="AN77" s="80" t="s">
        <v>2855</v>
      </c>
      <c r="AP77" s="80" t="s">
        <v>2660</v>
      </c>
      <c r="AQ77" s="80" t="s">
        <v>2860</v>
      </c>
      <c r="AT77" s="80" t="s">
        <v>2256</v>
      </c>
      <c r="AU77" s="80" t="s">
        <v>2861</v>
      </c>
      <c r="AW77" s="80" t="s">
        <v>2577</v>
      </c>
    </row>
    <row r="78" spans="1:49">
      <c r="AP78" s="80" t="s">
        <v>2663</v>
      </c>
      <c r="AQ78" s="80" t="s">
        <v>2862</v>
      </c>
      <c r="AT78" s="80" t="s">
        <v>2256</v>
      </c>
      <c r="AU78" s="80" t="s">
        <v>2863</v>
      </c>
      <c r="AW78" s="80" t="s">
        <v>2265</v>
      </c>
    </row>
    <row r="79" spans="1:49">
      <c r="A79" s="80" t="s">
        <v>2241</v>
      </c>
      <c r="B79" s="80" t="s">
        <v>2864</v>
      </c>
      <c r="C79" s="80" t="s">
        <v>2141</v>
      </c>
      <c r="D79" s="80" t="s">
        <v>2865</v>
      </c>
      <c r="E79" s="80" t="s">
        <v>2244</v>
      </c>
      <c r="F79" s="80" t="s">
        <v>2866</v>
      </c>
      <c r="J79" s="80" t="s">
        <v>2867</v>
      </c>
      <c r="M79" s="80" t="s">
        <v>2247</v>
      </c>
      <c r="O79" s="80" t="s">
        <v>2141</v>
      </c>
      <c r="P79" s="80" t="s">
        <v>2653</v>
      </c>
      <c r="Q79" s="80" t="s">
        <v>2865</v>
      </c>
      <c r="R79" s="80" t="s">
        <v>2868</v>
      </c>
      <c r="S79" s="80" t="s">
        <v>2244</v>
      </c>
      <c r="T79" s="80" t="s">
        <v>2251</v>
      </c>
      <c r="U79" s="80" t="s">
        <v>2869</v>
      </c>
      <c r="V79" s="80" t="s">
        <v>2870</v>
      </c>
      <c r="W79" s="80" t="s">
        <v>2871</v>
      </c>
      <c r="X79" s="80" t="s">
        <v>2412</v>
      </c>
      <c r="AA79" s="80" t="s">
        <v>2256</v>
      </c>
      <c r="AC79" s="80" t="s">
        <v>2656</v>
      </c>
      <c r="AE79" s="80" t="s">
        <v>2258</v>
      </c>
      <c r="AF79" s="80" t="s">
        <v>2272</v>
      </c>
      <c r="AI79" s="80" t="s">
        <v>2872</v>
      </c>
      <c r="AL79" s="80" t="s">
        <v>2261</v>
      </c>
      <c r="AN79" s="80" t="s">
        <v>2866</v>
      </c>
      <c r="AP79" s="80" t="s">
        <v>2666</v>
      </c>
      <c r="AQ79" s="80" t="s">
        <v>2873</v>
      </c>
      <c r="AT79" s="80" t="s">
        <v>2256</v>
      </c>
      <c r="AU79" s="80" t="s">
        <v>2874</v>
      </c>
      <c r="AW79" s="80" t="s">
        <v>2577</v>
      </c>
    </row>
    <row r="80" spans="1:49">
      <c r="AP80" s="80" t="s">
        <v>2657</v>
      </c>
      <c r="AQ80" s="80" t="s">
        <v>2875</v>
      </c>
      <c r="AT80" s="80" t="s">
        <v>2256</v>
      </c>
      <c r="AU80" s="80" t="s">
        <v>2876</v>
      </c>
      <c r="AW80" s="80" t="s">
        <v>2577</v>
      </c>
    </row>
    <row r="81" spans="1:49">
      <c r="AP81" s="80" t="s">
        <v>2663</v>
      </c>
      <c r="AQ81" s="80" t="s">
        <v>2877</v>
      </c>
      <c r="AT81" s="80" t="s">
        <v>2256</v>
      </c>
      <c r="AU81" s="80" t="s">
        <v>2878</v>
      </c>
      <c r="AW81" s="80" t="s">
        <v>2265</v>
      </c>
    </row>
    <row r="82" spans="1:49">
      <c r="AP82" s="80" t="s">
        <v>2660</v>
      </c>
      <c r="AQ82" s="80" t="s">
        <v>2879</v>
      </c>
      <c r="AT82" s="80" t="s">
        <v>2256</v>
      </c>
      <c r="AU82" s="80" t="s">
        <v>2880</v>
      </c>
      <c r="AW82" s="80" t="s">
        <v>2577</v>
      </c>
    </row>
    <row r="83" spans="1:49">
      <c r="A83" s="80" t="s">
        <v>2241</v>
      </c>
      <c r="B83" s="80" t="s">
        <v>2881</v>
      </c>
      <c r="C83" s="80" t="s">
        <v>2141</v>
      </c>
      <c r="D83" s="80" t="s">
        <v>2882</v>
      </c>
      <c r="E83" s="80" t="s">
        <v>2244</v>
      </c>
      <c r="F83" s="80" t="s">
        <v>2883</v>
      </c>
      <c r="J83" s="80" t="s">
        <v>2884</v>
      </c>
      <c r="M83" s="80" t="s">
        <v>2247</v>
      </c>
      <c r="O83" s="80" t="s">
        <v>2141</v>
      </c>
      <c r="P83" s="80" t="s">
        <v>2653</v>
      </c>
      <c r="Q83" s="80" t="s">
        <v>2882</v>
      </c>
      <c r="R83" s="80" t="s">
        <v>2885</v>
      </c>
      <c r="S83" s="80" t="s">
        <v>2244</v>
      </c>
      <c r="T83" s="80" t="s">
        <v>2251</v>
      </c>
      <c r="U83" s="80" t="s">
        <v>2241</v>
      </c>
      <c r="V83" s="80" t="s">
        <v>2886</v>
      </c>
      <c r="W83" s="80" t="s">
        <v>2887</v>
      </c>
      <c r="X83" s="80" t="s">
        <v>2271</v>
      </c>
      <c r="AA83" s="80" t="s">
        <v>2256</v>
      </c>
      <c r="AC83" s="80" t="s">
        <v>2656</v>
      </c>
      <c r="AE83" s="80" t="s">
        <v>2258</v>
      </c>
      <c r="AF83" s="80" t="s">
        <v>2272</v>
      </c>
      <c r="AI83" s="80" t="s">
        <v>2872</v>
      </c>
      <c r="AL83" s="80" t="s">
        <v>2261</v>
      </c>
      <c r="AN83" s="80" t="s">
        <v>2883</v>
      </c>
      <c r="AP83" s="80" t="s">
        <v>2666</v>
      </c>
      <c r="AQ83" s="80" t="s">
        <v>2888</v>
      </c>
      <c r="AT83" s="80" t="s">
        <v>2256</v>
      </c>
      <c r="AU83" s="80" t="s">
        <v>2889</v>
      </c>
      <c r="AW83" s="80" t="s">
        <v>2577</v>
      </c>
    </row>
    <row r="84" spans="1:49">
      <c r="AP84" s="80" t="s">
        <v>2657</v>
      </c>
      <c r="AQ84" s="80" t="s">
        <v>2890</v>
      </c>
      <c r="AT84" s="80" t="s">
        <v>2256</v>
      </c>
      <c r="AU84" s="80" t="s">
        <v>2891</v>
      </c>
      <c r="AW84" s="80" t="s">
        <v>2577</v>
      </c>
    </row>
    <row r="85" spans="1:49">
      <c r="AP85" s="80" t="s">
        <v>2663</v>
      </c>
      <c r="AQ85" s="80" t="s">
        <v>2892</v>
      </c>
      <c r="AT85" s="80" t="s">
        <v>2256</v>
      </c>
      <c r="AU85" s="80" t="s">
        <v>2893</v>
      </c>
      <c r="AW85" s="80" t="s">
        <v>2265</v>
      </c>
    </row>
    <row r="86" spans="1:49">
      <c r="AP86" s="80" t="s">
        <v>2660</v>
      </c>
      <c r="AQ86" s="80" t="s">
        <v>2894</v>
      </c>
      <c r="AT86" s="80" t="s">
        <v>2256</v>
      </c>
      <c r="AU86" s="80" t="s">
        <v>2895</v>
      </c>
      <c r="AW86" s="80" t="s">
        <v>2577</v>
      </c>
    </row>
    <row r="87" spans="1:49">
      <c r="A87" s="80" t="s">
        <v>2241</v>
      </c>
      <c r="B87" s="80" t="s">
        <v>2896</v>
      </c>
      <c r="C87" s="80" t="s">
        <v>2141</v>
      </c>
      <c r="D87" s="80" t="s">
        <v>2897</v>
      </c>
      <c r="E87" s="80" t="s">
        <v>2244</v>
      </c>
      <c r="F87" s="80" t="s">
        <v>2898</v>
      </c>
      <c r="J87" s="80" t="s">
        <v>2899</v>
      </c>
      <c r="M87" s="80" t="s">
        <v>2247</v>
      </c>
      <c r="O87" s="80" t="s">
        <v>2141</v>
      </c>
      <c r="P87" s="80" t="s">
        <v>2653</v>
      </c>
      <c r="Q87" s="80" t="s">
        <v>2897</v>
      </c>
      <c r="R87" s="80" t="s">
        <v>2900</v>
      </c>
      <c r="S87" s="80" t="s">
        <v>2244</v>
      </c>
      <c r="T87" s="80" t="s">
        <v>2251</v>
      </c>
      <c r="U87" s="80" t="s">
        <v>2322</v>
      </c>
      <c r="V87" s="80" t="s">
        <v>2901</v>
      </c>
      <c r="W87" s="80" t="s">
        <v>2871</v>
      </c>
      <c r="X87" s="80" t="s">
        <v>2610</v>
      </c>
      <c r="AA87" s="80" t="s">
        <v>2256</v>
      </c>
      <c r="AC87" s="80" t="s">
        <v>2656</v>
      </c>
      <c r="AE87" s="80" t="s">
        <v>2258</v>
      </c>
      <c r="AF87" s="80" t="s">
        <v>2272</v>
      </c>
      <c r="AI87" s="80" t="s">
        <v>2872</v>
      </c>
      <c r="AL87" s="80" t="s">
        <v>2261</v>
      </c>
      <c r="AN87" s="80" t="s">
        <v>2898</v>
      </c>
      <c r="AP87" s="80" t="s">
        <v>2657</v>
      </c>
      <c r="AQ87" s="80" t="s">
        <v>2902</v>
      </c>
      <c r="AT87" s="80" t="s">
        <v>2256</v>
      </c>
      <c r="AU87" s="80" t="s">
        <v>2903</v>
      </c>
      <c r="AW87" s="80" t="s">
        <v>2577</v>
      </c>
    </row>
    <row r="88" spans="1:49">
      <c r="AP88" s="80" t="s">
        <v>2663</v>
      </c>
      <c r="AQ88" s="80" t="s">
        <v>2904</v>
      </c>
      <c r="AT88" s="80" t="s">
        <v>2256</v>
      </c>
      <c r="AU88" s="80" t="s">
        <v>2905</v>
      </c>
      <c r="AW88" s="80" t="s">
        <v>2265</v>
      </c>
    </row>
    <row r="89" spans="1:49">
      <c r="AP89" s="80" t="s">
        <v>2660</v>
      </c>
      <c r="AQ89" s="80" t="s">
        <v>2906</v>
      </c>
      <c r="AT89" s="80" t="s">
        <v>2256</v>
      </c>
      <c r="AU89" s="80" t="s">
        <v>2907</v>
      </c>
      <c r="AW89" s="80" t="s">
        <v>2577</v>
      </c>
    </row>
    <row r="90" spans="1:49">
      <c r="AP90" s="80" t="s">
        <v>2666</v>
      </c>
      <c r="AQ90" s="80" t="s">
        <v>2908</v>
      </c>
      <c r="AT90" s="80" t="s">
        <v>2256</v>
      </c>
      <c r="AU90" s="80" t="s">
        <v>2909</v>
      </c>
      <c r="AW90" s="80" t="s">
        <v>2577</v>
      </c>
    </row>
    <row r="91" spans="1:49">
      <c r="A91" s="80" t="s">
        <v>2241</v>
      </c>
      <c r="B91" s="80" t="s">
        <v>2910</v>
      </c>
      <c r="C91" s="80" t="s">
        <v>2141</v>
      </c>
      <c r="D91" s="80" t="s">
        <v>2911</v>
      </c>
      <c r="E91" s="80" t="s">
        <v>2244</v>
      </c>
      <c r="F91" s="80" t="s">
        <v>2912</v>
      </c>
      <c r="J91" s="80" t="s">
        <v>2913</v>
      </c>
      <c r="M91" s="80" t="s">
        <v>2247</v>
      </c>
      <c r="O91" s="80" t="s">
        <v>2141</v>
      </c>
      <c r="P91" s="80" t="s">
        <v>2653</v>
      </c>
      <c r="Q91" s="80" t="s">
        <v>2911</v>
      </c>
      <c r="R91" s="80" t="s">
        <v>2914</v>
      </c>
      <c r="S91" s="80" t="s">
        <v>2244</v>
      </c>
      <c r="T91" s="80" t="s">
        <v>2251</v>
      </c>
      <c r="U91" s="80" t="s">
        <v>2539</v>
      </c>
      <c r="V91" s="80" t="s">
        <v>2915</v>
      </c>
      <c r="W91" s="80" t="s">
        <v>2871</v>
      </c>
      <c r="X91" s="80" t="s">
        <v>2610</v>
      </c>
      <c r="AA91" s="80" t="s">
        <v>2256</v>
      </c>
      <c r="AC91" s="80" t="s">
        <v>2656</v>
      </c>
      <c r="AE91" s="80" t="s">
        <v>2258</v>
      </c>
      <c r="AF91" s="80" t="s">
        <v>2272</v>
      </c>
      <c r="AI91" s="80" t="s">
        <v>2872</v>
      </c>
      <c r="AL91" s="80" t="s">
        <v>2261</v>
      </c>
      <c r="AN91" s="80" t="s">
        <v>2912</v>
      </c>
      <c r="AP91" s="80" t="s">
        <v>2666</v>
      </c>
      <c r="AQ91" s="80" t="s">
        <v>2916</v>
      </c>
      <c r="AT91" s="80" t="s">
        <v>2256</v>
      </c>
      <c r="AU91" s="80" t="s">
        <v>2917</v>
      </c>
      <c r="AW91" s="80" t="s">
        <v>2577</v>
      </c>
    </row>
    <row r="92" spans="1:49">
      <c r="AP92" s="80" t="s">
        <v>2657</v>
      </c>
      <c r="AQ92" s="80" t="s">
        <v>2918</v>
      </c>
      <c r="AT92" s="80" t="s">
        <v>2256</v>
      </c>
      <c r="AU92" s="80" t="s">
        <v>2919</v>
      </c>
      <c r="AW92" s="80" t="s">
        <v>2577</v>
      </c>
    </row>
    <row r="93" spans="1:49">
      <c r="AP93" s="80" t="s">
        <v>2663</v>
      </c>
      <c r="AQ93" s="80" t="s">
        <v>2920</v>
      </c>
      <c r="AU93" s="80" t="s">
        <v>2921</v>
      </c>
      <c r="AW93" s="80" t="s">
        <v>2265</v>
      </c>
    </row>
    <row r="94" spans="1:49">
      <c r="AP94" s="80" t="s">
        <v>2660</v>
      </c>
      <c r="AQ94" s="80" t="s">
        <v>2922</v>
      </c>
      <c r="AT94" s="80" t="s">
        <v>2256</v>
      </c>
      <c r="AU94" s="80" t="s">
        <v>2923</v>
      </c>
      <c r="AW94" s="80" t="s">
        <v>2577</v>
      </c>
    </row>
    <row r="95" spans="1:49">
      <c r="A95" s="80" t="s">
        <v>2241</v>
      </c>
      <c r="B95" s="80" t="s">
        <v>2924</v>
      </c>
      <c r="C95" s="80" t="s">
        <v>2141</v>
      </c>
      <c r="D95" s="80" t="s">
        <v>2925</v>
      </c>
      <c r="E95" s="80" t="s">
        <v>2244</v>
      </c>
      <c r="F95" s="80" t="s">
        <v>2926</v>
      </c>
      <c r="J95" s="80" t="s">
        <v>2927</v>
      </c>
      <c r="M95" s="80" t="s">
        <v>2247</v>
      </c>
      <c r="O95" s="80" t="s">
        <v>2141</v>
      </c>
      <c r="P95" s="80" t="s">
        <v>2653</v>
      </c>
      <c r="Q95" s="80" t="s">
        <v>2925</v>
      </c>
      <c r="R95" s="80" t="s">
        <v>2928</v>
      </c>
      <c r="S95" s="80" t="s">
        <v>2244</v>
      </c>
      <c r="T95" s="80" t="s">
        <v>2251</v>
      </c>
      <c r="U95" s="80" t="s">
        <v>2929</v>
      </c>
      <c r="V95" s="80" t="s">
        <v>2930</v>
      </c>
      <c r="W95" s="80" t="s">
        <v>2931</v>
      </c>
      <c r="X95" s="80" t="s">
        <v>2412</v>
      </c>
      <c r="AA95" s="80" t="s">
        <v>2256</v>
      </c>
      <c r="AC95" s="80" t="s">
        <v>2656</v>
      </c>
      <c r="AE95" s="80" t="s">
        <v>2258</v>
      </c>
      <c r="AF95" s="80" t="s">
        <v>2272</v>
      </c>
      <c r="AL95" s="80" t="s">
        <v>2261</v>
      </c>
      <c r="AN95" s="80" t="s">
        <v>2926</v>
      </c>
      <c r="AP95" s="80" t="s">
        <v>2660</v>
      </c>
      <c r="AQ95" s="80" t="s">
        <v>2932</v>
      </c>
      <c r="AT95" s="80" t="s">
        <v>2256</v>
      </c>
      <c r="AU95" s="80" t="s">
        <v>2933</v>
      </c>
      <c r="AW95" s="80" t="s">
        <v>2577</v>
      </c>
    </row>
    <row r="96" spans="1:49">
      <c r="AP96" s="80" t="s">
        <v>2663</v>
      </c>
      <c r="AQ96" s="80" t="s">
        <v>2934</v>
      </c>
      <c r="AT96" s="80" t="s">
        <v>2256</v>
      </c>
      <c r="AU96" s="80" t="s">
        <v>2935</v>
      </c>
      <c r="AW96" s="80" t="s">
        <v>2265</v>
      </c>
    </row>
    <row r="97" spans="1:49">
      <c r="AP97" s="80" t="s">
        <v>2657</v>
      </c>
      <c r="AQ97" s="80" t="s">
        <v>2936</v>
      </c>
      <c r="AT97" s="80" t="s">
        <v>2256</v>
      </c>
      <c r="AU97" s="80" t="s">
        <v>2937</v>
      </c>
      <c r="AW97" s="80" t="s">
        <v>2265</v>
      </c>
    </row>
    <row r="98" spans="1:49">
      <c r="AP98" s="80" t="s">
        <v>2666</v>
      </c>
      <c r="AQ98" s="80" t="s">
        <v>2938</v>
      </c>
      <c r="AT98" s="80" t="s">
        <v>2256</v>
      </c>
      <c r="AU98" s="80" t="s">
        <v>2939</v>
      </c>
      <c r="AW98" s="80" t="s">
        <v>2577</v>
      </c>
    </row>
    <row r="99" spans="1:49">
      <c r="A99" s="80" t="s">
        <v>2241</v>
      </c>
      <c r="B99" s="80" t="s">
        <v>2940</v>
      </c>
      <c r="C99" s="80" t="s">
        <v>2141</v>
      </c>
      <c r="D99" s="80" t="s">
        <v>2941</v>
      </c>
      <c r="E99" s="80" t="s">
        <v>2244</v>
      </c>
      <c r="F99" s="80" t="s">
        <v>2942</v>
      </c>
      <c r="J99" s="80" t="s">
        <v>2943</v>
      </c>
      <c r="M99" s="80" t="s">
        <v>2247</v>
      </c>
      <c r="O99" s="80" t="s">
        <v>2141</v>
      </c>
      <c r="P99" s="80" t="s">
        <v>2653</v>
      </c>
      <c r="Q99" s="80" t="s">
        <v>2941</v>
      </c>
      <c r="R99" s="80" t="s">
        <v>2944</v>
      </c>
      <c r="S99" s="80" t="s">
        <v>2244</v>
      </c>
      <c r="T99" s="80" t="s">
        <v>2251</v>
      </c>
      <c r="U99" s="80" t="s">
        <v>2252</v>
      </c>
      <c r="V99" s="80" t="s">
        <v>2945</v>
      </c>
      <c r="W99" s="80" t="s">
        <v>2270</v>
      </c>
      <c r="X99" s="80" t="s">
        <v>2291</v>
      </c>
      <c r="AA99" s="80" t="s">
        <v>2256</v>
      </c>
      <c r="AC99" s="80" t="s">
        <v>2656</v>
      </c>
      <c r="AE99" s="80" t="s">
        <v>2258</v>
      </c>
      <c r="AF99" s="80" t="s">
        <v>2272</v>
      </c>
      <c r="AL99" s="80" t="s">
        <v>2261</v>
      </c>
      <c r="AN99" s="80" t="s">
        <v>2942</v>
      </c>
      <c r="AP99" s="80" t="s">
        <v>2657</v>
      </c>
      <c r="AQ99" s="80" t="s">
        <v>2946</v>
      </c>
      <c r="AT99" s="80" t="s">
        <v>2256</v>
      </c>
      <c r="AU99" s="80" t="s">
        <v>2947</v>
      </c>
      <c r="AW99" s="80" t="s">
        <v>2577</v>
      </c>
    </row>
    <row r="100" spans="1:49">
      <c r="AP100" s="80" t="s">
        <v>2666</v>
      </c>
      <c r="AQ100" s="80" t="s">
        <v>2948</v>
      </c>
      <c r="AT100" s="80" t="s">
        <v>2256</v>
      </c>
      <c r="AU100" s="80" t="s">
        <v>2949</v>
      </c>
      <c r="AW100" s="80" t="s">
        <v>2577</v>
      </c>
    </row>
    <row r="101" spans="1:49">
      <c r="AP101" s="80" t="s">
        <v>2660</v>
      </c>
      <c r="AQ101" s="80" t="s">
        <v>2950</v>
      </c>
      <c r="AT101" s="80" t="s">
        <v>2256</v>
      </c>
      <c r="AU101" s="80" t="s">
        <v>2951</v>
      </c>
      <c r="AW101" s="80" t="s">
        <v>2577</v>
      </c>
    </row>
    <row r="102" spans="1:49">
      <c r="AP102" s="80" t="s">
        <v>2663</v>
      </c>
      <c r="AQ102" s="80" t="s">
        <v>2952</v>
      </c>
      <c r="AU102" s="80" t="s">
        <v>2953</v>
      </c>
      <c r="AW102" s="80" t="s">
        <v>2265</v>
      </c>
    </row>
    <row r="103" spans="1:49">
      <c r="A103" s="80" t="s">
        <v>2241</v>
      </c>
      <c r="B103" s="80" t="s">
        <v>2954</v>
      </c>
      <c r="C103" s="80" t="s">
        <v>2141</v>
      </c>
      <c r="D103" s="80" t="s">
        <v>2955</v>
      </c>
      <c r="E103" s="80" t="s">
        <v>2244</v>
      </c>
      <c r="F103" s="80" t="s">
        <v>2956</v>
      </c>
      <c r="J103" s="80" t="s">
        <v>2957</v>
      </c>
      <c r="M103" s="80" t="s">
        <v>2247</v>
      </c>
      <c r="O103" s="80" t="s">
        <v>2141</v>
      </c>
      <c r="P103" s="80" t="s">
        <v>2653</v>
      </c>
      <c r="Q103" s="80" t="s">
        <v>2955</v>
      </c>
      <c r="R103" s="80" t="s">
        <v>2958</v>
      </c>
      <c r="S103" s="80" t="s">
        <v>2244</v>
      </c>
      <c r="T103" s="80" t="s">
        <v>2251</v>
      </c>
      <c r="U103" s="80" t="s">
        <v>2959</v>
      </c>
      <c r="V103" s="80" t="s">
        <v>2960</v>
      </c>
      <c r="W103" s="80" t="s">
        <v>2871</v>
      </c>
      <c r="X103" s="80" t="s">
        <v>2412</v>
      </c>
      <c r="AA103" s="80" t="s">
        <v>2256</v>
      </c>
      <c r="AC103" s="80" t="s">
        <v>2656</v>
      </c>
      <c r="AE103" s="80" t="s">
        <v>2258</v>
      </c>
      <c r="AF103" s="80" t="s">
        <v>2272</v>
      </c>
      <c r="AI103" s="80" t="s">
        <v>2872</v>
      </c>
      <c r="AL103" s="80" t="s">
        <v>2261</v>
      </c>
      <c r="AN103" s="80" t="s">
        <v>2956</v>
      </c>
      <c r="AP103" s="80" t="s">
        <v>2657</v>
      </c>
      <c r="AQ103" s="80" t="s">
        <v>2961</v>
      </c>
      <c r="AT103" s="80" t="s">
        <v>2256</v>
      </c>
      <c r="AU103" s="80" t="s">
        <v>2962</v>
      </c>
      <c r="AW103" s="80" t="s">
        <v>2577</v>
      </c>
    </row>
    <row r="104" spans="1:49">
      <c r="AP104" s="80" t="s">
        <v>2663</v>
      </c>
      <c r="AQ104" s="80" t="s">
        <v>2963</v>
      </c>
      <c r="AT104" s="80" t="s">
        <v>2256</v>
      </c>
      <c r="AU104" s="80" t="s">
        <v>2964</v>
      </c>
      <c r="AW104" s="80" t="s">
        <v>2265</v>
      </c>
    </row>
    <row r="105" spans="1:49">
      <c r="AP105" s="80" t="s">
        <v>2660</v>
      </c>
      <c r="AQ105" s="80" t="s">
        <v>2965</v>
      </c>
      <c r="AT105" s="80" t="s">
        <v>2256</v>
      </c>
      <c r="AU105" s="80" t="s">
        <v>2966</v>
      </c>
      <c r="AW105" s="80" t="s">
        <v>2577</v>
      </c>
    </row>
    <row r="106" spans="1:49">
      <c r="AP106" s="80" t="s">
        <v>2666</v>
      </c>
      <c r="AQ106" s="80" t="s">
        <v>2967</v>
      </c>
      <c r="AT106" s="80" t="s">
        <v>2256</v>
      </c>
      <c r="AU106" s="80" t="s">
        <v>2968</v>
      </c>
      <c r="AW106" s="80" t="s">
        <v>2577</v>
      </c>
    </row>
    <row r="107" spans="1:49">
      <c r="A107" s="80" t="s">
        <v>2241</v>
      </c>
      <c r="B107" s="80" t="s">
        <v>2969</v>
      </c>
      <c r="C107" s="80" t="s">
        <v>2141</v>
      </c>
      <c r="D107" s="80" t="s">
        <v>2970</v>
      </c>
      <c r="E107" s="80" t="s">
        <v>2244</v>
      </c>
      <c r="F107" s="80" t="s">
        <v>2971</v>
      </c>
      <c r="J107" s="80" t="s">
        <v>2972</v>
      </c>
      <c r="M107" s="80" t="s">
        <v>2247</v>
      </c>
      <c r="O107" s="80" t="s">
        <v>2141</v>
      </c>
      <c r="P107" s="80" t="s">
        <v>2653</v>
      </c>
      <c r="Q107" s="80" t="s">
        <v>2970</v>
      </c>
      <c r="R107" s="80" t="s">
        <v>2973</v>
      </c>
      <c r="S107" s="80" t="s">
        <v>2244</v>
      </c>
      <c r="T107" s="80" t="s">
        <v>2251</v>
      </c>
      <c r="U107" s="80" t="s">
        <v>2241</v>
      </c>
      <c r="V107" s="80" t="s">
        <v>2974</v>
      </c>
      <c r="W107" s="80" t="s">
        <v>2975</v>
      </c>
      <c r="X107" s="80" t="s">
        <v>2976</v>
      </c>
      <c r="AA107" s="80" t="s">
        <v>2256</v>
      </c>
      <c r="AC107" s="80" t="s">
        <v>2656</v>
      </c>
      <c r="AE107" s="80" t="s">
        <v>2258</v>
      </c>
      <c r="AF107" s="80" t="s">
        <v>2272</v>
      </c>
      <c r="AL107" s="80" t="s">
        <v>2261</v>
      </c>
      <c r="AN107" s="80" t="s">
        <v>2971</v>
      </c>
      <c r="AP107" s="80" t="s">
        <v>2660</v>
      </c>
      <c r="AQ107" s="80" t="s">
        <v>2977</v>
      </c>
      <c r="AS107" s="80" t="s">
        <v>2978</v>
      </c>
      <c r="AT107" s="80" t="s">
        <v>2256</v>
      </c>
      <c r="AU107" s="80" t="s">
        <v>2979</v>
      </c>
      <c r="AW107" s="80" t="s">
        <v>2577</v>
      </c>
    </row>
    <row r="108" spans="1:49">
      <c r="AP108" s="80" t="s">
        <v>2666</v>
      </c>
      <c r="AQ108" s="80" t="s">
        <v>2980</v>
      </c>
      <c r="AS108" s="80" t="s">
        <v>2978</v>
      </c>
      <c r="AT108" s="80" t="s">
        <v>2256</v>
      </c>
      <c r="AU108" s="80" t="s">
        <v>2981</v>
      </c>
      <c r="AW108" s="80" t="s">
        <v>2577</v>
      </c>
    </row>
    <row r="109" spans="1:49">
      <c r="AP109" s="80" t="s">
        <v>2657</v>
      </c>
      <c r="AQ109" s="80" t="s">
        <v>2982</v>
      </c>
      <c r="AS109" s="80" t="s">
        <v>2978</v>
      </c>
      <c r="AT109" s="80" t="s">
        <v>2256</v>
      </c>
      <c r="AU109" s="80" t="s">
        <v>2983</v>
      </c>
      <c r="AW109" s="80" t="s">
        <v>2577</v>
      </c>
    </row>
    <row r="110" spans="1:49">
      <c r="AP110" s="80" t="s">
        <v>2663</v>
      </c>
      <c r="AQ110" s="80" t="s">
        <v>2984</v>
      </c>
      <c r="AS110" s="80" t="s">
        <v>2978</v>
      </c>
      <c r="AT110" s="80" t="s">
        <v>2256</v>
      </c>
      <c r="AU110" s="80" t="s">
        <v>2985</v>
      </c>
      <c r="AW110" s="80" t="s">
        <v>2265</v>
      </c>
    </row>
    <row r="111" spans="1:49">
      <c r="A111" s="80" t="s">
        <v>2241</v>
      </c>
      <c r="B111" s="80" t="s">
        <v>2986</v>
      </c>
      <c r="C111" s="80" t="s">
        <v>2141</v>
      </c>
      <c r="D111" s="80" t="s">
        <v>2987</v>
      </c>
      <c r="E111" s="80" t="s">
        <v>2244</v>
      </c>
      <c r="F111" s="80" t="s">
        <v>2988</v>
      </c>
      <c r="J111" s="80" t="s">
        <v>2989</v>
      </c>
      <c r="M111" s="80" t="s">
        <v>2247</v>
      </c>
      <c r="O111" s="80" t="s">
        <v>2141</v>
      </c>
      <c r="P111" s="80" t="s">
        <v>2653</v>
      </c>
      <c r="Q111" s="80" t="s">
        <v>2987</v>
      </c>
      <c r="R111" s="80" t="s">
        <v>2990</v>
      </c>
      <c r="S111" s="80" t="s">
        <v>2244</v>
      </c>
      <c r="T111" s="80" t="s">
        <v>2251</v>
      </c>
      <c r="U111" s="80" t="s">
        <v>2991</v>
      </c>
      <c r="V111" s="80" t="s">
        <v>2992</v>
      </c>
      <c r="W111" s="80" t="s">
        <v>2311</v>
      </c>
      <c r="X111" s="80" t="s">
        <v>2283</v>
      </c>
      <c r="AA111" s="80" t="s">
        <v>2256</v>
      </c>
      <c r="AC111" s="80" t="s">
        <v>2656</v>
      </c>
      <c r="AE111" s="80" t="s">
        <v>2258</v>
      </c>
      <c r="AF111" s="80" t="s">
        <v>2272</v>
      </c>
      <c r="AL111" s="80" t="s">
        <v>2261</v>
      </c>
      <c r="AN111" s="80" t="s">
        <v>2988</v>
      </c>
      <c r="AP111" s="80" t="s">
        <v>2663</v>
      </c>
      <c r="AQ111" s="80" t="s">
        <v>2993</v>
      </c>
      <c r="AT111" s="80" t="s">
        <v>2256</v>
      </c>
      <c r="AU111" s="80" t="s">
        <v>2994</v>
      </c>
      <c r="AW111" s="80" t="s">
        <v>2265</v>
      </c>
    </row>
    <row r="112" spans="1:49">
      <c r="AP112" s="80" t="s">
        <v>2666</v>
      </c>
      <c r="AQ112" s="80" t="s">
        <v>2995</v>
      </c>
      <c r="AT112" s="80" t="s">
        <v>2256</v>
      </c>
      <c r="AU112" s="80" t="s">
        <v>2996</v>
      </c>
      <c r="AW112" s="80" t="s">
        <v>2265</v>
      </c>
    </row>
    <row r="113" spans="1:49">
      <c r="AP113" s="80" t="s">
        <v>2660</v>
      </c>
      <c r="AQ113" s="80" t="s">
        <v>2997</v>
      </c>
      <c r="AT113" s="80" t="s">
        <v>2256</v>
      </c>
      <c r="AU113" s="80" t="s">
        <v>2998</v>
      </c>
      <c r="AW113" s="80" t="s">
        <v>2265</v>
      </c>
    </row>
    <row r="114" spans="1:49">
      <c r="AP114" s="80" t="s">
        <v>2657</v>
      </c>
      <c r="AQ114" s="80" t="s">
        <v>2999</v>
      </c>
      <c r="AT114" s="80" t="s">
        <v>2256</v>
      </c>
      <c r="AU114" s="80" t="s">
        <v>3000</v>
      </c>
      <c r="AW114" s="80" t="s">
        <v>2265</v>
      </c>
    </row>
    <row r="115" spans="1:49">
      <c r="A115" s="80" t="s">
        <v>2241</v>
      </c>
      <c r="B115" s="80" t="s">
        <v>3001</v>
      </c>
      <c r="C115" s="80" t="s">
        <v>2141</v>
      </c>
      <c r="D115" s="80" t="s">
        <v>3002</v>
      </c>
      <c r="E115" s="80" t="s">
        <v>2244</v>
      </c>
      <c r="F115" s="80" t="s">
        <v>3003</v>
      </c>
      <c r="J115" s="80" t="s">
        <v>3004</v>
      </c>
      <c r="M115" s="80" t="s">
        <v>2247</v>
      </c>
      <c r="O115" s="80" t="s">
        <v>2141</v>
      </c>
      <c r="P115" s="80" t="s">
        <v>2653</v>
      </c>
      <c r="Q115" s="80" t="s">
        <v>3002</v>
      </c>
      <c r="R115" s="80" t="s">
        <v>3005</v>
      </c>
      <c r="S115" s="80" t="s">
        <v>2244</v>
      </c>
      <c r="T115" s="80" t="s">
        <v>2251</v>
      </c>
      <c r="U115" s="80" t="s">
        <v>2550</v>
      </c>
      <c r="V115" s="80" t="s">
        <v>3006</v>
      </c>
      <c r="W115" s="80" t="s">
        <v>2975</v>
      </c>
      <c r="X115" s="80" t="s">
        <v>3007</v>
      </c>
      <c r="AA115" s="80" t="s">
        <v>2256</v>
      </c>
      <c r="AC115" s="80" t="s">
        <v>2656</v>
      </c>
      <c r="AE115" s="80" t="s">
        <v>2258</v>
      </c>
      <c r="AF115" s="80" t="s">
        <v>2272</v>
      </c>
      <c r="AL115" s="80" t="s">
        <v>2261</v>
      </c>
      <c r="AN115" s="80" t="s">
        <v>3003</v>
      </c>
      <c r="AP115" s="80" t="s">
        <v>2660</v>
      </c>
      <c r="AQ115" s="80" t="s">
        <v>3008</v>
      </c>
      <c r="AS115" s="80" t="s">
        <v>2978</v>
      </c>
      <c r="AT115" s="80" t="s">
        <v>2256</v>
      </c>
      <c r="AU115" s="80" t="s">
        <v>3009</v>
      </c>
      <c r="AW115" s="80" t="s">
        <v>2577</v>
      </c>
    </row>
    <row r="116" spans="1:49">
      <c r="AP116" s="80" t="s">
        <v>2666</v>
      </c>
      <c r="AQ116" s="80" t="s">
        <v>3010</v>
      </c>
      <c r="AS116" s="80" t="s">
        <v>2978</v>
      </c>
      <c r="AT116" s="80" t="s">
        <v>2256</v>
      </c>
      <c r="AU116" s="80" t="s">
        <v>3011</v>
      </c>
      <c r="AW116" s="80" t="s">
        <v>2577</v>
      </c>
    </row>
    <row r="117" spans="1:49">
      <c r="AP117" s="80" t="s">
        <v>2663</v>
      </c>
      <c r="AQ117" s="80" t="s">
        <v>3012</v>
      </c>
      <c r="AS117" s="80" t="s">
        <v>2978</v>
      </c>
      <c r="AT117" s="80" t="s">
        <v>2256</v>
      </c>
      <c r="AU117" s="80" t="s">
        <v>3013</v>
      </c>
      <c r="AW117" s="80" t="s">
        <v>2265</v>
      </c>
    </row>
    <row r="118" spans="1:49">
      <c r="AP118" s="80" t="s">
        <v>2657</v>
      </c>
      <c r="AQ118" s="80" t="s">
        <v>3014</v>
      </c>
      <c r="AS118" s="80" t="s">
        <v>2978</v>
      </c>
      <c r="AT118" s="80" t="s">
        <v>2256</v>
      </c>
      <c r="AU118" s="80" t="s">
        <v>3015</v>
      </c>
      <c r="AW118" s="80" t="s">
        <v>2577</v>
      </c>
    </row>
    <row r="119" spans="1:49">
      <c r="A119" s="80" t="s">
        <v>2241</v>
      </c>
      <c r="B119" s="80" t="s">
        <v>3016</v>
      </c>
      <c r="C119" s="80" t="s">
        <v>2141</v>
      </c>
      <c r="D119" s="80" t="s">
        <v>3017</v>
      </c>
      <c r="E119" s="80" t="s">
        <v>2244</v>
      </c>
      <c r="F119" s="80" t="s">
        <v>2483</v>
      </c>
      <c r="J119" s="80" t="s">
        <v>3018</v>
      </c>
      <c r="M119" s="80" t="s">
        <v>2247</v>
      </c>
      <c r="O119" s="80" t="s">
        <v>2141</v>
      </c>
      <c r="P119" s="80" t="s">
        <v>2653</v>
      </c>
      <c r="Q119" s="80" t="s">
        <v>3017</v>
      </c>
      <c r="R119" s="80" t="s">
        <v>3019</v>
      </c>
      <c r="S119" s="80" t="s">
        <v>2244</v>
      </c>
      <c r="T119" s="80" t="s">
        <v>2251</v>
      </c>
      <c r="U119" s="80" t="s">
        <v>2241</v>
      </c>
      <c r="V119" s="80" t="s">
        <v>3020</v>
      </c>
      <c r="W119" s="80" t="s">
        <v>2270</v>
      </c>
      <c r="X119" s="80" t="s">
        <v>2478</v>
      </c>
      <c r="AA119" s="80" t="s">
        <v>2256</v>
      </c>
      <c r="AC119" s="80" t="s">
        <v>2656</v>
      </c>
      <c r="AE119" s="80" t="s">
        <v>2258</v>
      </c>
      <c r="AF119" s="80" t="s">
        <v>2272</v>
      </c>
      <c r="AL119" s="80" t="s">
        <v>2261</v>
      </c>
      <c r="AN119" s="80" t="s">
        <v>2483</v>
      </c>
      <c r="AP119" s="80" t="s">
        <v>2663</v>
      </c>
      <c r="AQ119" s="80" t="s">
        <v>3021</v>
      </c>
      <c r="AT119" s="80" t="s">
        <v>2256</v>
      </c>
      <c r="AU119" s="80" t="s">
        <v>3022</v>
      </c>
      <c r="AW119" s="80" t="s">
        <v>2265</v>
      </c>
    </row>
    <row r="120" spans="1:49">
      <c r="AP120" s="80" t="s">
        <v>2660</v>
      </c>
      <c r="AQ120" s="80" t="s">
        <v>3023</v>
      </c>
      <c r="AT120" s="80" t="s">
        <v>2256</v>
      </c>
      <c r="AU120" s="80" t="s">
        <v>3024</v>
      </c>
      <c r="AW120" s="80" t="s">
        <v>2577</v>
      </c>
    </row>
    <row r="121" spans="1:49">
      <c r="AP121" s="80" t="s">
        <v>2666</v>
      </c>
      <c r="AQ121" s="80" t="s">
        <v>3025</v>
      </c>
      <c r="AT121" s="80" t="s">
        <v>2256</v>
      </c>
      <c r="AU121" s="80" t="s">
        <v>3026</v>
      </c>
      <c r="AW121" s="80" t="s">
        <v>2577</v>
      </c>
    </row>
    <row r="122" spans="1:49">
      <c r="AP122" s="80" t="s">
        <v>2657</v>
      </c>
      <c r="AQ122" s="80" t="s">
        <v>3027</v>
      </c>
      <c r="AT122" s="80" t="s">
        <v>2256</v>
      </c>
      <c r="AU122" s="80" t="s">
        <v>3028</v>
      </c>
      <c r="AW122" s="80" t="s">
        <v>2577</v>
      </c>
    </row>
    <row r="123" spans="1:49">
      <c r="A123" s="80" t="s">
        <v>2241</v>
      </c>
      <c r="B123" s="80" t="s">
        <v>3029</v>
      </c>
      <c r="C123" s="80" t="s">
        <v>2141</v>
      </c>
      <c r="D123" s="80" t="s">
        <v>3030</v>
      </c>
      <c r="E123" s="80" t="s">
        <v>2244</v>
      </c>
      <c r="F123" s="80" t="s">
        <v>3031</v>
      </c>
      <c r="J123" s="80" t="s">
        <v>3032</v>
      </c>
      <c r="M123" s="80" t="s">
        <v>2247</v>
      </c>
      <c r="O123" s="80" t="s">
        <v>2141</v>
      </c>
      <c r="P123" s="80" t="s">
        <v>2653</v>
      </c>
      <c r="Q123" s="80" t="s">
        <v>3030</v>
      </c>
      <c r="R123" s="80" t="s">
        <v>3033</v>
      </c>
      <c r="S123" s="80" t="s">
        <v>2244</v>
      </c>
      <c r="T123" s="80" t="s">
        <v>2251</v>
      </c>
      <c r="U123" s="80" t="s">
        <v>3034</v>
      </c>
      <c r="V123" s="80" t="s">
        <v>3035</v>
      </c>
      <c r="W123" s="80" t="s">
        <v>2871</v>
      </c>
      <c r="X123" s="80" t="s">
        <v>2610</v>
      </c>
      <c r="AA123" s="80" t="s">
        <v>2256</v>
      </c>
      <c r="AC123" s="80" t="s">
        <v>2656</v>
      </c>
      <c r="AE123" s="80" t="s">
        <v>2258</v>
      </c>
      <c r="AF123" s="80" t="s">
        <v>2272</v>
      </c>
      <c r="AI123" s="80" t="s">
        <v>2872</v>
      </c>
      <c r="AL123" s="80" t="s">
        <v>2261</v>
      </c>
      <c r="AN123" s="80" t="s">
        <v>3031</v>
      </c>
      <c r="AP123" s="80" t="s">
        <v>2663</v>
      </c>
      <c r="AQ123" s="80" t="s">
        <v>3036</v>
      </c>
      <c r="AT123" s="80" t="s">
        <v>2256</v>
      </c>
      <c r="AU123" s="80" t="s">
        <v>3037</v>
      </c>
      <c r="AW123" s="80" t="s">
        <v>2265</v>
      </c>
    </row>
    <row r="124" spans="1:49">
      <c r="AP124" s="80" t="s">
        <v>2660</v>
      </c>
      <c r="AQ124" s="80" t="s">
        <v>3038</v>
      </c>
      <c r="AT124" s="80" t="s">
        <v>2256</v>
      </c>
      <c r="AU124" s="80" t="s">
        <v>3039</v>
      </c>
      <c r="AW124" s="80" t="s">
        <v>2577</v>
      </c>
    </row>
    <row r="125" spans="1:49">
      <c r="AP125" s="80" t="s">
        <v>2666</v>
      </c>
      <c r="AQ125" s="80" t="s">
        <v>3040</v>
      </c>
      <c r="AT125" s="80" t="s">
        <v>2256</v>
      </c>
      <c r="AU125" s="80" t="s">
        <v>3041</v>
      </c>
      <c r="AW125" s="80" t="s">
        <v>2577</v>
      </c>
    </row>
    <row r="126" spans="1:49">
      <c r="AP126" s="80" t="s">
        <v>2657</v>
      </c>
      <c r="AQ126" s="80" t="s">
        <v>3042</v>
      </c>
      <c r="AT126" s="80" t="s">
        <v>2256</v>
      </c>
      <c r="AU126" s="80" t="s">
        <v>3043</v>
      </c>
      <c r="AW126" s="80" t="s">
        <v>2577</v>
      </c>
    </row>
    <row r="127" spans="1:49">
      <c r="A127" s="80" t="s">
        <v>2241</v>
      </c>
      <c r="B127" s="80" t="s">
        <v>3044</v>
      </c>
      <c r="C127" s="80" t="s">
        <v>2141</v>
      </c>
      <c r="D127" s="80" t="s">
        <v>3045</v>
      </c>
      <c r="E127" s="80" t="s">
        <v>2244</v>
      </c>
      <c r="F127" s="80" t="s">
        <v>3046</v>
      </c>
      <c r="J127" s="80" t="s">
        <v>3047</v>
      </c>
      <c r="M127" s="80" t="s">
        <v>2247</v>
      </c>
      <c r="O127" s="80" t="s">
        <v>2141</v>
      </c>
      <c r="P127" s="80" t="s">
        <v>2653</v>
      </c>
      <c r="Q127" s="80" t="s">
        <v>3045</v>
      </c>
      <c r="R127" s="80" t="s">
        <v>3048</v>
      </c>
      <c r="S127" s="80" t="s">
        <v>2244</v>
      </c>
      <c r="T127" s="80" t="s">
        <v>2251</v>
      </c>
      <c r="U127" s="80" t="s">
        <v>2252</v>
      </c>
      <c r="V127" s="80" t="s">
        <v>3049</v>
      </c>
      <c r="W127" s="80" t="s">
        <v>2254</v>
      </c>
      <c r="X127" s="80" t="s">
        <v>2412</v>
      </c>
      <c r="AA127" s="80" t="s">
        <v>2256</v>
      </c>
      <c r="AC127" s="80" t="s">
        <v>2656</v>
      </c>
      <c r="AE127" s="80" t="s">
        <v>2258</v>
      </c>
      <c r="AF127" s="80" t="s">
        <v>2272</v>
      </c>
      <c r="AL127" s="80" t="s">
        <v>2261</v>
      </c>
      <c r="AN127" s="80" t="s">
        <v>3046</v>
      </c>
      <c r="AP127" s="80" t="s">
        <v>2657</v>
      </c>
      <c r="AQ127" s="80" t="s">
        <v>3050</v>
      </c>
      <c r="AT127" s="80" t="s">
        <v>2256</v>
      </c>
      <c r="AU127" s="80" t="s">
        <v>3051</v>
      </c>
      <c r="AW127" s="80" t="s">
        <v>2577</v>
      </c>
    </row>
    <row r="128" spans="1:49">
      <c r="AP128" s="80" t="s">
        <v>2660</v>
      </c>
      <c r="AQ128" s="80" t="s">
        <v>3052</v>
      </c>
      <c r="AT128" s="80" t="s">
        <v>2256</v>
      </c>
      <c r="AU128" s="80" t="s">
        <v>3053</v>
      </c>
      <c r="AW128" s="80" t="s">
        <v>2577</v>
      </c>
    </row>
    <row r="129" spans="1:49">
      <c r="AP129" s="80" t="s">
        <v>2666</v>
      </c>
      <c r="AQ129" s="80" t="s">
        <v>3054</v>
      </c>
      <c r="AT129" s="80" t="s">
        <v>2256</v>
      </c>
      <c r="AU129" s="80" t="s">
        <v>3055</v>
      </c>
      <c r="AW129" s="80" t="s">
        <v>2577</v>
      </c>
    </row>
    <row r="130" spans="1:49">
      <c r="AP130" s="80" t="s">
        <v>2663</v>
      </c>
      <c r="AQ130" s="80" t="s">
        <v>3056</v>
      </c>
      <c r="AT130" s="80" t="s">
        <v>2256</v>
      </c>
      <c r="AU130" s="80" t="s">
        <v>3057</v>
      </c>
      <c r="AW130" s="80" t="s">
        <v>2265</v>
      </c>
    </row>
    <row r="131" spans="1:49">
      <c r="A131" s="80" t="s">
        <v>2241</v>
      </c>
      <c r="B131" s="80" t="s">
        <v>3058</v>
      </c>
      <c r="C131" s="80" t="s">
        <v>2141</v>
      </c>
      <c r="D131" s="80" t="s">
        <v>3059</v>
      </c>
      <c r="E131" s="80" t="s">
        <v>2244</v>
      </c>
      <c r="F131" s="80" t="s">
        <v>3060</v>
      </c>
      <c r="J131" s="80" t="s">
        <v>3061</v>
      </c>
      <c r="M131" s="80" t="s">
        <v>2247</v>
      </c>
      <c r="O131" s="80" t="s">
        <v>2141</v>
      </c>
      <c r="P131" s="80" t="s">
        <v>2653</v>
      </c>
      <c r="Q131" s="80" t="s">
        <v>3059</v>
      </c>
      <c r="R131" s="80" t="s">
        <v>3062</v>
      </c>
      <c r="S131" s="80" t="s">
        <v>2244</v>
      </c>
      <c r="T131" s="80" t="s">
        <v>2251</v>
      </c>
      <c r="U131" s="80" t="s">
        <v>2252</v>
      </c>
      <c r="V131" s="80" t="s">
        <v>3063</v>
      </c>
      <c r="W131" s="80" t="s">
        <v>2311</v>
      </c>
      <c r="X131" s="80" t="s">
        <v>2283</v>
      </c>
      <c r="AA131" s="80" t="s">
        <v>2256</v>
      </c>
      <c r="AC131" s="80" t="s">
        <v>2656</v>
      </c>
      <c r="AE131" s="80" t="s">
        <v>2258</v>
      </c>
      <c r="AF131" s="80" t="s">
        <v>2272</v>
      </c>
      <c r="AI131" s="80" t="s">
        <v>2872</v>
      </c>
      <c r="AL131" s="80" t="s">
        <v>2261</v>
      </c>
      <c r="AN131" s="80" t="s">
        <v>3060</v>
      </c>
      <c r="AP131" s="80" t="s">
        <v>2666</v>
      </c>
      <c r="AQ131" s="80" t="s">
        <v>3064</v>
      </c>
      <c r="AU131" s="80" t="s">
        <v>3065</v>
      </c>
      <c r="AW131" s="80" t="s">
        <v>2265</v>
      </c>
    </row>
    <row r="132" spans="1:49">
      <c r="AP132" s="80" t="s">
        <v>2657</v>
      </c>
      <c r="AQ132" s="80" t="s">
        <v>3066</v>
      </c>
      <c r="AU132" s="80" t="s">
        <v>3067</v>
      </c>
      <c r="AW132" s="80" t="s">
        <v>2265</v>
      </c>
    </row>
    <row r="133" spans="1:49">
      <c r="AP133" s="80" t="s">
        <v>2663</v>
      </c>
      <c r="AQ133" s="80" t="s">
        <v>3068</v>
      </c>
      <c r="AU133" s="80" t="s">
        <v>3069</v>
      </c>
      <c r="AW133" s="80" t="s">
        <v>2265</v>
      </c>
    </row>
    <row r="134" spans="1:49">
      <c r="AP134" s="80" t="s">
        <v>2660</v>
      </c>
      <c r="AQ134" s="80" t="s">
        <v>3070</v>
      </c>
      <c r="AU134" s="80" t="s">
        <v>3071</v>
      </c>
      <c r="AW134" s="80" t="s">
        <v>2265</v>
      </c>
    </row>
    <row r="135" spans="1:49">
      <c r="A135" s="80" t="s">
        <v>2241</v>
      </c>
      <c r="B135" s="80" t="s">
        <v>3072</v>
      </c>
      <c r="C135" s="80" t="s">
        <v>2141</v>
      </c>
      <c r="D135" s="80" t="s">
        <v>3073</v>
      </c>
      <c r="E135" s="80" t="s">
        <v>2244</v>
      </c>
      <c r="F135" s="80" t="s">
        <v>3074</v>
      </c>
      <c r="J135" s="80" t="s">
        <v>3075</v>
      </c>
      <c r="M135" s="80" t="s">
        <v>2247</v>
      </c>
      <c r="O135" s="80" t="s">
        <v>2141</v>
      </c>
      <c r="P135" s="80" t="s">
        <v>2653</v>
      </c>
      <c r="Q135" s="80" t="s">
        <v>3073</v>
      </c>
      <c r="R135" s="80" t="s">
        <v>3076</v>
      </c>
      <c r="S135" s="80" t="s">
        <v>2244</v>
      </c>
      <c r="T135" s="80" t="s">
        <v>2251</v>
      </c>
      <c r="U135" s="80" t="s">
        <v>2929</v>
      </c>
      <c r="V135" s="80" t="s">
        <v>3077</v>
      </c>
      <c r="W135" s="80" t="s">
        <v>3078</v>
      </c>
      <c r="X135" s="80" t="s">
        <v>3007</v>
      </c>
      <c r="AA135" s="80" t="s">
        <v>2256</v>
      </c>
      <c r="AC135" s="80" t="s">
        <v>2656</v>
      </c>
      <c r="AE135" s="80" t="s">
        <v>2258</v>
      </c>
      <c r="AF135" s="80" t="s">
        <v>2272</v>
      </c>
      <c r="AL135" s="80" t="s">
        <v>2261</v>
      </c>
      <c r="AN135" s="80" t="s">
        <v>3074</v>
      </c>
      <c r="AP135" s="80" t="s">
        <v>2663</v>
      </c>
      <c r="AQ135" s="80" t="s">
        <v>3079</v>
      </c>
      <c r="AT135" s="80" t="s">
        <v>2256</v>
      </c>
      <c r="AU135" s="80" t="s">
        <v>3080</v>
      </c>
      <c r="AW135" s="80" t="s">
        <v>2265</v>
      </c>
    </row>
    <row r="136" spans="1:49">
      <c r="AP136" s="80" t="s">
        <v>2660</v>
      </c>
      <c r="AQ136" s="80" t="s">
        <v>3081</v>
      </c>
      <c r="AT136" s="80" t="s">
        <v>2256</v>
      </c>
      <c r="AU136" s="80" t="s">
        <v>3082</v>
      </c>
      <c r="AW136" s="80" t="s">
        <v>2577</v>
      </c>
    </row>
    <row r="137" spans="1:49">
      <c r="AP137" s="80" t="s">
        <v>2666</v>
      </c>
      <c r="AQ137" s="80" t="s">
        <v>3083</v>
      </c>
      <c r="AT137" s="80" t="s">
        <v>2256</v>
      </c>
      <c r="AU137" s="80" t="s">
        <v>3084</v>
      </c>
      <c r="AW137" s="80" t="s">
        <v>2577</v>
      </c>
    </row>
    <row r="138" spans="1:49">
      <c r="AP138" s="80" t="s">
        <v>2657</v>
      </c>
      <c r="AQ138" s="80" t="s">
        <v>3085</v>
      </c>
      <c r="AT138" s="80" t="s">
        <v>2256</v>
      </c>
      <c r="AU138" s="80" t="s">
        <v>3086</v>
      </c>
      <c r="AW138" s="80" t="s">
        <v>2577</v>
      </c>
    </row>
    <row r="139" spans="1:49">
      <c r="A139" s="80" t="s">
        <v>2241</v>
      </c>
      <c r="B139" s="80" t="s">
        <v>3087</v>
      </c>
      <c r="C139" s="80" t="s">
        <v>2141</v>
      </c>
      <c r="D139" s="80" t="s">
        <v>3088</v>
      </c>
      <c r="E139" s="80" t="s">
        <v>2244</v>
      </c>
      <c r="F139" s="80" t="s">
        <v>3089</v>
      </c>
      <c r="J139" s="80" t="s">
        <v>3090</v>
      </c>
      <c r="M139" s="80" t="s">
        <v>2247</v>
      </c>
      <c r="O139" s="80" t="s">
        <v>2141</v>
      </c>
      <c r="P139" s="80" t="s">
        <v>2653</v>
      </c>
      <c r="Q139" s="80" t="s">
        <v>3088</v>
      </c>
      <c r="R139" s="80" t="s">
        <v>3091</v>
      </c>
      <c r="S139" s="80" t="s">
        <v>2244</v>
      </c>
      <c r="T139" s="80" t="s">
        <v>2251</v>
      </c>
      <c r="U139" s="80" t="s">
        <v>2241</v>
      </c>
      <c r="V139" s="80" t="s">
        <v>3092</v>
      </c>
      <c r="W139" s="80" t="s">
        <v>2254</v>
      </c>
      <c r="X139" s="80" t="s">
        <v>2255</v>
      </c>
      <c r="AA139" s="80" t="s">
        <v>2256</v>
      </c>
      <c r="AC139" s="80" t="s">
        <v>2656</v>
      </c>
      <c r="AE139" s="80" t="s">
        <v>2258</v>
      </c>
      <c r="AF139" s="80" t="s">
        <v>2272</v>
      </c>
      <c r="AL139" s="80" t="s">
        <v>2261</v>
      </c>
      <c r="AN139" s="80" t="s">
        <v>3089</v>
      </c>
      <c r="AP139" s="80" t="s">
        <v>2666</v>
      </c>
      <c r="AQ139" s="80" t="s">
        <v>3093</v>
      </c>
      <c r="AT139" s="80" t="s">
        <v>2256</v>
      </c>
      <c r="AU139" s="80" t="s">
        <v>3094</v>
      </c>
      <c r="AW139" s="80" t="s">
        <v>2577</v>
      </c>
    </row>
    <row r="140" spans="1:49">
      <c r="AP140" s="80" t="s">
        <v>2660</v>
      </c>
      <c r="AQ140" s="80" t="s">
        <v>3095</v>
      </c>
      <c r="AT140" s="80" t="s">
        <v>2256</v>
      </c>
      <c r="AU140" s="80" t="s">
        <v>3096</v>
      </c>
      <c r="AW140" s="80" t="s">
        <v>2577</v>
      </c>
    </row>
    <row r="141" spans="1:49">
      <c r="AP141" s="80" t="s">
        <v>2663</v>
      </c>
      <c r="AQ141" s="80" t="s">
        <v>3097</v>
      </c>
      <c r="AT141" s="80" t="s">
        <v>2256</v>
      </c>
      <c r="AU141" s="80" t="s">
        <v>3098</v>
      </c>
      <c r="AW141" s="80" t="s">
        <v>2265</v>
      </c>
    </row>
    <row r="142" spans="1:49">
      <c r="AP142" s="80" t="s">
        <v>2657</v>
      </c>
      <c r="AQ142" s="80" t="s">
        <v>3099</v>
      </c>
      <c r="AT142" s="80" t="s">
        <v>2256</v>
      </c>
      <c r="AU142" s="80" t="s">
        <v>3100</v>
      </c>
      <c r="AW142" s="80" t="s">
        <v>2577</v>
      </c>
    </row>
    <row r="143" spans="1:49">
      <c r="A143" s="80" t="s">
        <v>2241</v>
      </c>
      <c r="B143" s="80" t="s">
        <v>3101</v>
      </c>
      <c r="C143" s="80" t="s">
        <v>2141</v>
      </c>
      <c r="D143" s="80" t="s">
        <v>3102</v>
      </c>
      <c r="E143" s="80" t="s">
        <v>2244</v>
      </c>
      <c r="F143" s="80" t="s">
        <v>3103</v>
      </c>
      <c r="J143" s="80" t="s">
        <v>3104</v>
      </c>
      <c r="M143" s="80" t="s">
        <v>2247</v>
      </c>
      <c r="O143" s="80" t="s">
        <v>2141</v>
      </c>
      <c r="P143" s="80" t="s">
        <v>2653</v>
      </c>
      <c r="Q143" s="80" t="s">
        <v>3102</v>
      </c>
      <c r="R143" s="80" t="s">
        <v>3105</v>
      </c>
      <c r="S143" s="80" t="s">
        <v>2244</v>
      </c>
      <c r="T143" s="80" t="s">
        <v>2251</v>
      </c>
      <c r="U143" s="80" t="s">
        <v>2322</v>
      </c>
      <c r="V143" s="80" t="s">
        <v>3106</v>
      </c>
      <c r="W143" s="80" t="s">
        <v>2871</v>
      </c>
      <c r="X143" s="80" t="s">
        <v>2610</v>
      </c>
      <c r="AA143" s="80" t="s">
        <v>2256</v>
      </c>
      <c r="AC143" s="80" t="s">
        <v>2656</v>
      </c>
      <c r="AE143" s="80" t="s">
        <v>2258</v>
      </c>
      <c r="AF143" s="80" t="s">
        <v>2272</v>
      </c>
      <c r="AI143" s="80" t="s">
        <v>2872</v>
      </c>
      <c r="AL143" s="80" t="s">
        <v>2261</v>
      </c>
      <c r="AN143" s="80" t="s">
        <v>3103</v>
      </c>
      <c r="AP143" s="80" t="s">
        <v>2663</v>
      </c>
      <c r="AQ143" s="80" t="s">
        <v>3107</v>
      </c>
      <c r="AT143" s="80" t="s">
        <v>2256</v>
      </c>
      <c r="AU143" s="80" t="s">
        <v>3108</v>
      </c>
      <c r="AW143" s="80" t="s">
        <v>2265</v>
      </c>
    </row>
    <row r="144" spans="1:49">
      <c r="AP144" s="80" t="s">
        <v>2660</v>
      </c>
      <c r="AQ144" s="80" t="s">
        <v>3109</v>
      </c>
      <c r="AT144" s="80" t="s">
        <v>2256</v>
      </c>
      <c r="AU144" s="80" t="s">
        <v>3110</v>
      </c>
      <c r="AW144" s="80" t="s">
        <v>2577</v>
      </c>
    </row>
    <row r="145" spans="1:49">
      <c r="AP145" s="80" t="s">
        <v>2666</v>
      </c>
      <c r="AQ145" s="80" t="s">
        <v>3111</v>
      </c>
      <c r="AU145" s="80" t="s">
        <v>3112</v>
      </c>
      <c r="AW145" s="80" t="s">
        <v>2577</v>
      </c>
    </row>
    <row r="146" spans="1:49">
      <c r="AP146" s="80" t="s">
        <v>2657</v>
      </c>
      <c r="AQ146" s="80" t="s">
        <v>3113</v>
      </c>
      <c r="AT146" s="80" t="s">
        <v>2256</v>
      </c>
      <c r="AU146" s="80" t="s">
        <v>3114</v>
      </c>
      <c r="AW146" s="80" t="s">
        <v>2577</v>
      </c>
    </row>
    <row r="147" spans="1:49">
      <c r="A147" s="80" t="s">
        <v>2241</v>
      </c>
      <c r="B147" s="80" t="s">
        <v>3115</v>
      </c>
      <c r="C147" s="80" t="s">
        <v>2141</v>
      </c>
      <c r="D147" s="80" t="s">
        <v>3116</v>
      </c>
      <c r="E147" s="80" t="s">
        <v>2244</v>
      </c>
      <c r="F147" s="80" t="s">
        <v>3117</v>
      </c>
      <c r="J147" s="80" t="s">
        <v>3118</v>
      </c>
      <c r="M147" s="80" t="s">
        <v>2247</v>
      </c>
      <c r="O147" s="80" t="s">
        <v>2141</v>
      </c>
      <c r="P147" s="80" t="s">
        <v>2653</v>
      </c>
      <c r="Q147" s="80" t="s">
        <v>3116</v>
      </c>
      <c r="R147" s="80" t="s">
        <v>3119</v>
      </c>
      <c r="S147" s="80" t="s">
        <v>2244</v>
      </c>
      <c r="T147" s="80" t="s">
        <v>2251</v>
      </c>
      <c r="U147" s="80" t="s">
        <v>2252</v>
      </c>
      <c r="V147" s="80" t="s">
        <v>3120</v>
      </c>
      <c r="W147" s="80" t="s">
        <v>2270</v>
      </c>
      <c r="X147" s="80" t="s">
        <v>2291</v>
      </c>
      <c r="AA147" s="80" t="s">
        <v>2256</v>
      </c>
      <c r="AC147" s="80" t="s">
        <v>2656</v>
      </c>
      <c r="AE147" s="80" t="s">
        <v>2258</v>
      </c>
      <c r="AF147" s="80" t="s">
        <v>2272</v>
      </c>
      <c r="AL147" s="80" t="s">
        <v>2261</v>
      </c>
      <c r="AN147" s="80" t="s">
        <v>3117</v>
      </c>
      <c r="AP147" s="80" t="s">
        <v>2663</v>
      </c>
      <c r="AQ147" s="80" t="s">
        <v>3121</v>
      </c>
      <c r="AT147" s="80" t="s">
        <v>2256</v>
      </c>
      <c r="AU147" s="80" t="s">
        <v>3122</v>
      </c>
      <c r="AW147" s="80" t="s">
        <v>2265</v>
      </c>
    </row>
    <row r="148" spans="1:49">
      <c r="AP148" s="80" t="s">
        <v>2660</v>
      </c>
      <c r="AQ148" s="80" t="s">
        <v>3123</v>
      </c>
      <c r="AT148" s="80" t="s">
        <v>2256</v>
      </c>
      <c r="AU148" s="80" t="s">
        <v>3124</v>
      </c>
      <c r="AW148" s="80" t="s">
        <v>2577</v>
      </c>
    </row>
    <row r="149" spans="1:49">
      <c r="AP149" s="80" t="s">
        <v>2666</v>
      </c>
      <c r="AQ149" s="80" t="s">
        <v>3125</v>
      </c>
      <c r="AT149" s="80" t="s">
        <v>2256</v>
      </c>
      <c r="AU149" s="80" t="s">
        <v>3126</v>
      </c>
      <c r="AW149" s="80" t="s">
        <v>2577</v>
      </c>
    </row>
    <row r="150" spans="1:49">
      <c r="AP150" s="80" t="s">
        <v>2657</v>
      </c>
      <c r="AQ150" s="80" t="s">
        <v>3127</v>
      </c>
      <c r="AT150" s="80" t="s">
        <v>2256</v>
      </c>
      <c r="AU150" s="80" t="s">
        <v>3128</v>
      </c>
      <c r="AW150" s="80" t="s">
        <v>2577</v>
      </c>
    </row>
    <row r="151" spans="1:49">
      <c r="A151" s="80" t="s">
        <v>2241</v>
      </c>
      <c r="B151" s="80" t="s">
        <v>3129</v>
      </c>
      <c r="C151" s="80" t="s">
        <v>2141</v>
      </c>
      <c r="D151" s="80" t="s">
        <v>3130</v>
      </c>
      <c r="E151" s="80" t="s">
        <v>2244</v>
      </c>
      <c r="F151" s="80" t="s">
        <v>3131</v>
      </c>
      <c r="J151" s="80" t="s">
        <v>3132</v>
      </c>
      <c r="M151" s="80" t="s">
        <v>2247</v>
      </c>
      <c r="O151" s="80" t="s">
        <v>2141</v>
      </c>
      <c r="P151" s="80" t="s">
        <v>2653</v>
      </c>
      <c r="Q151" s="80" t="s">
        <v>3130</v>
      </c>
      <c r="R151" s="80" t="s">
        <v>3133</v>
      </c>
      <c r="S151" s="80" t="s">
        <v>2244</v>
      </c>
      <c r="T151" s="80" t="s">
        <v>2251</v>
      </c>
      <c r="U151" s="80" t="s">
        <v>2252</v>
      </c>
      <c r="V151" s="80" t="s">
        <v>3134</v>
      </c>
      <c r="W151" s="80" t="s">
        <v>2871</v>
      </c>
      <c r="X151" s="80" t="s">
        <v>2610</v>
      </c>
      <c r="AA151" s="80" t="s">
        <v>2256</v>
      </c>
      <c r="AC151" s="80" t="s">
        <v>2656</v>
      </c>
      <c r="AE151" s="80" t="s">
        <v>2258</v>
      </c>
      <c r="AF151" s="80" t="s">
        <v>2272</v>
      </c>
      <c r="AI151" s="80" t="s">
        <v>2872</v>
      </c>
      <c r="AL151" s="80" t="s">
        <v>2261</v>
      </c>
      <c r="AN151" s="80" t="s">
        <v>3131</v>
      </c>
      <c r="AP151" s="80" t="s">
        <v>2666</v>
      </c>
      <c r="AQ151" s="80" t="s">
        <v>3135</v>
      </c>
      <c r="AT151" s="80" t="s">
        <v>2256</v>
      </c>
      <c r="AU151" s="80" t="s">
        <v>3136</v>
      </c>
      <c r="AW151" s="80" t="s">
        <v>2577</v>
      </c>
    </row>
    <row r="152" spans="1:49">
      <c r="AP152" s="80" t="s">
        <v>2657</v>
      </c>
      <c r="AQ152" s="80" t="s">
        <v>3137</v>
      </c>
      <c r="AT152" s="80" t="s">
        <v>2256</v>
      </c>
      <c r="AU152" s="80" t="s">
        <v>3138</v>
      </c>
      <c r="AW152" s="80" t="s">
        <v>2265</v>
      </c>
    </row>
    <row r="153" spans="1:49">
      <c r="AP153" s="80" t="s">
        <v>2663</v>
      </c>
      <c r="AQ153" s="80" t="s">
        <v>3139</v>
      </c>
      <c r="AU153" s="80" t="s">
        <v>3140</v>
      </c>
      <c r="AW153" s="80" t="s">
        <v>2265</v>
      </c>
    </row>
    <row r="154" spans="1:49">
      <c r="AP154" s="80" t="s">
        <v>2660</v>
      </c>
      <c r="AQ154" s="80" t="s">
        <v>3141</v>
      </c>
      <c r="AT154" s="80" t="s">
        <v>2256</v>
      </c>
      <c r="AU154" s="80" t="s">
        <v>3142</v>
      </c>
      <c r="AW154" s="80" t="s">
        <v>2577</v>
      </c>
    </row>
    <row r="155" spans="1:49">
      <c r="A155" s="80" t="s">
        <v>2241</v>
      </c>
      <c r="B155" s="80" t="s">
        <v>3143</v>
      </c>
      <c r="C155" s="80" t="s">
        <v>2141</v>
      </c>
      <c r="D155" s="80" t="s">
        <v>3144</v>
      </c>
      <c r="E155" s="80" t="s">
        <v>2244</v>
      </c>
      <c r="F155" s="80" t="s">
        <v>3145</v>
      </c>
      <c r="J155" s="80" t="s">
        <v>3146</v>
      </c>
      <c r="M155" s="80" t="s">
        <v>2247</v>
      </c>
      <c r="O155" s="80" t="s">
        <v>2141</v>
      </c>
      <c r="P155" s="80" t="s">
        <v>2653</v>
      </c>
      <c r="Q155" s="80" t="s">
        <v>3144</v>
      </c>
      <c r="R155" s="80" t="s">
        <v>3147</v>
      </c>
      <c r="S155" s="80" t="s">
        <v>2244</v>
      </c>
      <c r="T155" s="80" t="s">
        <v>2251</v>
      </c>
      <c r="U155" s="80" t="s">
        <v>2241</v>
      </c>
      <c r="V155" s="80" t="s">
        <v>3148</v>
      </c>
      <c r="W155" s="80" t="s">
        <v>2931</v>
      </c>
      <c r="X155" s="80" t="s">
        <v>2412</v>
      </c>
      <c r="AA155" s="80" t="s">
        <v>2256</v>
      </c>
      <c r="AC155" s="80" t="s">
        <v>2656</v>
      </c>
      <c r="AE155" s="80" t="s">
        <v>2258</v>
      </c>
      <c r="AF155" s="80" t="s">
        <v>2272</v>
      </c>
      <c r="AL155" s="80" t="s">
        <v>2261</v>
      </c>
      <c r="AN155" s="80" t="s">
        <v>3145</v>
      </c>
      <c r="AP155" s="80" t="s">
        <v>2663</v>
      </c>
      <c r="AQ155" s="80" t="s">
        <v>3149</v>
      </c>
      <c r="AT155" s="80" t="s">
        <v>2256</v>
      </c>
      <c r="AU155" s="80" t="s">
        <v>3150</v>
      </c>
      <c r="AW155" s="80" t="s">
        <v>2265</v>
      </c>
    </row>
    <row r="156" spans="1:49">
      <c r="AP156" s="80" t="s">
        <v>2660</v>
      </c>
      <c r="AQ156" s="80" t="s">
        <v>3151</v>
      </c>
      <c r="AT156" s="80" t="s">
        <v>2256</v>
      </c>
      <c r="AU156" s="80" t="s">
        <v>3152</v>
      </c>
      <c r="AW156" s="80" t="s">
        <v>2577</v>
      </c>
    </row>
    <row r="157" spans="1:49">
      <c r="AP157" s="80" t="s">
        <v>2666</v>
      </c>
      <c r="AQ157" s="80" t="s">
        <v>3153</v>
      </c>
      <c r="AT157" s="80" t="s">
        <v>2256</v>
      </c>
      <c r="AU157" s="80" t="s">
        <v>3154</v>
      </c>
      <c r="AW157" s="80" t="s">
        <v>2577</v>
      </c>
    </row>
    <row r="158" spans="1:49">
      <c r="AP158" s="80" t="s">
        <v>2657</v>
      </c>
      <c r="AQ158" s="80" t="s">
        <v>3155</v>
      </c>
      <c r="AT158" s="80" t="s">
        <v>2256</v>
      </c>
      <c r="AU158" s="80" t="s">
        <v>3156</v>
      </c>
      <c r="AW158" s="80" t="s">
        <v>2577</v>
      </c>
    </row>
    <row r="159" spans="1:49">
      <c r="A159" s="80" t="s">
        <v>2241</v>
      </c>
      <c r="B159" s="80" t="s">
        <v>3157</v>
      </c>
      <c r="C159" s="80" t="s">
        <v>2141</v>
      </c>
      <c r="D159" s="80" t="s">
        <v>3158</v>
      </c>
      <c r="E159" s="80" t="s">
        <v>2244</v>
      </c>
      <c r="F159" s="80" t="s">
        <v>3117</v>
      </c>
      <c r="J159" s="80" t="s">
        <v>3159</v>
      </c>
      <c r="M159" s="80" t="s">
        <v>2247</v>
      </c>
      <c r="O159" s="80" t="s">
        <v>2141</v>
      </c>
      <c r="P159" s="80" t="s">
        <v>2653</v>
      </c>
      <c r="Q159" s="80" t="s">
        <v>3158</v>
      </c>
      <c r="R159" s="80" t="s">
        <v>3160</v>
      </c>
      <c r="S159" s="80" t="s">
        <v>2244</v>
      </c>
      <c r="T159" s="80" t="s">
        <v>2251</v>
      </c>
      <c r="U159" s="80" t="s">
        <v>2252</v>
      </c>
      <c r="V159" s="80" t="s">
        <v>3161</v>
      </c>
      <c r="W159" s="80" t="s">
        <v>2270</v>
      </c>
      <c r="X159" s="80" t="s">
        <v>2291</v>
      </c>
      <c r="AA159" s="80" t="s">
        <v>2256</v>
      </c>
      <c r="AC159" s="80" t="s">
        <v>2656</v>
      </c>
      <c r="AE159" s="80" t="s">
        <v>2258</v>
      </c>
      <c r="AF159" s="80" t="s">
        <v>2272</v>
      </c>
      <c r="AL159" s="80" t="s">
        <v>2261</v>
      </c>
      <c r="AN159" s="80" t="s">
        <v>3117</v>
      </c>
      <c r="AP159" s="80" t="s">
        <v>2657</v>
      </c>
      <c r="AQ159" s="80" t="s">
        <v>3162</v>
      </c>
      <c r="AT159" s="80" t="s">
        <v>2256</v>
      </c>
      <c r="AU159" s="80" t="s">
        <v>3163</v>
      </c>
      <c r="AW159" s="80" t="s">
        <v>2577</v>
      </c>
    </row>
    <row r="160" spans="1:49">
      <c r="AP160" s="80" t="s">
        <v>2666</v>
      </c>
      <c r="AQ160" s="80" t="s">
        <v>3164</v>
      </c>
      <c r="AT160" s="80" t="s">
        <v>2256</v>
      </c>
      <c r="AU160" s="80" t="s">
        <v>3165</v>
      </c>
      <c r="AW160" s="80" t="s">
        <v>2577</v>
      </c>
    </row>
    <row r="161" spans="1:49">
      <c r="AP161" s="80" t="s">
        <v>2660</v>
      </c>
      <c r="AQ161" s="80" t="s">
        <v>3166</v>
      </c>
      <c r="AT161" s="80" t="s">
        <v>2256</v>
      </c>
      <c r="AU161" s="80" t="s">
        <v>3167</v>
      </c>
      <c r="AW161" s="80" t="s">
        <v>2577</v>
      </c>
    </row>
    <row r="162" spans="1:49">
      <c r="AP162" s="80" t="s">
        <v>2663</v>
      </c>
      <c r="AQ162" s="80" t="s">
        <v>3168</v>
      </c>
      <c r="AT162" s="80" t="s">
        <v>2256</v>
      </c>
      <c r="AU162" s="80" t="s">
        <v>3169</v>
      </c>
      <c r="AW162" s="80" t="s">
        <v>2265</v>
      </c>
    </row>
    <row r="163" spans="1:49">
      <c r="A163" s="80" t="s">
        <v>2241</v>
      </c>
      <c r="B163" s="80" t="s">
        <v>3170</v>
      </c>
      <c r="C163" s="80" t="s">
        <v>2141</v>
      </c>
      <c r="D163" s="80" t="s">
        <v>3171</v>
      </c>
      <c r="E163" s="80" t="s">
        <v>2244</v>
      </c>
      <c r="F163" s="80" t="s">
        <v>3172</v>
      </c>
      <c r="J163" s="80" t="s">
        <v>3173</v>
      </c>
      <c r="M163" s="80" t="s">
        <v>2247</v>
      </c>
      <c r="O163" s="80" t="s">
        <v>2141</v>
      </c>
      <c r="P163" s="80" t="s">
        <v>2653</v>
      </c>
      <c r="Q163" s="80" t="s">
        <v>3171</v>
      </c>
      <c r="R163" s="80" t="s">
        <v>3174</v>
      </c>
      <c r="S163" s="80" t="s">
        <v>2244</v>
      </c>
      <c r="T163" s="80" t="s">
        <v>2251</v>
      </c>
      <c r="U163" s="80" t="s">
        <v>2322</v>
      </c>
      <c r="V163" s="80" t="s">
        <v>3175</v>
      </c>
      <c r="W163" s="80" t="s">
        <v>3176</v>
      </c>
      <c r="X163" s="80" t="s">
        <v>2271</v>
      </c>
      <c r="AA163" s="80" t="s">
        <v>2256</v>
      </c>
      <c r="AC163" s="80" t="s">
        <v>2656</v>
      </c>
      <c r="AE163" s="80" t="s">
        <v>2258</v>
      </c>
      <c r="AF163" s="80" t="s">
        <v>2272</v>
      </c>
      <c r="AL163" s="80" t="s">
        <v>2261</v>
      </c>
      <c r="AN163" s="80" t="s">
        <v>3172</v>
      </c>
      <c r="AP163" s="80" t="s">
        <v>2666</v>
      </c>
      <c r="AQ163" s="80" t="s">
        <v>3177</v>
      </c>
      <c r="AT163" s="80" t="s">
        <v>2256</v>
      </c>
      <c r="AU163" s="80" t="s">
        <v>3178</v>
      </c>
      <c r="AW163" s="80" t="s">
        <v>2577</v>
      </c>
    </row>
    <row r="164" spans="1:49">
      <c r="AP164" s="80" t="s">
        <v>2657</v>
      </c>
      <c r="AQ164" s="80" t="s">
        <v>3179</v>
      </c>
      <c r="AT164" s="80" t="s">
        <v>2256</v>
      </c>
      <c r="AU164" s="80" t="s">
        <v>3180</v>
      </c>
      <c r="AW164" s="80" t="s">
        <v>2577</v>
      </c>
    </row>
    <row r="165" spans="1:49">
      <c r="AP165" s="80" t="s">
        <v>2663</v>
      </c>
      <c r="AQ165" s="80" t="s">
        <v>3181</v>
      </c>
      <c r="AU165" s="80" t="s">
        <v>3182</v>
      </c>
      <c r="AW165" s="80" t="s">
        <v>2265</v>
      </c>
    </row>
    <row r="166" spans="1:49">
      <c r="AP166" s="80" t="s">
        <v>2660</v>
      </c>
      <c r="AQ166" s="80" t="s">
        <v>3183</v>
      </c>
      <c r="AT166" s="80" t="s">
        <v>2256</v>
      </c>
      <c r="AU166" s="80" t="s">
        <v>3184</v>
      </c>
      <c r="AW166" s="80" t="s">
        <v>2577</v>
      </c>
    </row>
    <row r="167" spans="1:49">
      <c r="A167" s="80" t="s">
        <v>2241</v>
      </c>
      <c r="B167" s="80" t="s">
        <v>3185</v>
      </c>
      <c r="C167" s="80" t="s">
        <v>2141</v>
      </c>
      <c r="D167" s="80" t="s">
        <v>3186</v>
      </c>
      <c r="E167" s="80" t="s">
        <v>2244</v>
      </c>
      <c r="F167" s="80" t="s">
        <v>3187</v>
      </c>
      <c r="J167" s="80" t="s">
        <v>3188</v>
      </c>
      <c r="M167" s="80" t="s">
        <v>2247</v>
      </c>
      <c r="O167" s="80" t="s">
        <v>2141</v>
      </c>
      <c r="P167" s="80" t="s">
        <v>2653</v>
      </c>
      <c r="Q167" s="80" t="s">
        <v>3186</v>
      </c>
      <c r="R167" s="80" t="s">
        <v>3189</v>
      </c>
      <c r="S167" s="80" t="s">
        <v>2244</v>
      </c>
      <c r="T167" s="80" t="s">
        <v>2251</v>
      </c>
      <c r="U167" s="80" t="s">
        <v>3190</v>
      </c>
      <c r="V167" s="80" t="s">
        <v>3191</v>
      </c>
      <c r="W167" s="80" t="s">
        <v>2887</v>
      </c>
      <c r="X167" s="80" t="s">
        <v>2412</v>
      </c>
      <c r="AA167" s="80" t="s">
        <v>2256</v>
      </c>
      <c r="AC167" s="80" t="s">
        <v>2656</v>
      </c>
      <c r="AE167" s="80" t="s">
        <v>2258</v>
      </c>
      <c r="AF167" s="80" t="s">
        <v>2272</v>
      </c>
      <c r="AI167" s="80" t="s">
        <v>2872</v>
      </c>
      <c r="AL167" s="80" t="s">
        <v>2261</v>
      </c>
      <c r="AN167" s="80" t="s">
        <v>3187</v>
      </c>
      <c r="AP167" s="80" t="s">
        <v>2660</v>
      </c>
      <c r="AQ167" s="80" t="s">
        <v>3192</v>
      </c>
      <c r="AT167" s="80" t="s">
        <v>2256</v>
      </c>
      <c r="AU167" s="80" t="s">
        <v>3193</v>
      </c>
      <c r="AW167" s="80" t="s">
        <v>2577</v>
      </c>
    </row>
    <row r="168" spans="1:49">
      <c r="AP168" s="80" t="s">
        <v>2663</v>
      </c>
      <c r="AQ168" s="80" t="s">
        <v>3194</v>
      </c>
      <c r="AT168" s="80" t="s">
        <v>2256</v>
      </c>
      <c r="AU168" s="80" t="s">
        <v>3195</v>
      </c>
      <c r="AW168" s="80" t="s">
        <v>2265</v>
      </c>
    </row>
    <row r="169" spans="1:49">
      <c r="AP169" s="80" t="s">
        <v>2657</v>
      </c>
      <c r="AQ169" s="80" t="s">
        <v>3196</v>
      </c>
      <c r="AT169" s="80" t="s">
        <v>2256</v>
      </c>
      <c r="AU169" s="80" t="s">
        <v>3197</v>
      </c>
      <c r="AW169" s="80" t="s">
        <v>2577</v>
      </c>
    </row>
    <row r="170" spans="1:49">
      <c r="AP170" s="80" t="s">
        <v>2666</v>
      </c>
      <c r="AQ170" s="80" t="s">
        <v>3198</v>
      </c>
      <c r="AT170" s="80" t="s">
        <v>2256</v>
      </c>
      <c r="AU170" s="80" t="s">
        <v>3199</v>
      </c>
      <c r="AW170" s="80" t="s">
        <v>2577</v>
      </c>
    </row>
    <row r="171" spans="1:49">
      <c r="A171" s="80" t="s">
        <v>2241</v>
      </c>
      <c r="B171" s="80" t="s">
        <v>3200</v>
      </c>
      <c r="C171" s="80" t="s">
        <v>2141</v>
      </c>
      <c r="D171" s="80" t="s">
        <v>3201</v>
      </c>
      <c r="E171" s="80" t="s">
        <v>2244</v>
      </c>
      <c r="F171" s="80" t="s">
        <v>3202</v>
      </c>
      <c r="J171" s="80" t="s">
        <v>3203</v>
      </c>
      <c r="M171" s="80" t="s">
        <v>2247</v>
      </c>
      <c r="O171" s="80" t="s">
        <v>2141</v>
      </c>
      <c r="P171" s="80" t="s">
        <v>2653</v>
      </c>
      <c r="Q171" s="80" t="s">
        <v>3201</v>
      </c>
      <c r="R171" s="80" t="s">
        <v>3204</v>
      </c>
      <c r="S171" s="80" t="s">
        <v>2244</v>
      </c>
      <c r="T171" s="80" t="s">
        <v>2251</v>
      </c>
      <c r="U171" s="80" t="s">
        <v>2241</v>
      </c>
      <c r="V171" s="80" t="s">
        <v>3205</v>
      </c>
      <c r="W171" s="80" t="s">
        <v>2931</v>
      </c>
      <c r="X171" s="80" t="s">
        <v>2271</v>
      </c>
      <c r="AA171" s="80" t="s">
        <v>2256</v>
      </c>
      <c r="AC171" s="80" t="s">
        <v>2656</v>
      </c>
      <c r="AE171" s="80" t="s">
        <v>2258</v>
      </c>
      <c r="AF171" s="80" t="s">
        <v>2272</v>
      </c>
      <c r="AL171" s="80" t="s">
        <v>2261</v>
      </c>
      <c r="AN171" s="80" t="s">
        <v>3202</v>
      </c>
      <c r="AP171" s="80" t="s">
        <v>2660</v>
      </c>
      <c r="AQ171" s="80" t="s">
        <v>3206</v>
      </c>
      <c r="AU171" s="80" t="s">
        <v>3207</v>
      </c>
    </row>
    <row r="172" spans="1:49">
      <c r="AP172" s="80" t="s">
        <v>2657</v>
      </c>
      <c r="AQ172" s="80" t="s">
        <v>3208</v>
      </c>
      <c r="AT172" s="80" t="s">
        <v>2256</v>
      </c>
      <c r="AU172" s="80" t="s">
        <v>3209</v>
      </c>
      <c r="AW172" s="80" t="s">
        <v>2577</v>
      </c>
    </row>
    <row r="173" spans="1:49">
      <c r="AP173" s="80" t="s">
        <v>2663</v>
      </c>
      <c r="AQ173" s="80" t="s">
        <v>3210</v>
      </c>
      <c r="AT173" s="80" t="s">
        <v>2256</v>
      </c>
      <c r="AU173" s="80" t="s">
        <v>3211</v>
      </c>
      <c r="AW173" s="80" t="s">
        <v>2265</v>
      </c>
    </row>
    <row r="174" spans="1:49">
      <c r="AP174" s="80" t="s">
        <v>2666</v>
      </c>
      <c r="AQ174" s="80" t="s">
        <v>3212</v>
      </c>
      <c r="AT174" s="80" t="s">
        <v>2256</v>
      </c>
      <c r="AU174" s="80" t="s">
        <v>3213</v>
      </c>
      <c r="AW174" s="80" t="s">
        <v>2577</v>
      </c>
    </row>
    <row r="175" spans="1:49">
      <c r="A175" s="80" t="s">
        <v>2241</v>
      </c>
      <c r="B175" s="80" t="s">
        <v>3214</v>
      </c>
      <c r="C175" s="80" t="s">
        <v>2141</v>
      </c>
      <c r="D175" s="80" t="s">
        <v>3215</v>
      </c>
      <c r="E175" s="80" t="s">
        <v>2244</v>
      </c>
      <c r="F175" s="80" t="s">
        <v>3216</v>
      </c>
      <c r="J175" s="80" t="s">
        <v>3217</v>
      </c>
      <c r="M175" s="80" t="s">
        <v>2247</v>
      </c>
      <c r="O175" s="80" t="s">
        <v>2141</v>
      </c>
      <c r="P175" s="80" t="s">
        <v>2653</v>
      </c>
      <c r="Q175" s="80" t="s">
        <v>3215</v>
      </c>
      <c r="R175" s="80" t="s">
        <v>3218</v>
      </c>
      <c r="S175" s="80" t="s">
        <v>2244</v>
      </c>
      <c r="T175" s="80" t="s">
        <v>2251</v>
      </c>
      <c r="U175" s="80" t="s">
        <v>2241</v>
      </c>
      <c r="V175" s="80" t="s">
        <v>3219</v>
      </c>
      <c r="W175" s="80" t="s">
        <v>2931</v>
      </c>
      <c r="X175" s="80" t="s">
        <v>2271</v>
      </c>
      <c r="AA175" s="80" t="s">
        <v>2256</v>
      </c>
      <c r="AC175" s="80" t="s">
        <v>2656</v>
      </c>
      <c r="AE175" s="80" t="s">
        <v>2258</v>
      </c>
      <c r="AF175" s="80" t="s">
        <v>2272</v>
      </c>
      <c r="AL175" s="80" t="s">
        <v>2261</v>
      </c>
      <c r="AN175" s="80" t="s">
        <v>3216</v>
      </c>
      <c r="AP175" s="80" t="s">
        <v>2657</v>
      </c>
      <c r="AQ175" s="80" t="s">
        <v>3220</v>
      </c>
      <c r="AT175" s="80" t="s">
        <v>2256</v>
      </c>
      <c r="AU175" s="80" t="s">
        <v>3221</v>
      </c>
      <c r="AW175" s="80" t="s">
        <v>2577</v>
      </c>
    </row>
    <row r="176" spans="1:49">
      <c r="AP176" s="80" t="s">
        <v>2666</v>
      </c>
      <c r="AQ176" s="80" t="s">
        <v>3222</v>
      </c>
      <c r="AT176" s="80" t="s">
        <v>2256</v>
      </c>
      <c r="AU176" s="80" t="s">
        <v>3223</v>
      </c>
      <c r="AW176" s="80" t="s">
        <v>2577</v>
      </c>
    </row>
    <row r="177" spans="1:49">
      <c r="AP177" s="80" t="s">
        <v>2660</v>
      </c>
      <c r="AQ177" s="80" t="s">
        <v>3224</v>
      </c>
      <c r="AT177" s="80" t="s">
        <v>2256</v>
      </c>
      <c r="AU177" s="80" t="s">
        <v>3225</v>
      </c>
      <c r="AW177" s="80" t="s">
        <v>2577</v>
      </c>
    </row>
    <row r="178" spans="1:49">
      <c r="AP178" s="80" t="s">
        <v>2663</v>
      </c>
      <c r="AQ178" s="80" t="s">
        <v>3226</v>
      </c>
      <c r="AT178" s="80" t="s">
        <v>2256</v>
      </c>
      <c r="AU178" s="80" t="s">
        <v>3227</v>
      </c>
      <c r="AW178" s="80" t="s">
        <v>2265</v>
      </c>
    </row>
    <row r="179" spans="1:49">
      <c r="A179" s="80" t="s">
        <v>2241</v>
      </c>
      <c r="B179" s="80" t="s">
        <v>3228</v>
      </c>
      <c r="C179" s="80" t="s">
        <v>2141</v>
      </c>
      <c r="D179" s="80" t="s">
        <v>3229</v>
      </c>
      <c r="E179" s="80" t="s">
        <v>2244</v>
      </c>
      <c r="F179" s="80" t="s">
        <v>3230</v>
      </c>
      <c r="J179" s="80" t="s">
        <v>3231</v>
      </c>
      <c r="M179" s="80" t="s">
        <v>2247</v>
      </c>
      <c r="O179" s="80" t="s">
        <v>2141</v>
      </c>
      <c r="P179" s="80" t="s">
        <v>2653</v>
      </c>
      <c r="Q179" s="80" t="s">
        <v>3229</v>
      </c>
      <c r="R179" s="80" t="s">
        <v>3232</v>
      </c>
      <c r="S179" s="80" t="s">
        <v>2244</v>
      </c>
      <c r="T179" s="80" t="s">
        <v>2251</v>
      </c>
      <c r="U179" s="80" t="s">
        <v>2322</v>
      </c>
      <c r="V179" s="80" t="s">
        <v>3233</v>
      </c>
      <c r="W179" s="80" t="s">
        <v>2871</v>
      </c>
      <c r="X179" s="80" t="s">
        <v>2271</v>
      </c>
      <c r="AA179" s="80" t="s">
        <v>2256</v>
      </c>
      <c r="AC179" s="80" t="s">
        <v>2656</v>
      </c>
      <c r="AE179" s="80" t="s">
        <v>2258</v>
      </c>
      <c r="AF179" s="80" t="s">
        <v>2272</v>
      </c>
      <c r="AI179" s="80" t="s">
        <v>2872</v>
      </c>
      <c r="AL179" s="80" t="s">
        <v>2261</v>
      </c>
      <c r="AN179" s="80" t="s">
        <v>3230</v>
      </c>
      <c r="AP179" s="80" t="s">
        <v>2657</v>
      </c>
      <c r="AQ179" s="80" t="s">
        <v>3234</v>
      </c>
      <c r="AT179" s="80" t="s">
        <v>2256</v>
      </c>
      <c r="AU179" s="80" t="s">
        <v>3235</v>
      </c>
      <c r="AW179" s="80" t="s">
        <v>2577</v>
      </c>
    </row>
    <row r="180" spans="1:49">
      <c r="AP180" s="80" t="s">
        <v>2663</v>
      </c>
      <c r="AQ180" s="80" t="s">
        <v>3236</v>
      </c>
      <c r="AT180" s="80" t="s">
        <v>2256</v>
      </c>
      <c r="AU180" s="80" t="s">
        <v>3237</v>
      </c>
      <c r="AW180" s="80" t="s">
        <v>2265</v>
      </c>
    </row>
    <row r="181" spans="1:49">
      <c r="AP181" s="80" t="s">
        <v>2660</v>
      </c>
      <c r="AQ181" s="80" t="s">
        <v>3238</v>
      </c>
      <c r="AT181" s="80" t="s">
        <v>2256</v>
      </c>
      <c r="AU181" s="80" t="s">
        <v>3239</v>
      </c>
      <c r="AW181" s="80" t="s">
        <v>2577</v>
      </c>
    </row>
    <row r="182" spans="1:49">
      <c r="AP182" s="80" t="s">
        <v>2666</v>
      </c>
      <c r="AQ182" s="80" t="s">
        <v>3240</v>
      </c>
      <c r="AT182" s="80" t="s">
        <v>2256</v>
      </c>
      <c r="AU182" s="80" t="s">
        <v>3241</v>
      </c>
      <c r="AW182" s="80" t="s">
        <v>2577</v>
      </c>
    </row>
    <row r="183" spans="1:49">
      <c r="A183" s="80" t="s">
        <v>2241</v>
      </c>
      <c r="B183" s="80" t="s">
        <v>3242</v>
      </c>
      <c r="C183" s="80" t="s">
        <v>2141</v>
      </c>
      <c r="D183" s="80" t="s">
        <v>3243</v>
      </c>
      <c r="E183" s="80" t="s">
        <v>2244</v>
      </c>
      <c r="F183" s="80" t="s">
        <v>3244</v>
      </c>
      <c r="J183" s="80" t="s">
        <v>3245</v>
      </c>
      <c r="M183" s="80" t="s">
        <v>2247</v>
      </c>
      <c r="O183" s="80" t="s">
        <v>2141</v>
      </c>
      <c r="P183" s="80" t="s">
        <v>2653</v>
      </c>
      <c r="Q183" s="80" t="s">
        <v>3243</v>
      </c>
      <c r="R183" s="80" t="s">
        <v>3246</v>
      </c>
      <c r="S183" s="80" t="s">
        <v>2244</v>
      </c>
      <c r="T183" s="80" t="s">
        <v>2251</v>
      </c>
      <c r="U183" s="80" t="s">
        <v>2241</v>
      </c>
      <c r="V183" s="80" t="s">
        <v>3247</v>
      </c>
      <c r="W183" s="80" t="s">
        <v>2931</v>
      </c>
      <c r="X183" s="80" t="s">
        <v>2271</v>
      </c>
      <c r="AA183" s="80" t="s">
        <v>2256</v>
      </c>
      <c r="AC183" s="80" t="s">
        <v>2656</v>
      </c>
      <c r="AE183" s="80" t="s">
        <v>2258</v>
      </c>
      <c r="AF183" s="80" t="s">
        <v>2272</v>
      </c>
      <c r="AL183" s="80" t="s">
        <v>2261</v>
      </c>
      <c r="AN183" s="80" t="s">
        <v>3244</v>
      </c>
      <c r="AP183" s="80" t="s">
        <v>2666</v>
      </c>
      <c r="AQ183" s="80" t="s">
        <v>3248</v>
      </c>
      <c r="AT183" s="80" t="s">
        <v>2256</v>
      </c>
      <c r="AU183" s="80" t="s">
        <v>3249</v>
      </c>
      <c r="AW183" s="80" t="s">
        <v>2577</v>
      </c>
    </row>
    <row r="184" spans="1:49">
      <c r="AP184" s="80" t="s">
        <v>2657</v>
      </c>
      <c r="AQ184" s="80" t="s">
        <v>3250</v>
      </c>
      <c r="AT184" s="80" t="s">
        <v>2256</v>
      </c>
      <c r="AU184" s="80" t="s">
        <v>3251</v>
      </c>
      <c r="AW184" s="80" t="s">
        <v>2577</v>
      </c>
    </row>
    <row r="185" spans="1:49">
      <c r="AP185" s="80" t="s">
        <v>2663</v>
      </c>
      <c r="AQ185" s="80" t="s">
        <v>3252</v>
      </c>
      <c r="AT185" s="80" t="s">
        <v>2256</v>
      </c>
      <c r="AU185" s="80" t="s">
        <v>3253</v>
      </c>
      <c r="AW185" s="80" t="s">
        <v>2265</v>
      </c>
    </row>
    <row r="186" spans="1:49">
      <c r="AP186" s="80" t="s">
        <v>2660</v>
      </c>
      <c r="AQ186" s="80" t="s">
        <v>3254</v>
      </c>
      <c r="AT186" s="80" t="s">
        <v>2256</v>
      </c>
      <c r="AU186" s="80" t="s">
        <v>3255</v>
      </c>
      <c r="AW186" s="80" t="s">
        <v>2577</v>
      </c>
    </row>
    <row r="187" spans="1:49">
      <c r="A187" s="80" t="s">
        <v>2241</v>
      </c>
      <c r="B187" s="80" t="s">
        <v>3256</v>
      </c>
      <c r="C187" s="80" t="s">
        <v>2141</v>
      </c>
      <c r="D187" s="80" t="s">
        <v>3257</v>
      </c>
      <c r="E187" s="80" t="s">
        <v>2244</v>
      </c>
      <c r="F187" s="80" t="s">
        <v>3258</v>
      </c>
      <c r="J187" s="80" t="s">
        <v>3259</v>
      </c>
      <c r="M187" s="80" t="s">
        <v>2247</v>
      </c>
      <c r="O187" s="80" t="s">
        <v>2141</v>
      </c>
      <c r="P187" s="80" t="s">
        <v>2653</v>
      </c>
      <c r="Q187" s="80" t="s">
        <v>3257</v>
      </c>
      <c r="R187" s="80" t="s">
        <v>3260</v>
      </c>
      <c r="S187" s="80" t="s">
        <v>2244</v>
      </c>
      <c r="T187" s="80" t="s">
        <v>2251</v>
      </c>
      <c r="U187" s="80" t="s">
        <v>2252</v>
      </c>
      <c r="V187" s="80" t="s">
        <v>3261</v>
      </c>
      <c r="W187" s="80" t="s">
        <v>2931</v>
      </c>
      <c r="X187" s="80" t="s">
        <v>2610</v>
      </c>
      <c r="AA187" s="80" t="s">
        <v>2256</v>
      </c>
      <c r="AC187" s="80" t="s">
        <v>2656</v>
      </c>
      <c r="AE187" s="80" t="s">
        <v>2258</v>
      </c>
      <c r="AF187" s="80" t="s">
        <v>2272</v>
      </c>
      <c r="AL187" s="80" t="s">
        <v>2261</v>
      </c>
      <c r="AN187" s="80" t="s">
        <v>3258</v>
      </c>
      <c r="AP187" s="80" t="s">
        <v>2657</v>
      </c>
      <c r="AQ187" s="80" t="s">
        <v>3262</v>
      </c>
      <c r="AT187" s="80" t="s">
        <v>2256</v>
      </c>
      <c r="AU187" s="80" t="s">
        <v>3263</v>
      </c>
      <c r="AW187" s="80" t="s">
        <v>2577</v>
      </c>
    </row>
    <row r="188" spans="1:49">
      <c r="AP188" s="80" t="s">
        <v>2666</v>
      </c>
      <c r="AQ188" s="80" t="s">
        <v>3264</v>
      </c>
      <c r="AT188" s="80" t="s">
        <v>2256</v>
      </c>
      <c r="AU188" s="80" t="s">
        <v>3265</v>
      </c>
      <c r="AW188" s="80" t="s">
        <v>2577</v>
      </c>
    </row>
    <row r="189" spans="1:49">
      <c r="AP189" s="80" t="s">
        <v>2660</v>
      </c>
      <c r="AQ189" s="80" t="s">
        <v>3266</v>
      </c>
      <c r="AT189" s="80" t="s">
        <v>2256</v>
      </c>
      <c r="AU189" s="80" t="s">
        <v>3267</v>
      </c>
      <c r="AW189" s="80" t="s">
        <v>2577</v>
      </c>
    </row>
    <row r="190" spans="1:49">
      <c r="AP190" s="80" t="s">
        <v>2663</v>
      </c>
      <c r="AQ190" s="80" t="s">
        <v>3268</v>
      </c>
      <c r="AT190" s="80" t="s">
        <v>2256</v>
      </c>
      <c r="AU190" s="80" t="s">
        <v>3269</v>
      </c>
      <c r="AW190" s="80" t="s">
        <v>2265</v>
      </c>
    </row>
    <row r="191" spans="1:49">
      <c r="A191" s="80" t="s">
        <v>2241</v>
      </c>
      <c r="B191" s="80" t="s">
        <v>3270</v>
      </c>
      <c r="C191" s="80" t="s">
        <v>2141</v>
      </c>
      <c r="D191" s="80" t="s">
        <v>3271</v>
      </c>
      <c r="E191" s="80" t="s">
        <v>2244</v>
      </c>
      <c r="F191" s="80" t="s">
        <v>3272</v>
      </c>
      <c r="J191" s="80" t="s">
        <v>3273</v>
      </c>
      <c r="M191" s="80" t="s">
        <v>2247</v>
      </c>
      <c r="O191" s="80" t="s">
        <v>2141</v>
      </c>
      <c r="P191" s="80" t="s">
        <v>2653</v>
      </c>
      <c r="Q191" s="80" t="s">
        <v>3271</v>
      </c>
      <c r="R191" s="80" t="s">
        <v>3274</v>
      </c>
      <c r="S191" s="80" t="s">
        <v>2244</v>
      </c>
      <c r="T191" s="80" t="s">
        <v>2251</v>
      </c>
      <c r="U191" s="80" t="s">
        <v>2252</v>
      </c>
      <c r="V191" s="80" t="s">
        <v>3275</v>
      </c>
      <c r="W191" s="80" t="s">
        <v>2975</v>
      </c>
      <c r="X191" s="80" t="s">
        <v>3007</v>
      </c>
      <c r="AA191" s="80" t="s">
        <v>2256</v>
      </c>
      <c r="AC191" s="80" t="s">
        <v>2656</v>
      </c>
      <c r="AE191" s="80" t="s">
        <v>2258</v>
      </c>
      <c r="AF191" s="80" t="s">
        <v>2272</v>
      </c>
      <c r="AL191" s="80" t="s">
        <v>2261</v>
      </c>
      <c r="AN191" s="80" t="s">
        <v>3272</v>
      </c>
      <c r="AP191" s="80" t="s">
        <v>2657</v>
      </c>
      <c r="AQ191" s="80" t="s">
        <v>3276</v>
      </c>
      <c r="AS191" s="80" t="s">
        <v>2978</v>
      </c>
      <c r="AT191" s="80" t="s">
        <v>2256</v>
      </c>
      <c r="AU191" s="80" t="s">
        <v>3277</v>
      </c>
      <c r="AW191" s="80" t="s">
        <v>2577</v>
      </c>
    </row>
    <row r="192" spans="1:49">
      <c r="AP192" s="80" t="s">
        <v>2660</v>
      </c>
      <c r="AQ192" s="80" t="s">
        <v>3278</v>
      </c>
      <c r="AS192" s="80" t="s">
        <v>2978</v>
      </c>
      <c r="AT192" s="80" t="s">
        <v>2256</v>
      </c>
      <c r="AU192" s="80" t="s">
        <v>3279</v>
      </c>
      <c r="AW192" s="80" t="s">
        <v>2577</v>
      </c>
    </row>
    <row r="193" spans="1:49">
      <c r="AP193" s="80" t="s">
        <v>2666</v>
      </c>
      <c r="AQ193" s="80" t="s">
        <v>3280</v>
      </c>
      <c r="AS193" s="80" t="s">
        <v>2978</v>
      </c>
      <c r="AT193" s="80" t="s">
        <v>2256</v>
      </c>
      <c r="AU193" s="80" t="s">
        <v>3281</v>
      </c>
      <c r="AW193" s="80" t="s">
        <v>2577</v>
      </c>
    </row>
    <row r="194" spans="1:49">
      <c r="AP194" s="80" t="s">
        <v>2663</v>
      </c>
      <c r="AQ194" s="80" t="s">
        <v>3282</v>
      </c>
      <c r="AS194" s="80" t="s">
        <v>2978</v>
      </c>
      <c r="AT194" s="80" t="s">
        <v>2256</v>
      </c>
      <c r="AU194" s="80" t="s">
        <v>3283</v>
      </c>
      <c r="AW194" s="80" t="s">
        <v>2265</v>
      </c>
    </row>
    <row r="195" spans="1:49">
      <c r="A195" s="80" t="s">
        <v>2241</v>
      </c>
      <c r="B195" s="80" t="s">
        <v>3284</v>
      </c>
      <c r="C195" s="80" t="s">
        <v>2141</v>
      </c>
      <c r="D195" s="80" t="s">
        <v>3285</v>
      </c>
      <c r="E195" s="80" t="s">
        <v>2244</v>
      </c>
      <c r="F195" s="80" t="s">
        <v>3286</v>
      </c>
      <c r="J195" s="80" t="s">
        <v>3287</v>
      </c>
      <c r="M195" s="80" t="s">
        <v>2247</v>
      </c>
      <c r="O195" s="80" t="s">
        <v>2141</v>
      </c>
      <c r="P195" s="80" t="s">
        <v>2653</v>
      </c>
      <c r="Q195" s="80" t="s">
        <v>3285</v>
      </c>
      <c r="R195" s="80" t="s">
        <v>3288</v>
      </c>
      <c r="S195" s="80" t="s">
        <v>2244</v>
      </c>
      <c r="T195" s="80" t="s">
        <v>2251</v>
      </c>
      <c r="U195" s="80" t="s">
        <v>2241</v>
      </c>
      <c r="V195" s="80" t="s">
        <v>3289</v>
      </c>
      <c r="W195" s="80" t="s">
        <v>2270</v>
      </c>
      <c r="X195" s="80" t="s">
        <v>2283</v>
      </c>
      <c r="AA195" s="80" t="s">
        <v>2256</v>
      </c>
      <c r="AC195" s="80" t="s">
        <v>2656</v>
      </c>
      <c r="AE195" s="80" t="s">
        <v>2258</v>
      </c>
      <c r="AF195" s="80" t="s">
        <v>2272</v>
      </c>
      <c r="AL195" s="80" t="s">
        <v>2261</v>
      </c>
      <c r="AN195" s="80" t="s">
        <v>3286</v>
      </c>
      <c r="AP195" s="80" t="s">
        <v>2660</v>
      </c>
      <c r="AQ195" s="80" t="s">
        <v>3290</v>
      </c>
      <c r="AT195" s="80" t="s">
        <v>2256</v>
      </c>
      <c r="AU195" s="80" t="s">
        <v>3291</v>
      </c>
      <c r="AW195" s="80" t="s">
        <v>2577</v>
      </c>
    </row>
    <row r="196" spans="1:49">
      <c r="AP196" s="80" t="s">
        <v>2657</v>
      </c>
      <c r="AQ196" s="80" t="s">
        <v>3292</v>
      </c>
      <c r="AT196" s="80" t="s">
        <v>2256</v>
      </c>
      <c r="AU196" s="80" t="s">
        <v>3293</v>
      </c>
      <c r="AW196" s="80" t="s">
        <v>2577</v>
      </c>
    </row>
    <row r="197" spans="1:49">
      <c r="AP197" s="80" t="s">
        <v>2666</v>
      </c>
      <c r="AQ197" s="80" t="s">
        <v>3294</v>
      </c>
      <c r="AT197" s="80" t="s">
        <v>2256</v>
      </c>
      <c r="AU197" s="80" t="s">
        <v>3295</v>
      </c>
      <c r="AW197" s="80" t="s">
        <v>2577</v>
      </c>
    </row>
    <row r="198" spans="1:49">
      <c r="AP198" s="80" t="s">
        <v>2663</v>
      </c>
      <c r="AQ198" s="80" t="s">
        <v>3296</v>
      </c>
      <c r="AT198" s="80" t="s">
        <v>2256</v>
      </c>
      <c r="AU198" s="80" t="s">
        <v>3297</v>
      </c>
      <c r="AW198" s="80" t="s">
        <v>2265</v>
      </c>
    </row>
    <row r="199" spans="1:49">
      <c r="A199" s="80" t="s">
        <v>2241</v>
      </c>
      <c r="B199" s="80" t="s">
        <v>3298</v>
      </c>
      <c r="C199" s="80" t="s">
        <v>2141</v>
      </c>
      <c r="D199" s="80" t="s">
        <v>3299</v>
      </c>
      <c r="E199" s="80" t="s">
        <v>2244</v>
      </c>
      <c r="F199" s="80" t="s">
        <v>3300</v>
      </c>
      <c r="J199" s="80" t="s">
        <v>3301</v>
      </c>
      <c r="M199" s="80" t="s">
        <v>2247</v>
      </c>
      <c r="O199" s="80" t="s">
        <v>2141</v>
      </c>
      <c r="P199" s="80" t="s">
        <v>2653</v>
      </c>
      <c r="Q199" s="80" t="s">
        <v>3299</v>
      </c>
      <c r="R199" s="80" t="s">
        <v>3302</v>
      </c>
      <c r="S199" s="80" t="s">
        <v>2244</v>
      </c>
      <c r="T199" s="80" t="s">
        <v>2251</v>
      </c>
      <c r="U199" s="80" t="s">
        <v>2627</v>
      </c>
      <c r="V199" s="80" t="s">
        <v>3303</v>
      </c>
      <c r="W199" s="80" t="s">
        <v>2871</v>
      </c>
      <c r="X199" s="80" t="s">
        <v>2610</v>
      </c>
      <c r="AA199" s="80" t="s">
        <v>2256</v>
      </c>
      <c r="AC199" s="80" t="s">
        <v>2656</v>
      </c>
      <c r="AE199" s="80" t="s">
        <v>2258</v>
      </c>
      <c r="AF199" s="80" t="s">
        <v>2272</v>
      </c>
      <c r="AI199" s="80" t="s">
        <v>2872</v>
      </c>
      <c r="AL199" s="80" t="s">
        <v>2261</v>
      </c>
      <c r="AN199" s="80" t="s">
        <v>3300</v>
      </c>
      <c r="AP199" s="80" t="s">
        <v>2663</v>
      </c>
      <c r="AQ199" s="80" t="s">
        <v>3304</v>
      </c>
      <c r="AT199" s="80" t="s">
        <v>2256</v>
      </c>
      <c r="AU199" s="80" t="s">
        <v>3305</v>
      </c>
      <c r="AW199" s="80" t="s">
        <v>2265</v>
      </c>
    </row>
    <row r="200" spans="1:49">
      <c r="AP200" s="80" t="s">
        <v>2660</v>
      </c>
      <c r="AQ200" s="80" t="s">
        <v>3306</v>
      </c>
      <c r="AT200" s="80" t="s">
        <v>2256</v>
      </c>
      <c r="AU200" s="80" t="s">
        <v>3307</v>
      </c>
      <c r="AW200" s="80" t="s">
        <v>2577</v>
      </c>
    </row>
    <row r="201" spans="1:49">
      <c r="AP201" s="80" t="s">
        <v>2666</v>
      </c>
      <c r="AQ201" s="80" t="s">
        <v>3308</v>
      </c>
      <c r="AT201" s="80" t="s">
        <v>2256</v>
      </c>
      <c r="AU201" s="80" t="s">
        <v>3309</v>
      </c>
      <c r="AW201" s="80" t="s">
        <v>2577</v>
      </c>
    </row>
    <row r="202" spans="1:49">
      <c r="AP202" s="80" t="s">
        <v>2657</v>
      </c>
      <c r="AQ202" s="80" t="s">
        <v>3310</v>
      </c>
      <c r="AT202" s="80" t="s">
        <v>2256</v>
      </c>
      <c r="AU202" s="80" t="s">
        <v>3311</v>
      </c>
      <c r="AW202" s="80" t="s">
        <v>2577</v>
      </c>
    </row>
    <row r="203" spans="1:49">
      <c r="A203" s="80" t="s">
        <v>2241</v>
      </c>
      <c r="B203" s="80" t="s">
        <v>3312</v>
      </c>
      <c r="C203" s="80" t="s">
        <v>2141</v>
      </c>
      <c r="D203" s="80" t="s">
        <v>3313</v>
      </c>
      <c r="E203" s="80" t="s">
        <v>2244</v>
      </c>
      <c r="F203" s="80" t="s">
        <v>3314</v>
      </c>
      <c r="J203" s="80" t="s">
        <v>3315</v>
      </c>
      <c r="M203" s="80" t="s">
        <v>2247</v>
      </c>
      <c r="O203" s="80" t="s">
        <v>2141</v>
      </c>
      <c r="P203" s="80" t="s">
        <v>2653</v>
      </c>
      <c r="Q203" s="80" t="s">
        <v>3313</v>
      </c>
      <c r="R203" s="80" t="s">
        <v>3316</v>
      </c>
      <c r="S203" s="80" t="s">
        <v>2244</v>
      </c>
      <c r="T203" s="80" t="s">
        <v>2251</v>
      </c>
      <c r="U203" s="80" t="s">
        <v>2252</v>
      </c>
      <c r="V203" s="80" t="s">
        <v>3317</v>
      </c>
      <c r="W203" s="80" t="s">
        <v>2270</v>
      </c>
      <c r="X203" s="80" t="s">
        <v>2283</v>
      </c>
      <c r="AA203" s="80" t="s">
        <v>2256</v>
      </c>
      <c r="AC203" s="80" t="s">
        <v>2656</v>
      </c>
      <c r="AE203" s="80" t="s">
        <v>2258</v>
      </c>
      <c r="AF203" s="80" t="s">
        <v>2272</v>
      </c>
      <c r="AL203" s="80" t="s">
        <v>2261</v>
      </c>
      <c r="AN203" s="80" t="s">
        <v>3314</v>
      </c>
      <c r="AP203" s="80" t="s">
        <v>2666</v>
      </c>
      <c r="AQ203" s="80" t="s">
        <v>3318</v>
      </c>
      <c r="AT203" s="80" t="s">
        <v>2256</v>
      </c>
      <c r="AU203" s="80" t="s">
        <v>3319</v>
      </c>
      <c r="AW203" s="80" t="s">
        <v>2577</v>
      </c>
    </row>
    <row r="204" spans="1:49">
      <c r="AP204" s="80" t="s">
        <v>2657</v>
      </c>
      <c r="AQ204" s="80" t="s">
        <v>3320</v>
      </c>
      <c r="AT204" s="80" t="s">
        <v>2256</v>
      </c>
      <c r="AU204" s="80" t="s">
        <v>3321</v>
      </c>
      <c r="AW204" s="80" t="s">
        <v>2577</v>
      </c>
    </row>
    <row r="205" spans="1:49">
      <c r="AP205" s="80" t="s">
        <v>2663</v>
      </c>
      <c r="AQ205" s="80" t="s">
        <v>3322</v>
      </c>
      <c r="AT205" s="80" t="s">
        <v>2256</v>
      </c>
      <c r="AU205" s="80" t="s">
        <v>3323</v>
      </c>
      <c r="AW205" s="80" t="s">
        <v>2265</v>
      </c>
    </row>
    <row r="206" spans="1:49">
      <c r="AP206" s="80" t="s">
        <v>2660</v>
      </c>
      <c r="AQ206" s="80" t="s">
        <v>3324</v>
      </c>
      <c r="AT206" s="80" t="s">
        <v>2256</v>
      </c>
      <c r="AU206" s="80" t="s">
        <v>3325</v>
      </c>
      <c r="AW206" s="80" t="s">
        <v>2577</v>
      </c>
    </row>
    <row r="207" spans="1:49">
      <c r="A207" s="80" t="s">
        <v>2241</v>
      </c>
      <c r="B207" s="80" t="s">
        <v>3326</v>
      </c>
      <c r="C207" s="80" t="s">
        <v>2141</v>
      </c>
      <c r="D207" s="80" t="s">
        <v>3327</v>
      </c>
      <c r="E207" s="80" t="s">
        <v>2244</v>
      </c>
      <c r="F207" s="80" t="s">
        <v>3328</v>
      </c>
      <c r="J207" s="80" t="s">
        <v>3329</v>
      </c>
      <c r="M207" s="80" t="s">
        <v>2247</v>
      </c>
      <c r="O207" s="80" t="s">
        <v>2141</v>
      </c>
      <c r="P207" s="80" t="s">
        <v>2653</v>
      </c>
      <c r="Q207" s="80" t="s">
        <v>3327</v>
      </c>
      <c r="R207" s="80" t="s">
        <v>3330</v>
      </c>
      <c r="S207" s="80" t="s">
        <v>2244</v>
      </c>
      <c r="T207" s="80" t="s">
        <v>2251</v>
      </c>
      <c r="U207" s="80" t="s">
        <v>2241</v>
      </c>
      <c r="V207" s="80" t="s">
        <v>3331</v>
      </c>
      <c r="W207" s="80" t="s">
        <v>2270</v>
      </c>
      <c r="X207" s="80" t="s">
        <v>2291</v>
      </c>
      <c r="AA207" s="80" t="s">
        <v>2256</v>
      </c>
      <c r="AC207" s="80" t="s">
        <v>2656</v>
      </c>
      <c r="AE207" s="80" t="s">
        <v>2258</v>
      </c>
      <c r="AF207" s="80" t="s">
        <v>2259</v>
      </c>
      <c r="AL207" s="80" t="s">
        <v>2261</v>
      </c>
      <c r="AN207" s="80" t="s">
        <v>3328</v>
      </c>
      <c r="AP207" s="80" t="s">
        <v>2660</v>
      </c>
      <c r="AQ207" s="80" t="s">
        <v>3332</v>
      </c>
      <c r="AT207" s="80" t="s">
        <v>2256</v>
      </c>
      <c r="AU207" s="80" t="s">
        <v>3333</v>
      </c>
      <c r="AW207" s="80" t="s">
        <v>2577</v>
      </c>
    </row>
    <row r="208" spans="1:49">
      <c r="AP208" s="80" t="s">
        <v>2663</v>
      </c>
      <c r="AQ208" s="80" t="s">
        <v>3334</v>
      </c>
      <c r="AT208" s="80" t="s">
        <v>2256</v>
      </c>
      <c r="AU208" s="80" t="s">
        <v>3335</v>
      </c>
      <c r="AW208" s="80" t="s">
        <v>2265</v>
      </c>
    </row>
    <row r="209" spans="1:49">
      <c r="AP209" s="80" t="s">
        <v>2657</v>
      </c>
      <c r="AQ209" s="80" t="s">
        <v>3336</v>
      </c>
      <c r="AT209" s="80" t="s">
        <v>2256</v>
      </c>
      <c r="AU209" s="80" t="s">
        <v>3337</v>
      </c>
      <c r="AW209" s="80" t="s">
        <v>2577</v>
      </c>
    </row>
    <row r="210" spans="1:49">
      <c r="AP210" s="80" t="s">
        <v>2666</v>
      </c>
      <c r="AQ210" s="80" t="s">
        <v>3338</v>
      </c>
      <c r="AT210" s="80" t="s">
        <v>2256</v>
      </c>
      <c r="AU210" s="80" t="s">
        <v>3339</v>
      </c>
      <c r="AW210" s="80" t="s">
        <v>2577</v>
      </c>
    </row>
    <row r="211" spans="1:49">
      <c r="A211" s="80" t="s">
        <v>2241</v>
      </c>
      <c r="B211" s="80" t="s">
        <v>3340</v>
      </c>
      <c r="C211" s="80" t="s">
        <v>2141</v>
      </c>
      <c r="D211" s="80" t="s">
        <v>3341</v>
      </c>
      <c r="E211" s="80" t="s">
        <v>2244</v>
      </c>
      <c r="F211" s="80" t="s">
        <v>3342</v>
      </c>
      <c r="J211" s="80" t="s">
        <v>3343</v>
      </c>
      <c r="M211" s="80" t="s">
        <v>2247</v>
      </c>
      <c r="O211" s="80" t="s">
        <v>2141</v>
      </c>
      <c r="P211" s="80" t="s">
        <v>2653</v>
      </c>
      <c r="Q211" s="80" t="s">
        <v>3341</v>
      </c>
      <c r="R211" s="80" t="s">
        <v>3344</v>
      </c>
      <c r="S211" s="80" t="s">
        <v>2244</v>
      </c>
      <c r="T211" s="80" t="s">
        <v>2251</v>
      </c>
      <c r="U211" s="80" t="s">
        <v>2252</v>
      </c>
      <c r="V211" s="80" t="s">
        <v>3345</v>
      </c>
      <c r="W211" s="80" t="s">
        <v>2270</v>
      </c>
      <c r="X211" s="80" t="s">
        <v>2291</v>
      </c>
      <c r="AA211" s="80" t="s">
        <v>2256</v>
      </c>
      <c r="AC211" s="80" t="s">
        <v>2656</v>
      </c>
      <c r="AE211" s="80" t="s">
        <v>2258</v>
      </c>
      <c r="AF211" s="80" t="s">
        <v>2272</v>
      </c>
      <c r="AL211" s="80" t="s">
        <v>2261</v>
      </c>
      <c r="AN211" s="80" t="s">
        <v>3342</v>
      </c>
      <c r="AP211" s="80" t="s">
        <v>2666</v>
      </c>
      <c r="AQ211" s="80" t="s">
        <v>3346</v>
      </c>
      <c r="AT211" s="80" t="s">
        <v>2256</v>
      </c>
      <c r="AU211" s="80" t="s">
        <v>3347</v>
      </c>
      <c r="AW211" s="80" t="s">
        <v>2577</v>
      </c>
    </row>
    <row r="212" spans="1:49">
      <c r="AP212" s="80" t="s">
        <v>2657</v>
      </c>
      <c r="AQ212" s="80" t="s">
        <v>3348</v>
      </c>
      <c r="AT212" s="80" t="s">
        <v>2256</v>
      </c>
      <c r="AU212" s="80" t="s">
        <v>3349</v>
      </c>
      <c r="AW212" s="80" t="s">
        <v>2265</v>
      </c>
    </row>
    <row r="213" spans="1:49">
      <c r="AP213" s="80" t="s">
        <v>2663</v>
      </c>
      <c r="AQ213" s="80" t="s">
        <v>3350</v>
      </c>
      <c r="AT213" s="80" t="s">
        <v>2256</v>
      </c>
      <c r="AU213" s="80" t="s">
        <v>3351</v>
      </c>
      <c r="AW213" s="80" t="s">
        <v>2265</v>
      </c>
    </row>
    <row r="214" spans="1:49">
      <c r="AP214" s="80" t="s">
        <v>2660</v>
      </c>
      <c r="AQ214" s="80" t="s">
        <v>3352</v>
      </c>
      <c r="AT214" s="80" t="s">
        <v>2256</v>
      </c>
      <c r="AU214" s="80" t="s">
        <v>3353</v>
      </c>
      <c r="AW214" s="80" t="s">
        <v>2577</v>
      </c>
    </row>
    <row r="215" spans="1:49">
      <c r="A215" s="80" t="s">
        <v>2241</v>
      </c>
      <c r="B215" s="80" t="s">
        <v>3354</v>
      </c>
      <c r="C215" s="80" t="s">
        <v>2141</v>
      </c>
      <c r="D215" s="80" t="s">
        <v>3355</v>
      </c>
      <c r="E215" s="80" t="s">
        <v>2244</v>
      </c>
      <c r="F215" s="80" t="s">
        <v>3356</v>
      </c>
      <c r="J215" s="80" t="s">
        <v>3357</v>
      </c>
      <c r="M215" s="80" t="s">
        <v>2247</v>
      </c>
      <c r="O215" s="80" t="s">
        <v>2141</v>
      </c>
      <c r="P215" s="80" t="s">
        <v>2653</v>
      </c>
      <c r="Q215" s="80" t="s">
        <v>3355</v>
      </c>
      <c r="R215" s="80" t="s">
        <v>3358</v>
      </c>
      <c r="S215" s="80" t="s">
        <v>2244</v>
      </c>
      <c r="T215" s="80" t="s">
        <v>2251</v>
      </c>
      <c r="U215" s="80" t="s">
        <v>2252</v>
      </c>
      <c r="V215" s="80" t="s">
        <v>3359</v>
      </c>
      <c r="W215" s="80" t="s">
        <v>2254</v>
      </c>
      <c r="X215" s="80" t="s">
        <v>2271</v>
      </c>
      <c r="AA215" s="80" t="s">
        <v>2256</v>
      </c>
      <c r="AC215" s="80" t="s">
        <v>2656</v>
      </c>
      <c r="AE215" s="80" t="s">
        <v>2258</v>
      </c>
      <c r="AF215" s="80" t="s">
        <v>2272</v>
      </c>
      <c r="AL215" s="80" t="s">
        <v>2261</v>
      </c>
      <c r="AN215" s="80" t="s">
        <v>3356</v>
      </c>
      <c r="AP215" s="80" t="s">
        <v>2660</v>
      </c>
      <c r="AQ215" s="80" t="s">
        <v>3360</v>
      </c>
      <c r="AT215" s="80" t="s">
        <v>2256</v>
      </c>
      <c r="AU215" s="80" t="s">
        <v>3361</v>
      </c>
      <c r="AW215" s="80" t="s">
        <v>2577</v>
      </c>
    </row>
    <row r="216" spans="1:49">
      <c r="AP216" s="80" t="s">
        <v>2663</v>
      </c>
      <c r="AQ216" s="80" t="s">
        <v>3362</v>
      </c>
      <c r="AT216" s="80" t="s">
        <v>2256</v>
      </c>
      <c r="AU216" s="80" t="s">
        <v>3363</v>
      </c>
      <c r="AW216" s="80" t="s">
        <v>2265</v>
      </c>
    </row>
    <row r="217" spans="1:49">
      <c r="AP217" s="80" t="s">
        <v>2657</v>
      </c>
      <c r="AQ217" s="80" t="s">
        <v>3364</v>
      </c>
      <c r="AT217" s="80" t="s">
        <v>2256</v>
      </c>
      <c r="AU217" s="80" t="s">
        <v>3365</v>
      </c>
      <c r="AW217" s="80" t="s">
        <v>2577</v>
      </c>
    </row>
    <row r="218" spans="1:49">
      <c r="AP218" s="80" t="s">
        <v>2666</v>
      </c>
      <c r="AQ218" s="80" t="s">
        <v>3366</v>
      </c>
      <c r="AT218" s="80" t="s">
        <v>2256</v>
      </c>
      <c r="AU218" s="80" t="s">
        <v>3367</v>
      </c>
      <c r="AW218" s="80" t="s">
        <v>2577</v>
      </c>
    </row>
    <row r="219" spans="1:49">
      <c r="A219" s="80" t="s">
        <v>2241</v>
      </c>
      <c r="B219" s="80" t="s">
        <v>3368</v>
      </c>
      <c r="C219" s="80" t="s">
        <v>2141</v>
      </c>
      <c r="D219" s="80" t="s">
        <v>3369</v>
      </c>
      <c r="E219" s="80" t="s">
        <v>2244</v>
      </c>
      <c r="F219" s="80" t="s">
        <v>3370</v>
      </c>
      <c r="J219" s="80" t="s">
        <v>3371</v>
      </c>
      <c r="M219" s="80" t="s">
        <v>2247</v>
      </c>
      <c r="O219" s="80" t="s">
        <v>2141</v>
      </c>
      <c r="P219" s="80" t="s">
        <v>2653</v>
      </c>
      <c r="Q219" s="80" t="s">
        <v>3369</v>
      </c>
      <c r="R219" s="80" t="s">
        <v>3372</v>
      </c>
      <c r="S219" s="80" t="s">
        <v>2244</v>
      </c>
      <c r="T219" s="80" t="s">
        <v>2251</v>
      </c>
      <c r="U219" s="80" t="s">
        <v>2252</v>
      </c>
      <c r="V219" s="80" t="s">
        <v>3373</v>
      </c>
      <c r="W219" s="80" t="s">
        <v>2270</v>
      </c>
      <c r="X219" s="80" t="s">
        <v>2283</v>
      </c>
      <c r="AA219" s="80" t="s">
        <v>2256</v>
      </c>
      <c r="AC219" s="80" t="s">
        <v>2656</v>
      </c>
      <c r="AE219" s="80" t="s">
        <v>2258</v>
      </c>
      <c r="AF219" s="80" t="s">
        <v>2272</v>
      </c>
      <c r="AL219" s="80" t="s">
        <v>2261</v>
      </c>
      <c r="AN219" s="80" t="s">
        <v>3370</v>
      </c>
      <c r="AP219" s="80" t="s">
        <v>2666</v>
      </c>
      <c r="AQ219" s="80" t="s">
        <v>3374</v>
      </c>
      <c r="AU219" s="80" t="s">
        <v>3375</v>
      </c>
    </row>
    <row r="220" spans="1:49">
      <c r="AP220" s="80" t="s">
        <v>2660</v>
      </c>
      <c r="AQ220" s="80" t="s">
        <v>3376</v>
      </c>
      <c r="AU220" s="80" t="s">
        <v>3377</v>
      </c>
    </row>
    <row r="221" spans="1:49">
      <c r="AP221" s="80" t="s">
        <v>2663</v>
      </c>
      <c r="AQ221" s="80" t="s">
        <v>3378</v>
      </c>
      <c r="AU221" s="80" t="s">
        <v>3379</v>
      </c>
    </row>
    <row r="222" spans="1:49">
      <c r="AP222" s="80" t="s">
        <v>2657</v>
      </c>
      <c r="AQ222" s="80" t="s">
        <v>3380</v>
      </c>
      <c r="AU222" s="80" t="s">
        <v>3381</v>
      </c>
    </row>
    <row r="223" spans="1:49">
      <c r="A223" s="80" t="s">
        <v>2241</v>
      </c>
      <c r="B223" s="80" t="s">
        <v>3382</v>
      </c>
      <c r="C223" s="80" t="s">
        <v>2141</v>
      </c>
      <c r="D223" s="80" t="s">
        <v>3383</v>
      </c>
      <c r="E223" s="80" t="s">
        <v>2244</v>
      </c>
      <c r="F223" s="80" t="s">
        <v>3384</v>
      </c>
      <c r="J223" s="80" t="s">
        <v>3385</v>
      </c>
      <c r="M223" s="80" t="s">
        <v>2247</v>
      </c>
      <c r="O223" s="80" t="s">
        <v>2141</v>
      </c>
      <c r="P223" s="80" t="s">
        <v>2653</v>
      </c>
      <c r="Q223" s="80" t="s">
        <v>3383</v>
      </c>
      <c r="R223" s="80" t="s">
        <v>3386</v>
      </c>
      <c r="S223" s="80" t="s">
        <v>2244</v>
      </c>
      <c r="T223" s="80" t="s">
        <v>2251</v>
      </c>
      <c r="U223" s="80" t="s">
        <v>2241</v>
      </c>
      <c r="V223" s="80" t="s">
        <v>3387</v>
      </c>
      <c r="W223" s="80" t="s">
        <v>2311</v>
      </c>
      <c r="X223" s="80" t="s">
        <v>2291</v>
      </c>
      <c r="AA223" s="80" t="s">
        <v>2256</v>
      </c>
      <c r="AC223" s="80" t="s">
        <v>2656</v>
      </c>
      <c r="AE223" s="80" t="s">
        <v>2258</v>
      </c>
      <c r="AF223" s="80" t="s">
        <v>2272</v>
      </c>
      <c r="AL223" s="80" t="s">
        <v>2261</v>
      </c>
      <c r="AN223" s="80" t="s">
        <v>3384</v>
      </c>
      <c r="AP223" s="80" t="s">
        <v>2663</v>
      </c>
      <c r="AQ223" s="80" t="s">
        <v>3388</v>
      </c>
      <c r="AT223" s="80" t="s">
        <v>2256</v>
      </c>
      <c r="AU223" s="80" t="s">
        <v>3389</v>
      </c>
      <c r="AW223" s="80" t="s">
        <v>2265</v>
      </c>
    </row>
    <row r="224" spans="1:49">
      <c r="AP224" s="80" t="s">
        <v>2660</v>
      </c>
      <c r="AQ224" s="80" t="s">
        <v>3390</v>
      </c>
      <c r="AT224" s="80" t="s">
        <v>2256</v>
      </c>
      <c r="AU224" s="80" t="s">
        <v>3391</v>
      </c>
      <c r="AW224" s="80" t="s">
        <v>2577</v>
      </c>
    </row>
    <row r="225" spans="1:49">
      <c r="AP225" s="80" t="s">
        <v>2666</v>
      </c>
      <c r="AQ225" s="80" t="s">
        <v>3392</v>
      </c>
      <c r="AT225" s="80" t="s">
        <v>2256</v>
      </c>
      <c r="AU225" s="80" t="s">
        <v>3393</v>
      </c>
      <c r="AW225" s="80" t="s">
        <v>2577</v>
      </c>
    </row>
    <row r="226" spans="1:49">
      <c r="AP226" s="80" t="s">
        <v>2657</v>
      </c>
      <c r="AQ226" s="80" t="s">
        <v>3394</v>
      </c>
      <c r="AT226" s="80" t="s">
        <v>2256</v>
      </c>
      <c r="AU226" s="80" t="s">
        <v>3395</v>
      </c>
      <c r="AW226" s="80" t="s">
        <v>2265</v>
      </c>
    </row>
    <row r="227" spans="1:49">
      <c r="A227" s="80" t="s">
        <v>2241</v>
      </c>
      <c r="B227" s="80" t="s">
        <v>3396</v>
      </c>
      <c r="C227" s="80" t="s">
        <v>2141</v>
      </c>
      <c r="D227" s="80" t="s">
        <v>3397</v>
      </c>
      <c r="E227" s="80" t="s">
        <v>2244</v>
      </c>
      <c r="F227" s="80" t="s">
        <v>3398</v>
      </c>
      <c r="J227" s="80" t="s">
        <v>3399</v>
      </c>
      <c r="M227" s="80" t="s">
        <v>2247</v>
      </c>
      <c r="O227" s="80" t="s">
        <v>2141</v>
      </c>
      <c r="P227" s="80" t="s">
        <v>2653</v>
      </c>
      <c r="Q227" s="80" t="s">
        <v>3397</v>
      </c>
      <c r="R227" s="80" t="s">
        <v>3400</v>
      </c>
      <c r="S227" s="80" t="s">
        <v>2244</v>
      </c>
      <c r="T227" s="80" t="s">
        <v>2251</v>
      </c>
      <c r="U227" s="80" t="s">
        <v>2252</v>
      </c>
      <c r="V227" s="80" t="s">
        <v>3401</v>
      </c>
      <c r="W227" s="80" t="s">
        <v>2871</v>
      </c>
      <c r="X227" s="80" t="s">
        <v>2610</v>
      </c>
      <c r="AA227" s="80" t="s">
        <v>2256</v>
      </c>
      <c r="AC227" s="80" t="s">
        <v>2656</v>
      </c>
      <c r="AE227" s="80" t="s">
        <v>2258</v>
      </c>
      <c r="AF227" s="80" t="s">
        <v>2272</v>
      </c>
      <c r="AI227" s="80" t="s">
        <v>2872</v>
      </c>
      <c r="AL227" s="80" t="s">
        <v>2261</v>
      </c>
      <c r="AN227" s="80" t="s">
        <v>3398</v>
      </c>
      <c r="AP227" s="80" t="s">
        <v>2663</v>
      </c>
      <c r="AQ227" s="80" t="s">
        <v>3402</v>
      </c>
      <c r="AT227" s="80" t="s">
        <v>2256</v>
      </c>
      <c r="AU227" s="80" t="s">
        <v>3403</v>
      </c>
      <c r="AW227" s="80" t="s">
        <v>2265</v>
      </c>
    </row>
    <row r="228" spans="1:49">
      <c r="AP228" s="80" t="s">
        <v>2657</v>
      </c>
      <c r="AQ228" s="80" t="s">
        <v>3404</v>
      </c>
      <c r="AT228" s="80" t="s">
        <v>2256</v>
      </c>
      <c r="AU228" s="80" t="s">
        <v>3405</v>
      </c>
      <c r="AW228" s="80" t="s">
        <v>2577</v>
      </c>
    </row>
    <row r="229" spans="1:49">
      <c r="AP229" s="80" t="s">
        <v>2666</v>
      </c>
      <c r="AQ229" s="80" t="s">
        <v>3406</v>
      </c>
      <c r="AT229" s="80" t="s">
        <v>2256</v>
      </c>
      <c r="AU229" s="80" t="s">
        <v>3407</v>
      </c>
      <c r="AW229" s="80" t="s">
        <v>2577</v>
      </c>
    </row>
    <row r="230" spans="1:49">
      <c r="AP230" s="80" t="s">
        <v>2660</v>
      </c>
      <c r="AQ230" s="80" t="s">
        <v>3408</v>
      </c>
      <c r="AT230" s="80" t="s">
        <v>2256</v>
      </c>
      <c r="AU230" s="80" t="s">
        <v>3409</v>
      </c>
      <c r="AW230" s="80" t="s">
        <v>2577</v>
      </c>
    </row>
    <row r="231" spans="1:49">
      <c r="A231" s="80" t="s">
        <v>2241</v>
      </c>
      <c r="B231" s="80" t="s">
        <v>3410</v>
      </c>
      <c r="C231" s="80" t="s">
        <v>2141</v>
      </c>
      <c r="D231" s="80" t="s">
        <v>3411</v>
      </c>
      <c r="E231" s="80" t="s">
        <v>2244</v>
      </c>
      <c r="F231" s="80" t="s">
        <v>3412</v>
      </c>
      <c r="J231" s="80" t="s">
        <v>3413</v>
      </c>
      <c r="M231" s="80" t="s">
        <v>2247</v>
      </c>
      <c r="O231" s="80" t="s">
        <v>2141</v>
      </c>
      <c r="P231" s="80" t="s">
        <v>2653</v>
      </c>
      <c r="Q231" s="80" t="s">
        <v>3411</v>
      </c>
      <c r="R231" s="80" t="s">
        <v>3414</v>
      </c>
      <c r="S231" s="80" t="s">
        <v>2244</v>
      </c>
      <c r="T231" s="80" t="s">
        <v>2251</v>
      </c>
      <c r="U231" s="80" t="s">
        <v>2929</v>
      </c>
      <c r="V231" s="80" t="s">
        <v>3415</v>
      </c>
      <c r="W231" s="80" t="s">
        <v>2254</v>
      </c>
      <c r="X231" s="80" t="s">
        <v>2255</v>
      </c>
      <c r="AA231" s="80" t="s">
        <v>2256</v>
      </c>
      <c r="AC231" s="80" t="s">
        <v>2656</v>
      </c>
      <c r="AE231" s="80" t="s">
        <v>2258</v>
      </c>
      <c r="AF231" s="80" t="s">
        <v>2272</v>
      </c>
      <c r="AL231" s="80" t="s">
        <v>2261</v>
      </c>
      <c r="AN231" s="80" t="s">
        <v>3412</v>
      </c>
      <c r="AP231" s="80" t="s">
        <v>2657</v>
      </c>
      <c r="AQ231" s="80" t="s">
        <v>3416</v>
      </c>
      <c r="AT231" s="80" t="s">
        <v>2256</v>
      </c>
      <c r="AU231" s="80" t="s">
        <v>3417</v>
      </c>
      <c r="AW231" s="80" t="s">
        <v>2577</v>
      </c>
    </row>
    <row r="232" spans="1:49">
      <c r="AP232" s="80" t="s">
        <v>2660</v>
      </c>
      <c r="AQ232" s="80" t="s">
        <v>3418</v>
      </c>
      <c r="AT232" s="80" t="s">
        <v>2256</v>
      </c>
      <c r="AU232" s="80" t="s">
        <v>3419</v>
      </c>
      <c r="AW232" s="80" t="s">
        <v>2577</v>
      </c>
    </row>
    <row r="233" spans="1:49">
      <c r="AP233" s="80" t="s">
        <v>2666</v>
      </c>
      <c r="AQ233" s="80" t="s">
        <v>3420</v>
      </c>
      <c r="AT233" s="80" t="s">
        <v>2256</v>
      </c>
      <c r="AU233" s="80" t="s">
        <v>3421</v>
      </c>
      <c r="AW233" s="80" t="s">
        <v>2577</v>
      </c>
    </row>
    <row r="234" spans="1:49">
      <c r="AP234" s="80" t="s">
        <v>2663</v>
      </c>
      <c r="AQ234" s="80" t="s">
        <v>3422</v>
      </c>
      <c r="AT234" s="80" t="s">
        <v>2256</v>
      </c>
      <c r="AU234" s="80" t="s">
        <v>3423</v>
      </c>
      <c r="AW234" s="80" t="s">
        <v>2265</v>
      </c>
    </row>
    <row r="235" spans="1:49">
      <c r="A235" s="80" t="s">
        <v>2241</v>
      </c>
      <c r="B235" s="80" t="s">
        <v>3424</v>
      </c>
      <c r="C235" s="80" t="s">
        <v>2141</v>
      </c>
      <c r="D235" s="80" t="s">
        <v>3425</v>
      </c>
      <c r="E235" s="80" t="s">
        <v>2244</v>
      </c>
      <c r="F235" s="80" t="s">
        <v>3426</v>
      </c>
      <c r="J235" s="80" t="s">
        <v>3427</v>
      </c>
      <c r="M235" s="80" t="s">
        <v>2247</v>
      </c>
      <c r="O235" s="80" t="s">
        <v>2141</v>
      </c>
      <c r="P235" s="80" t="s">
        <v>2653</v>
      </c>
      <c r="Q235" s="80" t="s">
        <v>3425</v>
      </c>
      <c r="R235" s="80" t="s">
        <v>3428</v>
      </c>
      <c r="S235" s="80" t="s">
        <v>2244</v>
      </c>
      <c r="T235" s="80" t="s">
        <v>2251</v>
      </c>
      <c r="U235" s="80" t="s">
        <v>2252</v>
      </c>
      <c r="V235" s="80" t="s">
        <v>3429</v>
      </c>
      <c r="W235" s="80" t="s">
        <v>3430</v>
      </c>
      <c r="X235" s="80" t="s">
        <v>2271</v>
      </c>
      <c r="AA235" s="80" t="s">
        <v>2256</v>
      </c>
      <c r="AC235" s="80" t="s">
        <v>2656</v>
      </c>
      <c r="AE235" s="80" t="s">
        <v>2258</v>
      </c>
      <c r="AF235" s="80" t="s">
        <v>2272</v>
      </c>
      <c r="AL235" s="80" t="s">
        <v>2261</v>
      </c>
      <c r="AN235" s="80" t="s">
        <v>3426</v>
      </c>
      <c r="AP235" s="80" t="s">
        <v>2657</v>
      </c>
      <c r="AQ235" s="80" t="s">
        <v>3431</v>
      </c>
      <c r="AT235" s="80" t="s">
        <v>2256</v>
      </c>
      <c r="AU235" s="80" t="s">
        <v>3432</v>
      </c>
      <c r="AW235" s="80" t="s">
        <v>2577</v>
      </c>
    </row>
    <row r="236" spans="1:49">
      <c r="AP236" s="80" t="s">
        <v>2660</v>
      </c>
      <c r="AQ236" s="80" t="s">
        <v>3433</v>
      </c>
      <c r="AT236" s="80" t="s">
        <v>2256</v>
      </c>
      <c r="AU236" s="80" t="s">
        <v>3434</v>
      </c>
      <c r="AW236" s="80" t="s">
        <v>2577</v>
      </c>
    </row>
    <row r="237" spans="1:49">
      <c r="AP237" s="80" t="s">
        <v>2666</v>
      </c>
      <c r="AQ237" s="80" t="s">
        <v>3435</v>
      </c>
      <c r="AT237" s="80" t="s">
        <v>2256</v>
      </c>
      <c r="AU237" s="80" t="s">
        <v>3436</v>
      </c>
      <c r="AW237" s="80" t="s">
        <v>2577</v>
      </c>
    </row>
    <row r="238" spans="1:49">
      <c r="AP238" s="80" t="s">
        <v>2663</v>
      </c>
      <c r="AQ238" s="80" t="s">
        <v>3437</v>
      </c>
      <c r="AT238" s="80" t="s">
        <v>2256</v>
      </c>
      <c r="AU238" s="80" t="s">
        <v>3438</v>
      </c>
      <c r="AW238" s="80" t="s">
        <v>2265</v>
      </c>
    </row>
    <row r="239" spans="1:49">
      <c r="A239" s="80" t="s">
        <v>2241</v>
      </c>
      <c r="B239" s="80" t="s">
        <v>3439</v>
      </c>
      <c r="C239" s="80" t="s">
        <v>2141</v>
      </c>
      <c r="D239" s="80" t="s">
        <v>3440</v>
      </c>
      <c r="E239" s="80" t="s">
        <v>2244</v>
      </c>
      <c r="F239" s="80" t="s">
        <v>3441</v>
      </c>
      <c r="J239" s="80" t="s">
        <v>3442</v>
      </c>
      <c r="M239" s="80" t="s">
        <v>2247</v>
      </c>
      <c r="O239" s="80" t="s">
        <v>2141</v>
      </c>
      <c r="P239" s="80" t="s">
        <v>2653</v>
      </c>
      <c r="Q239" s="80" t="s">
        <v>3440</v>
      </c>
      <c r="R239" s="80" t="s">
        <v>3443</v>
      </c>
      <c r="S239" s="80" t="s">
        <v>2244</v>
      </c>
      <c r="T239" s="80" t="s">
        <v>2251</v>
      </c>
      <c r="U239" s="80" t="s">
        <v>2241</v>
      </c>
      <c r="V239" s="80" t="s">
        <v>3444</v>
      </c>
      <c r="W239" s="80" t="s">
        <v>3445</v>
      </c>
      <c r="X239" s="80" t="s">
        <v>2271</v>
      </c>
      <c r="AA239" s="80" t="s">
        <v>2256</v>
      </c>
      <c r="AC239" s="80" t="s">
        <v>2656</v>
      </c>
      <c r="AE239" s="80" t="s">
        <v>2258</v>
      </c>
      <c r="AF239" s="80" t="s">
        <v>2272</v>
      </c>
      <c r="AL239" s="80" t="s">
        <v>2261</v>
      </c>
      <c r="AN239" s="80" t="s">
        <v>3441</v>
      </c>
      <c r="AP239" s="80" t="s">
        <v>2660</v>
      </c>
      <c r="AQ239" s="80" t="s">
        <v>3446</v>
      </c>
      <c r="AT239" s="80" t="s">
        <v>2256</v>
      </c>
      <c r="AU239" s="80" t="s">
        <v>3447</v>
      </c>
      <c r="AW239" s="80" t="s">
        <v>2577</v>
      </c>
    </row>
    <row r="240" spans="1:49">
      <c r="AP240" s="80" t="s">
        <v>2657</v>
      </c>
      <c r="AQ240" s="80" t="s">
        <v>3448</v>
      </c>
      <c r="AT240" s="80" t="s">
        <v>2256</v>
      </c>
      <c r="AU240" s="80" t="s">
        <v>3449</v>
      </c>
      <c r="AW240" s="80" t="s">
        <v>2577</v>
      </c>
    </row>
    <row r="241" spans="1:49">
      <c r="AP241" s="80" t="s">
        <v>2663</v>
      </c>
      <c r="AQ241" s="80" t="s">
        <v>3450</v>
      </c>
      <c r="AT241" s="80" t="s">
        <v>2256</v>
      </c>
      <c r="AU241" s="80" t="s">
        <v>3451</v>
      </c>
      <c r="AW241" s="80" t="s">
        <v>2265</v>
      </c>
    </row>
    <row r="242" spans="1:49">
      <c r="AP242" s="80" t="s">
        <v>2666</v>
      </c>
      <c r="AQ242" s="80" t="s">
        <v>3452</v>
      </c>
      <c r="AT242" s="80" t="s">
        <v>2256</v>
      </c>
      <c r="AU242" s="80" t="s">
        <v>3453</v>
      </c>
      <c r="AW242" s="80" t="s">
        <v>2577</v>
      </c>
    </row>
    <row r="243" spans="1:49">
      <c r="A243" s="80" t="s">
        <v>2241</v>
      </c>
      <c r="B243" s="80" t="s">
        <v>3454</v>
      </c>
      <c r="C243" s="80" t="s">
        <v>2141</v>
      </c>
      <c r="D243" s="80" t="s">
        <v>3455</v>
      </c>
      <c r="E243" s="80" t="s">
        <v>2244</v>
      </c>
      <c r="F243" s="80" t="s">
        <v>3131</v>
      </c>
      <c r="J243" s="80" t="s">
        <v>3456</v>
      </c>
      <c r="M243" s="80" t="s">
        <v>2247</v>
      </c>
      <c r="O243" s="80" t="s">
        <v>2141</v>
      </c>
      <c r="P243" s="80" t="s">
        <v>2653</v>
      </c>
      <c r="Q243" s="80" t="s">
        <v>3455</v>
      </c>
      <c r="R243" s="80" t="s">
        <v>3457</v>
      </c>
      <c r="S243" s="80" t="s">
        <v>2244</v>
      </c>
      <c r="T243" s="80" t="s">
        <v>2251</v>
      </c>
      <c r="U243" s="80" t="s">
        <v>2241</v>
      </c>
      <c r="V243" s="80" t="s">
        <v>3458</v>
      </c>
      <c r="W243" s="80" t="s">
        <v>2871</v>
      </c>
      <c r="X243" s="80" t="s">
        <v>2610</v>
      </c>
      <c r="AA243" s="80" t="s">
        <v>2256</v>
      </c>
      <c r="AC243" s="80" t="s">
        <v>2656</v>
      </c>
      <c r="AE243" s="80" t="s">
        <v>2258</v>
      </c>
      <c r="AF243" s="80" t="s">
        <v>2272</v>
      </c>
      <c r="AI243" s="80" t="s">
        <v>2872</v>
      </c>
      <c r="AL243" s="80" t="s">
        <v>2261</v>
      </c>
      <c r="AN243" s="80" t="s">
        <v>3131</v>
      </c>
      <c r="AP243" s="80" t="s">
        <v>2663</v>
      </c>
      <c r="AQ243" s="80" t="s">
        <v>3459</v>
      </c>
      <c r="AT243" s="80" t="s">
        <v>2256</v>
      </c>
      <c r="AU243" s="80" t="s">
        <v>3460</v>
      </c>
      <c r="AW243" s="80" t="s">
        <v>2265</v>
      </c>
    </row>
    <row r="244" spans="1:49">
      <c r="AP244" s="80" t="s">
        <v>2660</v>
      </c>
      <c r="AQ244" s="80" t="s">
        <v>3461</v>
      </c>
      <c r="AT244" s="80" t="s">
        <v>2256</v>
      </c>
      <c r="AU244" s="80" t="s">
        <v>3462</v>
      </c>
      <c r="AW244" s="80" t="s">
        <v>2577</v>
      </c>
    </row>
    <row r="245" spans="1:49">
      <c r="AP245" s="80" t="s">
        <v>2666</v>
      </c>
      <c r="AQ245" s="80" t="s">
        <v>3463</v>
      </c>
      <c r="AT245" s="80" t="s">
        <v>2256</v>
      </c>
      <c r="AU245" s="80" t="s">
        <v>3464</v>
      </c>
      <c r="AW245" s="80" t="s">
        <v>2577</v>
      </c>
    </row>
    <row r="246" spans="1:49">
      <c r="AP246" s="80" t="s">
        <v>2657</v>
      </c>
      <c r="AQ246" s="80" t="s">
        <v>3465</v>
      </c>
      <c r="AT246" s="80" t="s">
        <v>2256</v>
      </c>
      <c r="AU246" s="80" t="s">
        <v>3466</v>
      </c>
      <c r="AW246" s="80" t="s">
        <v>2265</v>
      </c>
    </row>
    <row r="247" spans="1:49">
      <c r="A247" s="80" t="s">
        <v>2241</v>
      </c>
      <c r="B247" s="80" t="s">
        <v>3467</v>
      </c>
      <c r="C247" s="80" t="s">
        <v>2141</v>
      </c>
      <c r="D247" s="80" t="s">
        <v>3468</v>
      </c>
      <c r="E247" s="80" t="s">
        <v>2244</v>
      </c>
      <c r="F247" s="80" t="s">
        <v>3469</v>
      </c>
      <c r="J247" s="80" t="s">
        <v>3470</v>
      </c>
      <c r="M247" s="80" t="s">
        <v>2247</v>
      </c>
      <c r="O247" s="80" t="s">
        <v>2141</v>
      </c>
      <c r="P247" s="80" t="s">
        <v>2653</v>
      </c>
      <c r="Q247" s="80" t="s">
        <v>3468</v>
      </c>
      <c r="R247" s="80" t="s">
        <v>3471</v>
      </c>
      <c r="S247" s="80" t="s">
        <v>2244</v>
      </c>
      <c r="T247" s="80" t="s">
        <v>2251</v>
      </c>
      <c r="U247" s="80" t="s">
        <v>2241</v>
      </c>
      <c r="V247" s="80" t="s">
        <v>3472</v>
      </c>
      <c r="W247" s="80" t="s">
        <v>3176</v>
      </c>
      <c r="X247" s="80" t="s">
        <v>2291</v>
      </c>
      <c r="AA247" s="80" t="s">
        <v>2256</v>
      </c>
      <c r="AC247" s="80" t="s">
        <v>2656</v>
      </c>
      <c r="AE247" s="80" t="s">
        <v>2258</v>
      </c>
      <c r="AF247" s="80" t="s">
        <v>2272</v>
      </c>
      <c r="AL247" s="80" t="s">
        <v>2261</v>
      </c>
      <c r="AN247" s="80" t="s">
        <v>3469</v>
      </c>
      <c r="AP247" s="80" t="s">
        <v>2657</v>
      </c>
      <c r="AQ247" s="80" t="s">
        <v>3473</v>
      </c>
      <c r="AS247" s="80" t="s">
        <v>2978</v>
      </c>
      <c r="AT247" s="80" t="s">
        <v>2256</v>
      </c>
      <c r="AU247" s="80" t="s">
        <v>3474</v>
      </c>
      <c r="AW247" s="80" t="s">
        <v>2577</v>
      </c>
    </row>
    <row r="248" spans="1:49">
      <c r="AP248" s="80" t="s">
        <v>2663</v>
      </c>
      <c r="AQ248" s="80" t="s">
        <v>3475</v>
      </c>
      <c r="AS248" s="80" t="s">
        <v>2978</v>
      </c>
      <c r="AT248" s="80" t="s">
        <v>2256</v>
      </c>
      <c r="AU248" s="80" t="s">
        <v>3476</v>
      </c>
      <c r="AW248" s="80" t="s">
        <v>2265</v>
      </c>
    </row>
    <row r="249" spans="1:49">
      <c r="AP249" s="80" t="s">
        <v>2666</v>
      </c>
      <c r="AQ249" s="80" t="s">
        <v>3477</v>
      </c>
      <c r="AS249" s="80" t="s">
        <v>2978</v>
      </c>
      <c r="AT249" s="80" t="s">
        <v>2256</v>
      </c>
      <c r="AU249" s="80" t="s">
        <v>3478</v>
      </c>
      <c r="AW249" s="80" t="s">
        <v>2577</v>
      </c>
    </row>
    <row r="250" spans="1:49">
      <c r="AP250" s="80" t="s">
        <v>2660</v>
      </c>
      <c r="AQ250" s="80" t="s">
        <v>3479</v>
      </c>
      <c r="AS250" s="80" t="s">
        <v>2978</v>
      </c>
      <c r="AT250" s="80" t="s">
        <v>2256</v>
      </c>
      <c r="AU250" s="80" t="s">
        <v>3480</v>
      </c>
      <c r="AW250" s="80" t="s">
        <v>2265</v>
      </c>
    </row>
    <row r="251" spans="1:49">
      <c r="A251" s="80" t="s">
        <v>2241</v>
      </c>
      <c r="B251" s="80" t="s">
        <v>3481</v>
      </c>
      <c r="C251" s="80" t="s">
        <v>2141</v>
      </c>
      <c r="D251" s="80" t="s">
        <v>3482</v>
      </c>
      <c r="E251" s="80" t="s">
        <v>2244</v>
      </c>
      <c r="F251" s="80" t="s">
        <v>3483</v>
      </c>
      <c r="J251" s="80" t="s">
        <v>3484</v>
      </c>
      <c r="M251" s="80" t="s">
        <v>2247</v>
      </c>
      <c r="O251" s="80" t="s">
        <v>2141</v>
      </c>
      <c r="P251" s="80" t="s">
        <v>2653</v>
      </c>
      <c r="Q251" s="80" t="s">
        <v>3482</v>
      </c>
      <c r="R251" s="80" t="s">
        <v>3485</v>
      </c>
      <c r="S251" s="80" t="s">
        <v>2244</v>
      </c>
      <c r="T251" s="80" t="s">
        <v>2251</v>
      </c>
      <c r="U251" s="80" t="s">
        <v>2241</v>
      </c>
      <c r="V251" s="80" t="s">
        <v>3486</v>
      </c>
      <c r="W251" s="80" t="s">
        <v>2871</v>
      </c>
      <c r="X251" s="80" t="s">
        <v>2610</v>
      </c>
      <c r="AA251" s="80" t="s">
        <v>2256</v>
      </c>
      <c r="AC251" s="80" t="s">
        <v>2656</v>
      </c>
      <c r="AE251" s="80" t="s">
        <v>2258</v>
      </c>
      <c r="AF251" s="80" t="s">
        <v>2272</v>
      </c>
      <c r="AI251" s="80" t="s">
        <v>2872</v>
      </c>
      <c r="AL251" s="80" t="s">
        <v>2261</v>
      </c>
      <c r="AN251" s="80" t="s">
        <v>3483</v>
      </c>
      <c r="AP251" s="80" t="s">
        <v>2663</v>
      </c>
      <c r="AQ251" s="80" t="s">
        <v>3487</v>
      </c>
      <c r="AT251" s="80" t="s">
        <v>2256</v>
      </c>
      <c r="AU251" s="80" t="s">
        <v>3488</v>
      </c>
      <c r="AW251" s="80" t="s">
        <v>2265</v>
      </c>
    </row>
    <row r="252" spans="1:49">
      <c r="AP252" s="80" t="s">
        <v>2660</v>
      </c>
      <c r="AQ252" s="80" t="s">
        <v>3489</v>
      </c>
      <c r="AT252" s="80" t="s">
        <v>2256</v>
      </c>
      <c r="AU252" s="80" t="s">
        <v>3490</v>
      </c>
      <c r="AW252" s="80" t="s">
        <v>2577</v>
      </c>
    </row>
    <row r="253" spans="1:49">
      <c r="AP253" s="80" t="s">
        <v>2666</v>
      </c>
      <c r="AQ253" s="80" t="s">
        <v>3491</v>
      </c>
      <c r="AT253" s="80" t="s">
        <v>2256</v>
      </c>
      <c r="AU253" s="80" t="s">
        <v>3492</v>
      </c>
      <c r="AW253" s="80" t="s">
        <v>2577</v>
      </c>
    </row>
    <row r="254" spans="1:49">
      <c r="AP254" s="80" t="s">
        <v>2657</v>
      </c>
      <c r="AQ254" s="80" t="s">
        <v>3493</v>
      </c>
      <c r="AT254" s="80" t="s">
        <v>2256</v>
      </c>
      <c r="AU254" s="80" t="s">
        <v>3494</v>
      </c>
      <c r="AW254" s="80" t="s">
        <v>2577</v>
      </c>
    </row>
    <row r="255" spans="1:49">
      <c r="A255" s="80" t="s">
        <v>2241</v>
      </c>
      <c r="B255" s="80" t="s">
        <v>3495</v>
      </c>
      <c r="C255" s="80" t="s">
        <v>2141</v>
      </c>
      <c r="D255" s="80" t="s">
        <v>3496</v>
      </c>
      <c r="E255" s="80" t="s">
        <v>2244</v>
      </c>
      <c r="F255" s="80" t="s">
        <v>3497</v>
      </c>
      <c r="J255" s="80" t="s">
        <v>3498</v>
      </c>
      <c r="M255" s="80" t="s">
        <v>2247</v>
      </c>
      <c r="O255" s="80" t="s">
        <v>2141</v>
      </c>
      <c r="P255" s="80" t="s">
        <v>2653</v>
      </c>
      <c r="Q255" s="80" t="s">
        <v>3496</v>
      </c>
      <c r="R255" s="80" t="s">
        <v>3499</v>
      </c>
      <c r="S255" s="80" t="s">
        <v>2244</v>
      </c>
      <c r="T255" s="80" t="s">
        <v>2251</v>
      </c>
      <c r="U255" s="80" t="s">
        <v>2566</v>
      </c>
      <c r="V255" s="80" t="s">
        <v>3500</v>
      </c>
      <c r="W255" s="80" t="s">
        <v>2270</v>
      </c>
      <c r="X255" s="80" t="s">
        <v>2271</v>
      </c>
      <c r="AA255" s="80" t="s">
        <v>2256</v>
      </c>
      <c r="AC255" s="80" t="s">
        <v>2656</v>
      </c>
      <c r="AE255" s="80" t="s">
        <v>2258</v>
      </c>
      <c r="AF255" s="80" t="s">
        <v>2272</v>
      </c>
      <c r="AL255" s="80" t="s">
        <v>2261</v>
      </c>
      <c r="AN255" s="80" t="s">
        <v>3497</v>
      </c>
      <c r="AP255" s="80" t="s">
        <v>2657</v>
      </c>
      <c r="AQ255" s="80" t="s">
        <v>3501</v>
      </c>
      <c r="AT255" s="80" t="s">
        <v>2256</v>
      </c>
      <c r="AU255" s="80" t="s">
        <v>3502</v>
      </c>
      <c r="AW255" s="80" t="s">
        <v>2577</v>
      </c>
    </row>
    <row r="256" spans="1:49">
      <c r="AP256" s="80" t="s">
        <v>2666</v>
      </c>
      <c r="AQ256" s="80" t="s">
        <v>3503</v>
      </c>
      <c r="AT256" s="80" t="s">
        <v>2256</v>
      </c>
      <c r="AU256" s="80" t="s">
        <v>3504</v>
      </c>
      <c r="AW256" s="80" t="s">
        <v>2577</v>
      </c>
    </row>
    <row r="257" spans="1:49">
      <c r="AP257" s="80" t="s">
        <v>2660</v>
      </c>
      <c r="AQ257" s="80" t="s">
        <v>3505</v>
      </c>
      <c r="AT257" s="80" t="s">
        <v>2256</v>
      </c>
      <c r="AU257" s="80" t="s">
        <v>3506</v>
      </c>
      <c r="AW257" s="80" t="s">
        <v>2577</v>
      </c>
    </row>
    <row r="258" spans="1:49">
      <c r="AP258" s="80" t="s">
        <v>2663</v>
      </c>
      <c r="AQ258" s="80" t="s">
        <v>3507</v>
      </c>
      <c r="AT258" s="80" t="s">
        <v>2256</v>
      </c>
      <c r="AU258" s="80" t="s">
        <v>3508</v>
      </c>
      <c r="AW258" s="80" t="s">
        <v>2265</v>
      </c>
    </row>
    <row r="259" spans="1:49">
      <c r="A259" s="80" t="s">
        <v>2241</v>
      </c>
      <c r="B259" s="80" t="s">
        <v>3509</v>
      </c>
      <c r="C259" s="80" t="s">
        <v>2141</v>
      </c>
      <c r="D259" s="80" t="s">
        <v>3510</v>
      </c>
      <c r="E259" s="80" t="s">
        <v>2244</v>
      </c>
      <c r="F259" s="80" t="s">
        <v>3511</v>
      </c>
      <c r="J259" s="80" t="s">
        <v>3512</v>
      </c>
      <c r="M259" s="80" t="s">
        <v>2247</v>
      </c>
      <c r="O259" s="80" t="s">
        <v>2141</v>
      </c>
      <c r="P259" s="80" t="s">
        <v>2653</v>
      </c>
      <c r="Q259" s="80" t="s">
        <v>3510</v>
      </c>
      <c r="R259" s="80" t="s">
        <v>3513</v>
      </c>
      <c r="S259" s="80" t="s">
        <v>2244</v>
      </c>
      <c r="T259" s="80" t="s">
        <v>2251</v>
      </c>
      <c r="U259" s="80" t="s">
        <v>2241</v>
      </c>
      <c r="V259" s="80" t="s">
        <v>3514</v>
      </c>
      <c r="W259" s="80" t="s">
        <v>2871</v>
      </c>
      <c r="X259" s="80" t="s">
        <v>2271</v>
      </c>
      <c r="AA259" s="80" t="s">
        <v>2256</v>
      </c>
      <c r="AC259" s="80" t="s">
        <v>2656</v>
      </c>
      <c r="AE259" s="80" t="s">
        <v>2258</v>
      </c>
      <c r="AF259" s="80" t="s">
        <v>2272</v>
      </c>
      <c r="AI259" s="80" t="s">
        <v>2872</v>
      </c>
      <c r="AL259" s="80" t="s">
        <v>2261</v>
      </c>
      <c r="AN259" s="80" t="s">
        <v>3511</v>
      </c>
      <c r="AP259" s="80" t="s">
        <v>2657</v>
      </c>
      <c r="AQ259" s="80" t="s">
        <v>3515</v>
      </c>
      <c r="AT259" s="80" t="s">
        <v>2256</v>
      </c>
      <c r="AU259" s="80" t="s">
        <v>3516</v>
      </c>
      <c r="AW259" s="80" t="s">
        <v>2577</v>
      </c>
    </row>
    <row r="260" spans="1:49">
      <c r="AP260" s="80" t="s">
        <v>2663</v>
      </c>
      <c r="AQ260" s="80" t="s">
        <v>3517</v>
      </c>
      <c r="AT260" s="80" t="s">
        <v>2256</v>
      </c>
      <c r="AU260" s="80" t="s">
        <v>3518</v>
      </c>
      <c r="AW260" s="80" t="s">
        <v>2265</v>
      </c>
    </row>
    <row r="261" spans="1:49">
      <c r="AP261" s="80" t="s">
        <v>2660</v>
      </c>
      <c r="AQ261" s="80" t="s">
        <v>3519</v>
      </c>
      <c r="AT261" s="80" t="s">
        <v>2256</v>
      </c>
      <c r="AU261" s="80" t="s">
        <v>3520</v>
      </c>
      <c r="AW261" s="80" t="s">
        <v>2577</v>
      </c>
    </row>
    <row r="262" spans="1:49">
      <c r="AP262" s="80" t="s">
        <v>2666</v>
      </c>
      <c r="AQ262" s="80" t="s">
        <v>3521</v>
      </c>
      <c r="AT262" s="80" t="s">
        <v>2256</v>
      </c>
      <c r="AU262" s="80" t="s">
        <v>3522</v>
      </c>
      <c r="AW262" s="80" t="s">
        <v>2577</v>
      </c>
    </row>
    <row r="263" spans="1:49">
      <c r="A263" s="80" t="s">
        <v>2241</v>
      </c>
      <c r="B263" s="80" t="s">
        <v>3523</v>
      </c>
      <c r="C263" s="80" t="s">
        <v>2141</v>
      </c>
      <c r="D263" s="80" t="s">
        <v>3524</v>
      </c>
      <c r="E263" s="80" t="s">
        <v>2244</v>
      </c>
      <c r="F263" s="80" t="s">
        <v>3525</v>
      </c>
      <c r="J263" s="80" t="s">
        <v>3526</v>
      </c>
      <c r="M263" s="80" t="s">
        <v>2247</v>
      </c>
      <c r="O263" s="80" t="s">
        <v>2141</v>
      </c>
      <c r="P263" s="80" t="s">
        <v>2653</v>
      </c>
      <c r="Q263" s="80" t="s">
        <v>3524</v>
      </c>
      <c r="R263" s="80" t="s">
        <v>3527</v>
      </c>
      <c r="S263" s="80" t="s">
        <v>2244</v>
      </c>
      <c r="T263" s="80" t="s">
        <v>2251</v>
      </c>
      <c r="U263" s="80" t="s">
        <v>2241</v>
      </c>
      <c r="V263" s="80" t="s">
        <v>3528</v>
      </c>
      <c r="W263" s="80" t="s">
        <v>2931</v>
      </c>
      <c r="X263" s="80" t="s">
        <v>2271</v>
      </c>
      <c r="AA263" s="80" t="s">
        <v>2256</v>
      </c>
      <c r="AC263" s="80" t="s">
        <v>2656</v>
      </c>
      <c r="AE263" s="80" t="s">
        <v>2258</v>
      </c>
      <c r="AF263" s="80" t="s">
        <v>2272</v>
      </c>
      <c r="AL263" s="80" t="s">
        <v>2261</v>
      </c>
      <c r="AN263" s="80" t="s">
        <v>3525</v>
      </c>
      <c r="AP263" s="80" t="s">
        <v>2663</v>
      </c>
      <c r="AQ263" s="80" t="s">
        <v>3529</v>
      </c>
      <c r="AT263" s="80" t="s">
        <v>2256</v>
      </c>
      <c r="AU263" s="80" t="s">
        <v>3530</v>
      </c>
      <c r="AW263" s="80" t="s">
        <v>2265</v>
      </c>
    </row>
    <row r="264" spans="1:49">
      <c r="AP264" s="80" t="s">
        <v>2660</v>
      </c>
      <c r="AQ264" s="80" t="s">
        <v>3531</v>
      </c>
      <c r="AT264" s="80" t="s">
        <v>2256</v>
      </c>
      <c r="AU264" s="80" t="s">
        <v>3532</v>
      </c>
      <c r="AW264" s="80" t="s">
        <v>2577</v>
      </c>
    </row>
    <row r="265" spans="1:49">
      <c r="AP265" s="80" t="s">
        <v>2666</v>
      </c>
      <c r="AQ265" s="80" t="s">
        <v>3533</v>
      </c>
      <c r="AT265" s="80" t="s">
        <v>2256</v>
      </c>
      <c r="AU265" s="80" t="s">
        <v>3534</v>
      </c>
      <c r="AW265" s="80" t="s">
        <v>2577</v>
      </c>
    </row>
    <row r="266" spans="1:49">
      <c r="AP266" s="80" t="s">
        <v>2657</v>
      </c>
      <c r="AQ266" s="80" t="s">
        <v>3535</v>
      </c>
      <c r="AT266" s="80" t="s">
        <v>2256</v>
      </c>
      <c r="AU266" s="80" t="s">
        <v>3536</v>
      </c>
      <c r="AW266" s="80" t="s">
        <v>2577</v>
      </c>
    </row>
    <row r="267" spans="1:49">
      <c r="A267" s="80" t="s">
        <v>2241</v>
      </c>
      <c r="B267" s="80" t="s">
        <v>3537</v>
      </c>
      <c r="C267" s="80" t="s">
        <v>2141</v>
      </c>
      <c r="D267" s="80" t="s">
        <v>3538</v>
      </c>
      <c r="E267" s="80" t="s">
        <v>2244</v>
      </c>
      <c r="F267" s="80" t="s">
        <v>3539</v>
      </c>
      <c r="J267" s="80" t="s">
        <v>3540</v>
      </c>
      <c r="M267" s="80" t="s">
        <v>2247</v>
      </c>
      <c r="O267" s="80" t="s">
        <v>2141</v>
      </c>
      <c r="P267" s="80" t="s">
        <v>2653</v>
      </c>
      <c r="Q267" s="80" t="s">
        <v>3538</v>
      </c>
      <c r="R267" s="80" t="s">
        <v>3541</v>
      </c>
      <c r="S267" s="80" t="s">
        <v>2244</v>
      </c>
      <c r="T267" s="80" t="s">
        <v>2251</v>
      </c>
      <c r="U267" s="80" t="s">
        <v>2241</v>
      </c>
      <c r="V267" s="80" t="s">
        <v>3542</v>
      </c>
      <c r="W267" s="80" t="s">
        <v>2270</v>
      </c>
      <c r="X267" s="80" t="s">
        <v>2291</v>
      </c>
      <c r="AA267" s="80" t="s">
        <v>2256</v>
      </c>
      <c r="AC267" s="80" t="s">
        <v>2656</v>
      </c>
      <c r="AE267" s="80" t="s">
        <v>2258</v>
      </c>
      <c r="AF267" s="80" t="s">
        <v>2272</v>
      </c>
      <c r="AL267" s="80" t="s">
        <v>2261</v>
      </c>
      <c r="AN267" s="80" t="s">
        <v>3539</v>
      </c>
      <c r="AP267" s="80" t="s">
        <v>2657</v>
      </c>
      <c r="AQ267" s="80" t="s">
        <v>3543</v>
      </c>
      <c r="AT267" s="80" t="s">
        <v>2256</v>
      </c>
      <c r="AU267" s="80" t="s">
        <v>3544</v>
      </c>
      <c r="AW267" s="80" t="s">
        <v>2577</v>
      </c>
    </row>
    <row r="268" spans="1:49">
      <c r="AP268" s="80" t="s">
        <v>2666</v>
      </c>
      <c r="AQ268" s="80" t="s">
        <v>3545</v>
      </c>
      <c r="AT268" s="80" t="s">
        <v>2256</v>
      </c>
      <c r="AU268" s="80" t="s">
        <v>3546</v>
      </c>
      <c r="AW268" s="80" t="s">
        <v>2577</v>
      </c>
    </row>
    <row r="269" spans="1:49">
      <c r="AP269" s="80" t="s">
        <v>2660</v>
      </c>
      <c r="AQ269" s="80" t="s">
        <v>3547</v>
      </c>
      <c r="AT269" s="80" t="s">
        <v>2256</v>
      </c>
      <c r="AU269" s="80" t="s">
        <v>3548</v>
      </c>
      <c r="AW269" s="80" t="s">
        <v>2577</v>
      </c>
    </row>
    <row r="270" spans="1:49">
      <c r="AP270" s="80" t="s">
        <v>2663</v>
      </c>
      <c r="AQ270" s="80" t="s">
        <v>3549</v>
      </c>
      <c r="AT270" s="80" t="s">
        <v>2256</v>
      </c>
      <c r="AU270" s="80" t="s">
        <v>3550</v>
      </c>
      <c r="AW270" s="80" t="s">
        <v>2265</v>
      </c>
    </row>
    <row r="271" spans="1:49">
      <c r="A271" s="80" t="s">
        <v>2241</v>
      </c>
      <c r="B271" s="80" t="s">
        <v>3551</v>
      </c>
      <c r="C271" s="80" t="s">
        <v>2141</v>
      </c>
      <c r="D271" s="80" t="s">
        <v>3552</v>
      </c>
      <c r="E271" s="80" t="s">
        <v>2244</v>
      </c>
      <c r="F271" s="80" t="s">
        <v>3553</v>
      </c>
      <c r="J271" s="80" t="s">
        <v>3554</v>
      </c>
      <c r="M271" s="80" t="s">
        <v>2247</v>
      </c>
      <c r="O271" s="80" t="s">
        <v>2141</v>
      </c>
      <c r="P271" s="80" t="s">
        <v>2653</v>
      </c>
      <c r="Q271" s="80" t="s">
        <v>3552</v>
      </c>
      <c r="R271" s="80" t="s">
        <v>3555</v>
      </c>
      <c r="S271" s="80" t="s">
        <v>2244</v>
      </c>
      <c r="T271" s="80" t="s">
        <v>2251</v>
      </c>
      <c r="U271" s="80" t="s">
        <v>2241</v>
      </c>
      <c r="V271" s="80" t="s">
        <v>3556</v>
      </c>
      <c r="W271" s="80" t="s">
        <v>2975</v>
      </c>
      <c r="X271" s="80" t="s">
        <v>2976</v>
      </c>
      <c r="AA271" s="80" t="s">
        <v>2256</v>
      </c>
      <c r="AC271" s="80" t="s">
        <v>2656</v>
      </c>
      <c r="AE271" s="80" t="s">
        <v>2258</v>
      </c>
      <c r="AF271" s="80" t="s">
        <v>2272</v>
      </c>
      <c r="AL271" s="80" t="s">
        <v>2261</v>
      </c>
      <c r="AN271" s="80" t="s">
        <v>3553</v>
      </c>
      <c r="AP271" s="80" t="s">
        <v>2663</v>
      </c>
      <c r="AQ271" s="80" t="s">
        <v>3557</v>
      </c>
      <c r="AS271" s="80" t="s">
        <v>2978</v>
      </c>
      <c r="AT271" s="80" t="s">
        <v>2256</v>
      </c>
      <c r="AU271" s="80" t="s">
        <v>3558</v>
      </c>
      <c r="AW271" s="80" t="s">
        <v>2265</v>
      </c>
    </row>
    <row r="272" spans="1:49">
      <c r="AP272" s="80" t="s">
        <v>2657</v>
      </c>
      <c r="AQ272" s="80" t="s">
        <v>3559</v>
      </c>
      <c r="AS272" s="80" t="s">
        <v>2978</v>
      </c>
      <c r="AT272" s="80" t="s">
        <v>2256</v>
      </c>
      <c r="AU272" s="80" t="s">
        <v>3560</v>
      </c>
      <c r="AW272" s="80" t="s">
        <v>2577</v>
      </c>
    </row>
    <row r="273" spans="1:49">
      <c r="AP273" s="80" t="s">
        <v>2660</v>
      </c>
      <c r="AQ273" s="80" t="s">
        <v>3561</v>
      </c>
      <c r="AS273" s="80" t="s">
        <v>2978</v>
      </c>
      <c r="AT273" s="80" t="s">
        <v>2256</v>
      </c>
      <c r="AU273" s="80" t="s">
        <v>3562</v>
      </c>
      <c r="AW273" s="80" t="s">
        <v>2577</v>
      </c>
    </row>
    <row r="274" spans="1:49">
      <c r="AP274" s="80" t="s">
        <v>2666</v>
      </c>
      <c r="AQ274" s="80" t="s">
        <v>3563</v>
      </c>
      <c r="AS274" s="80" t="s">
        <v>2978</v>
      </c>
      <c r="AT274" s="80" t="s">
        <v>2256</v>
      </c>
      <c r="AU274" s="80" t="s">
        <v>3564</v>
      </c>
      <c r="AW274" s="80" t="s">
        <v>2577</v>
      </c>
    </row>
    <row r="275" spans="1:49">
      <c r="A275" s="80" t="s">
        <v>2241</v>
      </c>
      <c r="B275" s="80" t="s">
        <v>3565</v>
      </c>
      <c r="C275" s="80" t="s">
        <v>2141</v>
      </c>
      <c r="D275" s="80" t="s">
        <v>3566</v>
      </c>
      <c r="E275" s="80" t="s">
        <v>2244</v>
      </c>
      <c r="F275" s="80" t="s">
        <v>3567</v>
      </c>
      <c r="J275" s="80" t="s">
        <v>3568</v>
      </c>
      <c r="M275" s="80" t="s">
        <v>2247</v>
      </c>
      <c r="O275" s="80" t="s">
        <v>2141</v>
      </c>
      <c r="P275" s="80" t="s">
        <v>2653</v>
      </c>
      <c r="Q275" s="80" t="s">
        <v>3566</v>
      </c>
      <c r="R275" s="80" t="s">
        <v>3569</v>
      </c>
      <c r="S275" s="80" t="s">
        <v>2244</v>
      </c>
      <c r="T275" s="80" t="s">
        <v>2251</v>
      </c>
      <c r="U275" s="80" t="s">
        <v>2241</v>
      </c>
      <c r="V275" s="80" t="s">
        <v>3570</v>
      </c>
      <c r="W275" s="80" t="s">
        <v>2254</v>
      </c>
      <c r="X275" s="80" t="s">
        <v>2255</v>
      </c>
      <c r="AA275" s="80" t="s">
        <v>2256</v>
      </c>
      <c r="AC275" s="80" t="s">
        <v>2656</v>
      </c>
      <c r="AE275" s="80" t="s">
        <v>2258</v>
      </c>
      <c r="AF275" s="80" t="s">
        <v>2272</v>
      </c>
      <c r="AL275" s="80" t="s">
        <v>2261</v>
      </c>
      <c r="AN275" s="80" t="s">
        <v>3567</v>
      </c>
      <c r="AP275" s="80" t="s">
        <v>2663</v>
      </c>
      <c r="AQ275" s="80" t="s">
        <v>3571</v>
      </c>
      <c r="AT275" s="80" t="s">
        <v>2256</v>
      </c>
      <c r="AU275" s="80" t="s">
        <v>3572</v>
      </c>
      <c r="AW275" s="80" t="s">
        <v>2265</v>
      </c>
    </row>
    <row r="276" spans="1:49">
      <c r="AP276" s="80" t="s">
        <v>2660</v>
      </c>
      <c r="AQ276" s="80" t="s">
        <v>3573</v>
      </c>
      <c r="AT276" s="80" t="s">
        <v>2256</v>
      </c>
      <c r="AU276" s="80" t="s">
        <v>3574</v>
      </c>
      <c r="AW276" s="80" t="s">
        <v>2577</v>
      </c>
    </row>
    <row r="277" spans="1:49">
      <c r="AP277" s="80" t="s">
        <v>2657</v>
      </c>
      <c r="AQ277" s="80" t="s">
        <v>3575</v>
      </c>
      <c r="AT277" s="80" t="s">
        <v>2256</v>
      </c>
      <c r="AU277" s="80" t="s">
        <v>3576</v>
      </c>
      <c r="AW277" s="80" t="s">
        <v>2577</v>
      </c>
    </row>
    <row r="278" spans="1:49">
      <c r="AP278" s="80" t="s">
        <v>2666</v>
      </c>
      <c r="AQ278" s="80" t="s">
        <v>3577</v>
      </c>
      <c r="AT278" s="80" t="s">
        <v>2256</v>
      </c>
      <c r="AU278" s="80" t="s">
        <v>3578</v>
      </c>
      <c r="AW278" s="80" t="s">
        <v>2577</v>
      </c>
    </row>
    <row r="279" spans="1:49">
      <c r="A279" s="80" t="s">
        <v>2241</v>
      </c>
      <c r="B279" s="80" t="s">
        <v>3579</v>
      </c>
      <c r="C279" s="80" t="s">
        <v>2141</v>
      </c>
      <c r="D279" s="80" t="s">
        <v>3580</v>
      </c>
      <c r="E279" s="80" t="s">
        <v>2244</v>
      </c>
      <c r="F279" s="80" t="s">
        <v>3581</v>
      </c>
      <c r="J279" s="80" t="s">
        <v>3582</v>
      </c>
      <c r="M279" s="80" t="s">
        <v>2247</v>
      </c>
      <c r="O279" s="80" t="s">
        <v>2141</v>
      </c>
      <c r="P279" s="80" t="s">
        <v>2653</v>
      </c>
      <c r="Q279" s="80" t="s">
        <v>3580</v>
      </c>
      <c r="R279" s="80" t="s">
        <v>3583</v>
      </c>
      <c r="S279" s="80" t="s">
        <v>2244</v>
      </c>
      <c r="T279" s="80" t="s">
        <v>2251</v>
      </c>
      <c r="U279" s="80" t="s">
        <v>2241</v>
      </c>
      <c r="V279" s="80" t="s">
        <v>3584</v>
      </c>
      <c r="W279" s="80" t="s">
        <v>2270</v>
      </c>
      <c r="X279" s="80" t="s">
        <v>2478</v>
      </c>
      <c r="AA279" s="80" t="s">
        <v>2256</v>
      </c>
      <c r="AC279" s="80" t="s">
        <v>2656</v>
      </c>
      <c r="AE279" s="80" t="s">
        <v>2258</v>
      </c>
      <c r="AF279" s="80" t="s">
        <v>2272</v>
      </c>
      <c r="AL279" s="80" t="s">
        <v>2261</v>
      </c>
      <c r="AN279" s="80" t="s">
        <v>3581</v>
      </c>
      <c r="AP279" s="80" t="s">
        <v>2657</v>
      </c>
      <c r="AQ279" s="80" t="s">
        <v>3585</v>
      </c>
      <c r="AT279" s="80" t="s">
        <v>2256</v>
      </c>
      <c r="AU279" s="80" t="s">
        <v>3586</v>
      </c>
      <c r="AW279" s="80" t="s">
        <v>2577</v>
      </c>
    </row>
    <row r="280" spans="1:49">
      <c r="AP280" s="80" t="s">
        <v>2666</v>
      </c>
      <c r="AQ280" s="80" t="s">
        <v>3587</v>
      </c>
      <c r="AT280" s="80" t="s">
        <v>2256</v>
      </c>
      <c r="AU280" s="80" t="s">
        <v>3588</v>
      </c>
      <c r="AW280" s="80" t="s">
        <v>2577</v>
      </c>
    </row>
    <row r="281" spans="1:49">
      <c r="AP281" s="80" t="s">
        <v>2660</v>
      </c>
      <c r="AQ281" s="80" t="s">
        <v>3589</v>
      </c>
      <c r="AT281" s="80" t="s">
        <v>2256</v>
      </c>
      <c r="AU281" s="80" t="s">
        <v>3590</v>
      </c>
      <c r="AW281" s="80" t="s">
        <v>2577</v>
      </c>
    </row>
    <row r="282" spans="1:49">
      <c r="AP282" s="80" t="s">
        <v>2663</v>
      </c>
      <c r="AQ282" s="80" t="s">
        <v>3591</v>
      </c>
      <c r="AT282" s="80" t="s">
        <v>2256</v>
      </c>
      <c r="AU282" s="80" t="s">
        <v>3592</v>
      </c>
      <c r="AW282" s="80" t="s">
        <v>2265</v>
      </c>
    </row>
    <row r="283" spans="1:49">
      <c r="A283" s="80" t="s">
        <v>2241</v>
      </c>
      <c r="B283" s="80" t="s">
        <v>3593</v>
      </c>
      <c r="C283" s="80" t="s">
        <v>2141</v>
      </c>
      <c r="D283" s="80" t="s">
        <v>3594</v>
      </c>
      <c r="E283" s="80" t="s">
        <v>2244</v>
      </c>
      <c r="F283" s="80" t="s">
        <v>3595</v>
      </c>
      <c r="J283" s="80" t="s">
        <v>3596</v>
      </c>
      <c r="M283" s="80" t="s">
        <v>2247</v>
      </c>
      <c r="O283" s="80" t="s">
        <v>2141</v>
      </c>
      <c r="P283" s="80" t="s">
        <v>2653</v>
      </c>
      <c r="Q283" s="80" t="s">
        <v>3594</v>
      </c>
      <c r="R283" s="80" t="s">
        <v>3597</v>
      </c>
      <c r="S283" s="80" t="s">
        <v>2244</v>
      </c>
      <c r="T283" s="80" t="s">
        <v>2251</v>
      </c>
      <c r="U283" s="80" t="s">
        <v>2252</v>
      </c>
      <c r="V283" s="80" t="s">
        <v>3598</v>
      </c>
      <c r="W283" s="80" t="s">
        <v>2270</v>
      </c>
      <c r="X283" s="80" t="s">
        <v>2291</v>
      </c>
      <c r="AA283" s="80" t="s">
        <v>2256</v>
      </c>
      <c r="AC283" s="80" t="s">
        <v>2656</v>
      </c>
      <c r="AE283" s="80" t="s">
        <v>2258</v>
      </c>
      <c r="AF283" s="80" t="s">
        <v>2272</v>
      </c>
      <c r="AL283" s="80" t="s">
        <v>2261</v>
      </c>
      <c r="AN283" s="80" t="s">
        <v>3595</v>
      </c>
      <c r="AP283" s="80" t="s">
        <v>2657</v>
      </c>
      <c r="AQ283" s="80" t="s">
        <v>3599</v>
      </c>
      <c r="AT283" s="80" t="s">
        <v>2256</v>
      </c>
      <c r="AU283" s="80" t="s">
        <v>3600</v>
      </c>
      <c r="AW283" s="80" t="s">
        <v>2577</v>
      </c>
    </row>
    <row r="284" spans="1:49">
      <c r="AP284" s="80" t="s">
        <v>2663</v>
      </c>
      <c r="AQ284" s="80" t="s">
        <v>3601</v>
      </c>
      <c r="AT284" s="80" t="s">
        <v>2256</v>
      </c>
      <c r="AU284" s="80" t="s">
        <v>3602</v>
      </c>
      <c r="AW284" s="80" t="s">
        <v>2265</v>
      </c>
    </row>
    <row r="285" spans="1:49">
      <c r="AP285" s="80" t="s">
        <v>2666</v>
      </c>
      <c r="AQ285" s="80" t="s">
        <v>3603</v>
      </c>
      <c r="AT285" s="80" t="s">
        <v>2256</v>
      </c>
      <c r="AU285" s="80" t="s">
        <v>3604</v>
      </c>
      <c r="AW285" s="80" t="s">
        <v>2577</v>
      </c>
    </row>
    <row r="286" spans="1:49">
      <c r="AP286" s="80" t="s">
        <v>2660</v>
      </c>
      <c r="AQ286" s="80" t="s">
        <v>3605</v>
      </c>
      <c r="AT286" s="80" t="s">
        <v>2256</v>
      </c>
      <c r="AU286" s="80" t="s">
        <v>3606</v>
      </c>
      <c r="AW286" s="80" t="s">
        <v>2577</v>
      </c>
    </row>
    <row r="287" spans="1:49">
      <c r="A287" s="80" t="s">
        <v>2241</v>
      </c>
      <c r="B287" s="80" t="s">
        <v>3607</v>
      </c>
      <c r="C287" s="80" t="s">
        <v>2141</v>
      </c>
      <c r="D287" s="80" t="s">
        <v>3608</v>
      </c>
      <c r="E287" s="80" t="s">
        <v>2244</v>
      </c>
      <c r="F287" s="80" t="s">
        <v>3609</v>
      </c>
      <c r="J287" s="80" t="s">
        <v>3610</v>
      </c>
      <c r="M287" s="80" t="s">
        <v>2247</v>
      </c>
      <c r="O287" s="80" t="s">
        <v>2141</v>
      </c>
      <c r="P287" s="80" t="s">
        <v>2653</v>
      </c>
      <c r="Q287" s="80" t="s">
        <v>3608</v>
      </c>
      <c r="R287" s="80" t="s">
        <v>3611</v>
      </c>
      <c r="S287" s="80" t="s">
        <v>2244</v>
      </c>
      <c r="T287" s="80" t="s">
        <v>2251</v>
      </c>
      <c r="U287" s="80" t="s">
        <v>2241</v>
      </c>
      <c r="V287" s="80" t="s">
        <v>3612</v>
      </c>
      <c r="W287" s="80" t="s">
        <v>2270</v>
      </c>
      <c r="X287" s="80" t="s">
        <v>2291</v>
      </c>
      <c r="AA287" s="80" t="s">
        <v>2256</v>
      </c>
      <c r="AC287" s="80" t="s">
        <v>2656</v>
      </c>
      <c r="AE287" s="80" t="s">
        <v>2258</v>
      </c>
      <c r="AF287" s="80" t="s">
        <v>2272</v>
      </c>
      <c r="AL287" s="80" t="s">
        <v>2261</v>
      </c>
      <c r="AN287" s="80" t="s">
        <v>3609</v>
      </c>
      <c r="AP287" s="80" t="s">
        <v>2660</v>
      </c>
      <c r="AQ287" s="80" t="s">
        <v>3613</v>
      </c>
      <c r="AT287" s="80" t="s">
        <v>2256</v>
      </c>
      <c r="AU287" s="80" t="s">
        <v>3614</v>
      </c>
      <c r="AW287" s="80" t="s">
        <v>2577</v>
      </c>
    </row>
    <row r="288" spans="1:49">
      <c r="AP288" s="80" t="s">
        <v>2663</v>
      </c>
      <c r="AQ288" s="80" t="s">
        <v>3615</v>
      </c>
      <c r="AT288" s="80" t="s">
        <v>2256</v>
      </c>
      <c r="AU288" s="80" t="s">
        <v>3616</v>
      </c>
      <c r="AW288" s="80" t="s">
        <v>2265</v>
      </c>
    </row>
    <row r="289" spans="1:49">
      <c r="AP289" s="80" t="s">
        <v>2657</v>
      </c>
      <c r="AQ289" s="80" t="s">
        <v>3617</v>
      </c>
      <c r="AT289" s="80" t="s">
        <v>2256</v>
      </c>
      <c r="AU289" s="80" t="s">
        <v>3618</v>
      </c>
      <c r="AW289" s="80" t="s">
        <v>2577</v>
      </c>
    </row>
    <row r="290" spans="1:49">
      <c r="AP290" s="80" t="s">
        <v>2666</v>
      </c>
      <c r="AQ290" s="80" t="s">
        <v>3619</v>
      </c>
      <c r="AU290" s="80" t="s">
        <v>3620</v>
      </c>
      <c r="AW290" s="80" t="s">
        <v>2577</v>
      </c>
    </row>
    <row r="291" spans="1:49">
      <c r="A291" s="80" t="s">
        <v>2241</v>
      </c>
      <c r="B291" s="80" t="s">
        <v>3621</v>
      </c>
      <c r="C291" s="80" t="s">
        <v>2141</v>
      </c>
      <c r="D291" s="80" t="s">
        <v>3622</v>
      </c>
      <c r="E291" s="80" t="s">
        <v>2244</v>
      </c>
      <c r="F291" s="80" t="s">
        <v>3623</v>
      </c>
      <c r="J291" s="80" t="s">
        <v>3624</v>
      </c>
      <c r="M291" s="80" t="s">
        <v>2247</v>
      </c>
      <c r="O291" s="80" t="s">
        <v>2141</v>
      </c>
      <c r="P291" s="80" t="s">
        <v>2653</v>
      </c>
      <c r="Q291" s="80" t="s">
        <v>3622</v>
      </c>
      <c r="R291" s="80" t="s">
        <v>3625</v>
      </c>
      <c r="S291" s="80" t="s">
        <v>2244</v>
      </c>
      <c r="T291" s="80" t="s">
        <v>2251</v>
      </c>
      <c r="U291" s="80" t="s">
        <v>2550</v>
      </c>
      <c r="V291" s="80" t="s">
        <v>3626</v>
      </c>
      <c r="W291" s="80" t="s">
        <v>2270</v>
      </c>
      <c r="X291" s="80" t="s">
        <v>2271</v>
      </c>
      <c r="AA291" s="80" t="s">
        <v>2256</v>
      </c>
      <c r="AC291" s="80" t="s">
        <v>2656</v>
      </c>
      <c r="AE291" s="80" t="s">
        <v>2258</v>
      </c>
      <c r="AF291" s="80" t="s">
        <v>2272</v>
      </c>
      <c r="AL291" s="80" t="s">
        <v>2261</v>
      </c>
      <c r="AN291" s="80" t="s">
        <v>3623</v>
      </c>
      <c r="AP291" s="80" t="s">
        <v>2663</v>
      </c>
      <c r="AQ291" s="80" t="s">
        <v>3627</v>
      </c>
      <c r="AT291" s="80" t="s">
        <v>2256</v>
      </c>
      <c r="AU291" s="80" t="s">
        <v>3628</v>
      </c>
      <c r="AW291" s="80" t="s">
        <v>2265</v>
      </c>
    </row>
    <row r="292" spans="1:49">
      <c r="AP292" s="80" t="s">
        <v>2666</v>
      </c>
      <c r="AQ292" s="80" t="s">
        <v>3629</v>
      </c>
      <c r="AT292" s="80" t="s">
        <v>2256</v>
      </c>
      <c r="AU292" s="80" t="s">
        <v>3630</v>
      </c>
      <c r="AW292" s="80" t="s">
        <v>2577</v>
      </c>
    </row>
    <row r="293" spans="1:49">
      <c r="AP293" s="80" t="s">
        <v>2660</v>
      </c>
      <c r="AQ293" s="80" t="s">
        <v>3631</v>
      </c>
      <c r="AT293" s="80" t="s">
        <v>2256</v>
      </c>
      <c r="AU293" s="80" t="s">
        <v>3632</v>
      </c>
      <c r="AW293" s="80" t="s">
        <v>2577</v>
      </c>
    </row>
    <row r="294" spans="1:49">
      <c r="AP294" s="80" t="s">
        <v>2657</v>
      </c>
      <c r="AQ294" s="80" t="s">
        <v>3633</v>
      </c>
      <c r="AT294" s="80" t="s">
        <v>2256</v>
      </c>
      <c r="AU294" s="80" t="s">
        <v>3634</v>
      </c>
      <c r="AW294" s="80" t="s">
        <v>2577</v>
      </c>
    </row>
    <row r="295" spans="1:49">
      <c r="A295" s="80" t="s">
        <v>2241</v>
      </c>
      <c r="B295" s="80" t="s">
        <v>3635</v>
      </c>
      <c r="C295" s="80" t="s">
        <v>2141</v>
      </c>
      <c r="D295" s="80" t="s">
        <v>3636</v>
      </c>
      <c r="E295" s="80" t="s">
        <v>2244</v>
      </c>
      <c r="F295" s="80" t="s">
        <v>3637</v>
      </c>
      <c r="J295" s="80" t="s">
        <v>3638</v>
      </c>
      <c r="M295" s="80" t="s">
        <v>2247</v>
      </c>
      <c r="O295" s="80" t="s">
        <v>2141</v>
      </c>
      <c r="P295" s="80" t="s">
        <v>2653</v>
      </c>
      <c r="Q295" s="80" t="s">
        <v>3636</v>
      </c>
      <c r="R295" s="80" t="s">
        <v>3639</v>
      </c>
      <c r="S295" s="80" t="s">
        <v>2244</v>
      </c>
      <c r="T295" s="80" t="s">
        <v>2251</v>
      </c>
      <c r="U295" s="80" t="s">
        <v>3640</v>
      </c>
      <c r="V295" s="80" t="s">
        <v>3641</v>
      </c>
      <c r="W295" s="80" t="s">
        <v>2931</v>
      </c>
      <c r="X295" s="80" t="s">
        <v>2412</v>
      </c>
      <c r="AA295" s="80" t="s">
        <v>2256</v>
      </c>
      <c r="AC295" s="80" t="s">
        <v>2656</v>
      </c>
      <c r="AE295" s="80" t="s">
        <v>2258</v>
      </c>
      <c r="AF295" s="80" t="s">
        <v>2272</v>
      </c>
      <c r="AL295" s="80" t="s">
        <v>2261</v>
      </c>
      <c r="AN295" s="80" t="s">
        <v>3637</v>
      </c>
      <c r="AP295" s="80" t="s">
        <v>2657</v>
      </c>
      <c r="AQ295" s="80" t="s">
        <v>3642</v>
      </c>
      <c r="AT295" s="80" t="s">
        <v>2256</v>
      </c>
      <c r="AU295" s="80" t="s">
        <v>3643</v>
      </c>
      <c r="AW295" s="80" t="s">
        <v>2577</v>
      </c>
    </row>
    <row r="296" spans="1:49">
      <c r="AP296" s="80" t="s">
        <v>2663</v>
      </c>
      <c r="AQ296" s="80" t="s">
        <v>3644</v>
      </c>
      <c r="AT296" s="80" t="s">
        <v>2256</v>
      </c>
      <c r="AU296" s="80" t="s">
        <v>3645</v>
      </c>
      <c r="AW296" s="80" t="s">
        <v>2265</v>
      </c>
    </row>
    <row r="297" spans="1:49">
      <c r="AP297" s="80" t="s">
        <v>2660</v>
      </c>
      <c r="AQ297" s="80" t="s">
        <v>3646</v>
      </c>
      <c r="AT297" s="80" t="s">
        <v>2256</v>
      </c>
      <c r="AU297" s="80" t="s">
        <v>3647</v>
      </c>
      <c r="AW297" s="80" t="s">
        <v>2577</v>
      </c>
    </row>
    <row r="298" spans="1:49">
      <c r="AP298" s="80" t="s">
        <v>2666</v>
      </c>
      <c r="AQ298" s="80" t="s">
        <v>3648</v>
      </c>
      <c r="AT298" s="80" t="s">
        <v>2256</v>
      </c>
      <c r="AU298" s="80" t="s">
        <v>3649</v>
      </c>
      <c r="AW298" s="80" t="s">
        <v>2577</v>
      </c>
    </row>
    <row r="299" spans="1:49">
      <c r="A299" s="80" t="s">
        <v>2241</v>
      </c>
      <c r="B299" s="80" t="s">
        <v>3650</v>
      </c>
      <c r="C299" s="80" t="s">
        <v>2141</v>
      </c>
      <c r="D299" s="80" t="s">
        <v>3651</v>
      </c>
      <c r="E299" s="80" t="s">
        <v>2244</v>
      </c>
      <c r="F299" s="80" t="s">
        <v>3652</v>
      </c>
      <c r="J299" s="80" t="s">
        <v>3653</v>
      </c>
      <c r="M299" s="80" t="s">
        <v>2247</v>
      </c>
      <c r="O299" s="80" t="s">
        <v>2141</v>
      </c>
      <c r="P299" s="80" t="s">
        <v>2653</v>
      </c>
      <c r="Q299" s="80" t="s">
        <v>3651</v>
      </c>
      <c r="R299" s="80" t="s">
        <v>3654</v>
      </c>
      <c r="S299" s="80" t="s">
        <v>2244</v>
      </c>
      <c r="T299" s="80" t="s">
        <v>2251</v>
      </c>
      <c r="U299" s="80" t="s">
        <v>2252</v>
      </c>
      <c r="V299" s="80" t="s">
        <v>3655</v>
      </c>
      <c r="W299" s="80" t="s">
        <v>2270</v>
      </c>
      <c r="X299" s="80" t="s">
        <v>2610</v>
      </c>
      <c r="AA299" s="80" t="s">
        <v>2256</v>
      </c>
      <c r="AC299" s="80" t="s">
        <v>2656</v>
      </c>
      <c r="AE299" s="80" t="s">
        <v>2258</v>
      </c>
      <c r="AF299" s="80" t="s">
        <v>2272</v>
      </c>
      <c r="AL299" s="80" t="s">
        <v>2261</v>
      </c>
      <c r="AN299" s="80" t="s">
        <v>3652</v>
      </c>
      <c r="AP299" s="80" t="s">
        <v>2657</v>
      </c>
      <c r="AQ299" s="80" t="s">
        <v>3656</v>
      </c>
      <c r="AT299" s="80" t="s">
        <v>2256</v>
      </c>
      <c r="AU299" s="80" t="s">
        <v>3657</v>
      </c>
      <c r="AW299" s="80" t="s">
        <v>2577</v>
      </c>
    </row>
    <row r="300" spans="1:49">
      <c r="AP300" s="80" t="s">
        <v>2666</v>
      </c>
      <c r="AQ300" s="80" t="s">
        <v>3658</v>
      </c>
      <c r="AT300" s="80" t="s">
        <v>2256</v>
      </c>
      <c r="AU300" s="80" t="s">
        <v>3659</v>
      </c>
      <c r="AW300" s="80" t="s">
        <v>2577</v>
      </c>
    </row>
    <row r="301" spans="1:49">
      <c r="AP301" s="80" t="s">
        <v>2660</v>
      </c>
      <c r="AQ301" s="80" t="s">
        <v>3660</v>
      </c>
      <c r="AT301" s="80" t="s">
        <v>2256</v>
      </c>
      <c r="AU301" s="80" t="s">
        <v>3661</v>
      </c>
      <c r="AW301" s="80" t="s">
        <v>2577</v>
      </c>
    </row>
    <row r="302" spans="1:49">
      <c r="AP302" s="80" t="s">
        <v>2663</v>
      </c>
      <c r="AQ302" s="80" t="s">
        <v>3662</v>
      </c>
      <c r="AT302" s="80" t="s">
        <v>2256</v>
      </c>
      <c r="AU302" s="80" t="s">
        <v>3663</v>
      </c>
      <c r="AW302" s="80" t="s">
        <v>2265</v>
      </c>
    </row>
    <row r="303" spans="1:49">
      <c r="A303" s="80" t="s">
        <v>2241</v>
      </c>
      <c r="B303" s="80" t="s">
        <v>3664</v>
      </c>
      <c r="C303" s="80" t="s">
        <v>2141</v>
      </c>
      <c r="D303" s="80" t="s">
        <v>3665</v>
      </c>
      <c r="E303" s="80" t="s">
        <v>2244</v>
      </c>
      <c r="F303" s="80" t="s">
        <v>3666</v>
      </c>
      <c r="J303" s="80" t="s">
        <v>3667</v>
      </c>
      <c r="M303" s="80" t="s">
        <v>2247</v>
      </c>
      <c r="O303" s="80" t="s">
        <v>2141</v>
      </c>
      <c r="P303" s="80" t="s">
        <v>2653</v>
      </c>
      <c r="Q303" s="80" t="s">
        <v>3665</v>
      </c>
      <c r="R303" s="80" t="s">
        <v>3668</v>
      </c>
      <c r="S303" s="80" t="s">
        <v>2244</v>
      </c>
      <c r="T303" s="80" t="s">
        <v>2251</v>
      </c>
      <c r="U303" s="80" t="s">
        <v>2252</v>
      </c>
      <c r="V303" s="80" t="s">
        <v>3669</v>
      </c>
      <c r="W303" s="80" t="s">
        <v>2254</v>
      </c>
      <c r="X303" s="80" t="s">
        <v>2283</v>
      </c>
      <c r="AA303" s="80" t="s">
        <v>2256</v>
      </c>
      <c r="AC303" s="80" t="s">
        <v>2656</v>
      </c>
      <c r="AE303" s="80" t="s">
        <v>2258</v>
      </c>
      <c r="AF303" s="80" t="s">
        <v>2259</v>
      </c>
      <c r="AL303" s="80" t="s">
        <v>2261</v>
      </c>
      <c r="AN303" s="80" t="s">
        <v>3666</v>
      </c>
      <c r="AP303" s="80" t="s">
        <v>2663</v>
      </c>
      <c r="AQ303" s="80" t="s">
        <v>3670</v>
      </c>
      <c r="AT303" s="80" t="s">
        <v>2256</v>
      </c>
      <c r="AU303" s="80" t="s">
        <v>3671</v>
      </c>
      <c r="AW303" s="80" t="s">
        <v>2265</v>
      </c>
    </row>
    <row r="304" spans="1:49">
      <c r="AP304" s="80" t="s">
        <v>2666</v>
      </c>
      <c r="AQ304" s="80" t="s">
        <v>3672</v>
      </c>
      <c r="AT304" s="80" t="s">
        <v>2256</v>
      </c>
      <c r="AU304" s="80" t="s">
        <v>3673</v>
      </c>
      <c r="AW304" s="80" t="s">
        <v>2577</v>
      </c>
    </row>
    <row r="305" spans="1:49">
      <c r="AP305" s="80" t="s">
        <v>2660</v>
      </c>
      <c r="AQ305" s="80" t="s">
        <v>3674</v>
      </c>
      <c r="AT305" s="80" t="s">
        <v>2256</v>
      </c>
      <c r="AU305" s="80" t="s">
        <v>3675</v>
      </c>
      <c r="AW305" s="80" t="s">
        <v>2577</v>
      </c>
    </row>
    <row r="306" spans="1:49">
      <c r="AP306" s="80" t="s">
        <v>2657</v>
      </c>
      <c r="AQ306" s="80" t="s">
        <v>3676</v>
      </c>
      <c r="AT306" s="80" t="s">
        <v>2256</v>
      </c>
      <c r="AU306" s="80" t="s">
        <v>3677</v>
      </c>
      <c r="AW306" s="80" t="s">
        <v>2577</v>
      </c>
    </row>
    <row r="307" spans="1:49">
      <c r="A307" s="80" t="s">
        <v>2241</v>
      </c>
      <c r="B307" s="80" t="s">
        <v>3678</v>
      </c>
      <c r="C307" s="80" t="s">
        <v>2141</v>
      </c>
      <c r="D307" s="80" t="s">
        <v>3679</v>
      </c>
      <c r="E307" s="80" t="s">
        <v>2244</v>
      </c>
      <c r="F307" s="80" t="s">
        <v>3680</v>
      </c>
      <c r="J307" s="80" t="s">
        <v>3681</v>
      </c>
      <c r="M307" s="80" t="s">
        <v>2247</v>
      </c>
      <c r="O307" s="80" t="s">
        <v>2141</v>
      </c>
      <c r="P307" s="80" t="s">
        <v>2653</v>
      </c>
      <c r="Q307" s="80" t="s">
        <v>3679</v>
      </c>
      <c r="R307" s="80" t="s">
        <v>3682</v>
      </c>
      <c r="S307" s="80" t="s">
        <v>2244</v>
      </c>
      <c r="T307" s="80" t="s">
        <v>2251</v>
      </c>
      <c r="U307" s="80" t="s">
        <v>2241</v>
      </c>
      <c r="V307" s="80" t="s">
        <v>3683</v>
      </c>
      <c r="W307" s="80" t="s">
        <v>3684</v>
      </c>
      <c r="X307" s="80" t="s">
        <v>2459</v>
      </c>
      <c r="AA307" s="80" t="s">
        <v>2256</v>
      </c>
      <c r="AC307" s="80" t="s">
        <v>2656</v>
      </c>
      <c r="AE307" s="80" t="s">
        <v>2258</v>
      </c>
      <c r="AF307" s="80" t="s">
        <v>2272</v>
      </c>
      <c r="AL307" s="80" t="s">
        <v>2261</v>
      </c>
      <c r="AN307" s="80" t="s">
        <v>3680</v>
      </c>
      <c r="AP307" s="80" t="s">
        <v>2666</v>
      </c>
      <c r="AQ307" s="80" t="s">
        <v>3685</v>
      </c>
      <c r="AT307" s="80" t="s">
        <v>2256</v>
      </c>
      <c r="AU307" s="80" t="s">
        <v>3686</v>
      </c>
      <c r="AW307" s="80" t="s">
        <v>2577</v>
      </c>
    </row>
    <row r="308" spans="1:49">
      <c r="AP308" s="80" t="s">
        <v>2660</v>
      </c>
      <c r="AQ308" s="80" t="s">
        <v>3687</v>
      </c>
      <c r="AT308" s="80" t="s">
        <v>2256</v>
      </c>
      <c r="AU308" s="80" t="s">
        <v>3688</v>
      </c>
      <c r="AW308" s="80" t="s">
        <v>2577</v>
      </c>
    </row>
    <row r="309" spans="1:49">
      <c r="AP309" s="80" t="s">
        <v>2663</v>
      </c>
      <c r="AQ309" s="80" t="s">
        <v>3689</v>
      </c>
      <c r="AT309" s="80" t="s">
        <v>2256</v>
      </c>
      <c r="AU309" s="80" t="s">
        <v>3690</v>
      </c>
      <c r="AW309" s="80" t="s">
        <v>2265</v>
      </c>
    </row>
    <row r="310" spans="1:49">
      <c r="AP310" s="80" t="s">
        <v>2657</v>
      </c>
      <c r="AQ310" s="80" t="s">
        <v>3691</v>
      </c>
      <c r="AT310" s="80" t="s">
        <v>2256</v>
      </c>
      <c r="AU310" s="80" t="s">
        <v>3692</v>
      </c>
      <c r="AW310" s="80" t="s">
        <v>2577</v>
      </c>
    </row>
    <row r="311" spans="1:49">
      <c r="A311" s="80" t="s">
        <v>2241</v>
      </c>
      <c r="B311" s="80" t="s">
        <v>3693</v>
      </c>
      <c r="C311" s="80" t="s">
        <v>2141</v>
      </c>
      <c r="D311" s="80" t="s">
        <v>3694</v>
      </c>
      <c r="E311" s="80" t="s">
        <v>2244</v>
      </c>
      <c r="F311" s="80" t="s">
        <v>3695</v>
      </c>
      <c r="J311" s="80" t="s">
        <v>3696</v>
      </c>
      <c r="M311" s="80" t="s">
        <v>2247</v>
      </c>
      <c r="O311" s="80" t="s">
        <v>2141</v>
      </c>
      <c r="P311" s="80" t="s">
        <v>2653</v>
      </c>
      <c r="Q311" s="80" t="s">
        <v>3694</v>
      </c>
      <c r="R311" s="80" t="s">
        <v>3697</v>
      </c>
      <c r="S311" s="80" t="s">
        <v>2244</v>
      </c>
      <c r="T311" s="80" t="s">
        <v>2251</v>
      </c>
      <c r="U311" s="80" t="s">
        <v>2241</v>
      </c>
      <c r="V311" s="80" t="s">
        <v>3698</v>
      </c>
      <c r="W311" s="80" t="s">
        <v>3684</v>
      </c>
      <c r="X311" s="80" t="s">
        <v>2523</v>
      </c>
      <c r="AA311" s="80" t="s">
        <v>2256</v>
      </c>
      <c r="AC311" s="80" t="s">
        <v>2656</v>
      </c>
      <c r="AE311" s="80" t="s">
        <v>2258</v>
      </c>
      <c r="AF311" s="80" t="s">
        <v>2272</v>
      </c>
      <c r="AL311" s="80" t="s">
        <v>2261</v>
      </c>
      <c r="AN311" s="80" t="s">
        <v>3695</v>
      </c>
      <c r="AP311" s="80" t="s">
        <v>2666</v>
      </c>
      <c r="AQ311" s="80" t="s">
        <v>3699</v>
      </c>
      <c r="AT311" s="80" t="s">
        <v>2256</v>
      </c>
      <c r="AU311" s="80" t="s">
        <v>3700</v>
      </c>
      <c r="AW311" s="80" t="s">
        <v>2577</v>
      </c>
    </row>
    <row r="312" spans="1:49">
      <c r="AP312" s="80" t="s">
        <v>2657</v>
      </c>
      <c r="AQ312" s="80" t="s">
        <v>3701</v>
      </c>
      <c r="AT312" s="80" t="s">
        <v>2256</v>
      </c>
      <c r="AU312" s="80" t="s">
        <v>3702</v>
      </c>
      <c r="AW312" s="80" t="s">
        <v>2577</v>
      </c>
    </row>
    <row r="313" spans="1:49">
      <c r="AP313" s="80" t="s">
        <v>2663</v>
      </c>
      <c r="AQ313" s="80" t="s">
        <v>3703</v>
      </c>
      <c r="AT313" s="80" t="s">
        <v>2256</v>
      </c>
      <c r="AU313" s="80" t="s">
        <v>3704</v>
      </c>
      <c r="AW313" s="80" t="s">
        <v>2265</v>
      </c>
    </row>
    <row r="314" spans="1:49">
      <c r="AP314" s="80" t="s">
        <v>2660</v>
      </c>
      <c r="AQ314" s="80" t="s">
        <v>3705</v>
      </c>
      <c r="AT314" s="80" t="s">
        <v>2256</v>
      </c>
      <c r="AU314" s="80" t="s">
        <v>3706</v>
      </c>
      <c r="AW314" s="80" t="s">
        <v>2577</v>
      </c>
    </row>
    <row r="315" spans="1:49">
      <c r="A315" s="80" t="s">
        <v>2241</v>
      </c>
      <c r="B315" s="80" t="s">
        <v>3707</v>
      </c>
      <c r="C315" s="80" t="s">
        <v>2141</v>
      </c>
      <c r="D315" s="80" t="s">
        <v>3708</v>
      </c>
      <c r="E315" s="80" t="s">
        <v>2244</v>
      </c>
      <c r="F315" s="80" t="s">
        <v>3145</v>
      </c>
      <c r="J315" s="80" t="s">
        <v>3709</v>
      </c>
      <c r="M315" s="80" t="s">
        <v>2247</v>
      </c>
      <c r="O315" s="80" t="s">
        <v>2141</v>
      </c>
      <c r="P315" s="80" t="s">
        <v>2653</v>
      </c>
      <c r="Q315" s="80" t="s">
        <v>3708</v>
      </c>
      <c r="R315" s="80" t="s">
        <v>3710</v>
      </c>
      <c r="S315" s="80" t="s">
        <v>2244</v>
      </c>
      <c r="T315" s="80" t="s">
        <v>2251</v>
      </c>
      <c r="U315" s="80" t="s">
        <v>2869</v>
      </c>
      <c r="V315" s="80" t="s">
        <v>3711</v>
      </c>
      <c r="W315" s="80" t="s">
        <v>2254</v>
      </c>
      <c r="X315" s="80" t="s">
        <v>2412</v>
      </c>
      <c r="AA315" s="80" t="s">
        <v>2256</v>
      </c>
      <c r="AC315" s="80" t="s">
        <v>2656</v>
      </c>
      <c r="AE315" s="80" t="s">
        <v>2258</v>
      </c>
      <c r="AF315" s="80" t="s">
        <v>2272</v>
      </c>
      <c r="AL315" s="80" t="s">
        <v>2261</v>
      </c>
      <c r="AN315" s="80" t="s">
        <v>3145</v>
      </c>
      <c r="AP315" s="80" t="s">
        <v>2660</v>
      </c>
      <c r="AQ315" s="80" t="s">
        <v>3712</v>
      </c>
      <c r="AT315" s="80" t="s">
        <v>2256</v>
      </c>
      <c r="AU315" s="80" t="s">
        <v>3713</v>
      </c>
      <c r="AW315" s="80" t="s">
        <v>2577</v>
      </c>
    </row>
    <row r="316" spans="1:49">
      <c r="AP316" s="80" t="s">
        <v>2663</v>
      </c>
      <c r="AQ316" s="80" t="s">
        <v>3714</v>
      </c>
      <c r="AT316" s="80" t="s">
        <v>2256</v>
      </c>
      <c r="AU316" s="80" t="s">
        <v>3715</v>
      </c>
      <c r="AW316" s="80" t="s">
        <v>2265</v>
      </c>
    </row>
    <row r="317" spans="1:49">
      <c r="AP317" s="80" t="s">
        <v>2657</v>
      </c>
      <c r="AQ317" s="80" t="s">
        <v>3716</v>
      </c>
      <c r="AT317" s="80" t="s">
        <v>2256</v>
      </c>
      <c r="AU317" s="80" t="s">
        <v>3717</v>
      </c>
      <c r="AW317" s="80" t="s">
        <v>2577</v>
      </c>
    </row>
    <row r="318" spans="1:49">
      <c r="AP318" s="80" t="s">
        <v>2666</v>
      </c>
      <c r="AQ318" s="80" t="s">
        <v>3718</v>
      </c>
      <c r="AT318" s="80" t="s">
        <v>2256</v>
      </c>
      <c r="AU318" s="80" t="s">
        <v>3719</v>
      </c>
      <c r="AW318" s="80" t="s">
        <v>2577</v>
      </c>
    </row>
    <row r="319" spans="1:49">
      <c r="A319" s="80" t="s">
        <v>2241</v>
      </c>
      <c r="B319" s="80" t="s">
        <v>3720</v>
      </c>
      <c r="C319" s="80" t="s">
        <v>2141</v>
      </c>
      <c r="D319" s="80" t="s">
        <v>3721</v>
      </c>
      <c r="E319" s="80" t="s">
        <v>2244</v>
      </c>
      <c r="F319" s="80" t="s">
        <v>2845</v>
      </c>
      <c r="J319" s="80" t="s">
        <v>3722</v>
      </c>
      <c r="M319" s="80" t="s">
        <v>2247</v>
      </c>
      <c r="O319" s="80" t="s">
        <v>2141</v>
      </c>
      <c r="P319" s="80" t="s">
        <v>2653</v>
      </c>
      <c r="Q319" s="80" t="s">
        <v>3721</v>
      </c>
      <c r="R319" s="80" t="s">
        <v>3723</v>
      </c>
      <c r="S319" s="80" t="s">
        <v>2244</v>
      </c>
      <c r="T319" s="80" t="s">
        <v>2251</v>
      </c>
      <c r="U319" s="80" t="s">
        <v>3724</v>
      </c>
      <c r="V319" s="80" t="s">
        <v>3725</v>
      </c>
      <c r="W319" s="80" t="s">
        <v>2871</v>
      </c>
      <c r="X319" s="80" t="s">
        <v>2610</v>
      </c>
      <c r="AA319" s="80" t="s">
        <v>2256</v>
      </c>
      <c r="AC319" s="80" t="s">
        <v>2656</v>
      </c>
      <c r="AE319" s="80" t="s">
        <v>2258</v>
      </c>
      <c r="AF319" s="80" t="s">
        <v>2272</v>
      </c>
      <c r="AI319" s="80" t="s">
        <v>2872</v>
      </c>
      <c r="AL319" s="80" t="s">
        <v>2261</v>
      </c>
      <c r="AN319" s="80" t="s">
        <v>2845</v>
      </c>
      <c r="AP319" s="80" t="s">
        <v>2663</v>
      </c>
      <c r="AQ319" s="80" t="s">
        <v>3726</v>
      </c>
      <c r="AT319" s="80" t="s">
        <v>2256</v>
      </c>
      <c r="AU319" s="80" t="s">
        <v>3727</v>
      </c>
      <c r="AW319" s="80" t="s">
        <v>2265</v>
      </c>
    </row>
    <row r="320" spans="1:49">
      <c r="AP320" s="80" t="s">
        <v>2660</v>
      </c>
      <c r="AQ320" s="80" t="s">
        <v>3728</v>
      </c>
      <c r="AT320" s="80" t="s">
        <v>2256</v>
      </c>
      <c r="AU320" s="80" t="s">
        <v>3729</v>
      </c>
      <c r="AW320" s="80" t="s">
        <v>2577</v>
      </c>
    </row>
    <row r="321" spans="1:49">
      <c r="AP321" s="80" t="s">
        <v>2666</v>
      </c>
      <c r="AQ321" s="80" t="s">
        <v>3730</v>
      </c>
      <c r="AT321" s="80" t="s">
        <v>2256</v>
      </c>
      <c r="AU321" s="80" t="s">
        <v>3731</v>
      </c>
      <c r="AW321" s="80" t="s">
        <v>2577</v>
      </c>
    </row>
    <row r="322" spans="1:49">
      <c r="AP322" s="80" t="s">
        <v>2657</v>
      </c>
      <c r="AQ322" s="80" t="s">
        <v>3732</v>
      </c>
      <c r="AT322" s="80" t="s">
        <v>2256</v>
      </c>
      <c r="AU322" s="80" t="s">
        <v>3733</v>
      </c>
      <c r="AW322" s="80" t="s">
        <v>2577</v>
      </c>
    </row>
    <row r="323" spans="1:49">
      <c r="A323" s="80" t="s">
        <v>2241</v>
      </c>
      <c r="B323" s="80" t="s">
        <v>3734</v>
      </c>
      <c r="C323" s="80" t="s">
        <v>2141</v>
      </c>
      <c r="D323" s="80" t="s">
        <v>3735</v>
      </c>
      <c r="E323" s="80" t="s">
        <v>2244</v>
      </c>
      <c r="F323" s="80" t="s">
        <v>3736</v>
      </c>
      <c r="J323" s="80" t="s">
        <v>3737</v>
      </c>
      <c r="M323" s="80" t="s">
        <v>2247</v>
      </c>
      <c r="O323" s="80" t="s">
        <v>2141</v>
      </c>
      <c r="P323" s="80" t="s">
        <v>2653</v>
      </c>
      <c r="Q323" s="80" t="s">
        <v>3735</v>
      </c>
      <c r="R323" s="80" t="s">
        <v>3738</v>
      </c>
      <c r="S323" s="80" t="s">
        <v>2244</v>
      </c>
      <c r="T323" s="80" t="s">
        <v>2251</v>
      </c>
      <c r="U323" s="80" t="s">
        <v>2241</v>
      </c>
      <c r="V323" s="80" t="s">
        <v>3739</v>
      </c>
      <c r="W323" s="80" t="s">
        <v>3445</v>
      </c>
      <c r="X323" s="80" t="s">
        <v>2271</v>
      </c>
      <c r="AA323" s="80" t="s">
        <v>2256</v>
      </c>
      <c r="AC323" s="80" t="s">
        <v>2656</v>
      </c>
      <c r="AE323" s="80" t="s">
        <v>2258</v>
      </c>
      <c r="AF323" s="80" t="s">
        <v>2272</v>
      </c>
      <c r="AL323" s="80" t="s">
        <v>2261</v>
      </c>
      <c r="AN323" s="80" t="s">
        <v>3736</v>
      </c>
      <c r="AP323" s="80" t="s">
        <v>2657</v>
      </c>
      <c r="AQ323" s="80" t="s">
        <v>3740</v>
      </c>
      <c r="AT323" s="80" t="s">
        <v>2256</v>
      </c>
      <c r="AU323" s="80" t="s">
        <v>3741</v>
      </c>
      <c r="AW323" s="80" t="s">
        <v>2577</v>
      </c>
    </row>
    <row r="324" spans="1:49">
      <c r="AP324" s="80" t="s">
        <v>2666</v>
      </c>
      <c r="AQ324" s="80" t="s">
        <v>3742</v>
      </c>
      <c r="AT324" s="80" t="s">
        <v>2256</v>
      </c>
      <c r="AU324" s="80" t="s">
        <v>3743</v>
      </c>
      <c r="AW324" s="80" t="s">
        <v>2577</v>
      </c>
    </row>
    <row r="325" spans="1:49">
      <c r="AP325" s="80" t="s">
        <v>2663</v>
      </c>
      <c r="AQ325" s="80" t="s">
        <v>3744</v>
      </c>
      <c r="AT325" s="80" t="s">
        <v>2256</v>
      </c>
      <c r="AU325" s="80" t="s">
        <v>3745</v>
      </c>
      <c r="AW325" s="80" t="s">
        <v>2265</v>
      </c>
    </row>
    <row r="326" spans="1:49">
      <c r="AP326" s="80" t="s">
        <v>2660</v>
      </c>
      <c r="AQ326" s="80" t="s">
        <v>3746</v>
      </c>
      <c r="AT326" s="80" t="s">
        <v>2256</v>
      </c>
      <c r="AU326" s="80" t="s">
        <v>3747</v>
      </c>
      <c r="AW326" s="80" t="s">
        <v>2577</v>
      </c>
    </row>
    <row r="327" spans="1:49">
      <c r="A327" s="80" t="s">
        <v>2241</v>
      </c>
      <c r="B327" s="80" t="s">
        <v>3748</v>
      </c>
      <c r="C327" s="80" t="s">
        <v>2141</v>
      </c>
      <c r="D327" s="80" t="s">
        <v>3749</v>
      </c>
      <c r="E327" s="80" t="s">
        <v>2244</v>
      </c>
      <c r="F327" s="80" t="s">
        <v>3750</v>
      </c>
      <c r="J327" s="80" t="s">
        <v>3751</v>
      </c>
      <c r="M327" s="80" t="s">
        <v>2247</v>
      </c>
      <c r="O327" s="80" t="s">
        <v>2141</v>
      </c>
      <c r="P327" s="80" t="s">
        <v>2653</v>
      </c>
      <c r="Q327" s="80" t="s">
        <v>3749</v>
      </c>
      <c r="R327" s="80" t="s">
        <v>3752</v>
      </c>
      <c r="S327" s="80" t="s">
        <v>2244</v>
      </c>
      <c r="T327" s="80" t="s">
        <v>2251</v>
      </c>
      <c r="U327" s="80" t="s">
        <v>2322</v>
      </c>
      <c r="V327" s="80" t="s">
        <v>3753</v>
      </c>
      <c r="W327" s="80" t="s">
        <v>2270</v>
      </c>
      <c r="X327" s="80" t="s">
        <v>2291</v>
      </c>
      <c r="AA327" s="80" t="s">
        <v>2256</v>
      </c>
      <c r="AC327" s="80" t="s">
        <v>2656</v>
      </c>
      <c r="AE327" s="80" t="s">
        <v>2258</v>
      </c>
      <c r="AF327" s="80" t="s">
        <v>2272</v>
      </c>
      <c r="AL327" s="80" t="s">
        <v>2261</v>
      </c>
      <c r="AN327" s="80" t="s">
        <v>3750</v>
      </c>
      <c r="AP327" s="80" t="s">
        <v>2666</v>
      </c>
      <c r="AQ327" s="80" t="s">
        <v>3754</v>
      </c>
      <c r="AT327" s="80" t="s">
        <v>2256</v>
      </c>
      <c r="AU327" s="80" t="s">
        <v>3755</v>
      </c>
      <c r="AW327" s="80" t="s">
        <v>2577</v>
      </c>
    </row>
    <row r="328" spans="1:49">
      <c r="AP328" s="80" t="s">
        <v>2660</v>
      </c>
      <c r="AQ328" s="80" t="s">
        <v>3756</v>
      </c>
      <c r="AT328" s="80" t="s">
        <v>2256</v>
      </c>
      <c r="AU328" s="80" t="s">
        <v>3757</v>
      </c>
      <c r="AW328" s="80" t="s">
        <v>2577</v>
      </c>
    </row>
    <row r="329" spans="1:49">
      <c r="AP329" s="80" t="s">
        <v>2657</v>
      </c>
      <c r="AQ329" s="80" t="s">
        <v>3758</v>
      </c>
      <c r="AT329" s="80" t="s">
        <v>2256</v>
      </c>
      <c r="AU329" s="80" t="s">
        <v>3759</v>
      </c>
      <c r="AW329" s="80" t="s">
        <v>2577</v>
      </c>
    </row>
    <row r="330" spans="1:49">
      <c r="AP330" s="80" t="s">
        <v>2663</v>
      </c>
      <c r="AQ330" s="80" t="s">
        <v>3760</v>
      </c>
      <c r="AT330" s="80" t="s">
        <v>2256</v>
      </c>
      <c r="AU330" s="80" t="s">
        <v>3761</v>
      </c>
      <c r="AW330" s="80" t="s">
        <v>2265</v>
      </c>
    </row>
    <row r="331" spans="1:49">
      <c r="A331" s="80" t="s">
        <v>2241</v>
      </c>
      <c r="B331" s="80" t="s">
        <v>3762</v>
      </c>
      <c r="C331" s="80" t="s">
        <v>2141</v>
      </c>
      <c r="D331" s="80" t="s">
        <v>3763</v>
      </c>
      <c r="E331" s="80" t="s">
        <v>2244</v>
      </c>
      <c r="F331" s="80" t="s">
        <v>3764</v>
      </c>
      <c r="J331" s="80" t="s">
        <v>3765</v>
      </c>
      <c r="M331" s="80" t="s">
        <v>2247</v>
      </c>
      <c r="O331" s="80" t="s">
        <v>2141</v>
      </c>
      <c r="P331" s="80" t="s">
        <v>2653</v>
      </c>
      <c r="Q331" s="80" t="s">
        <v>3763</v>
      </c>
      <c r="R331" s="80" t="s">
        <v>3766</v>
      </c>
      <c r="S331" s="80" t="s">
        <v>2244</v>
      </c>
      <c r="T331" s="80" t="s">
        <v>2251</v>
      </c>
      <c r="U331" s="80" t="s">
        <v>2252</v>
      </c>
      <c r="V331" s="80" t="s">
        <v>3767</v>
      </c>
      <c r="W331" s="80" t="s">
        <v>2270</v>
      </c>
      <c r="X331" s="80" t="s">
        <v>2283</v>
      </c>
      <c r="AA331" s="80" t="s">
        <v>2256</v>
      </c>
      <c r="AC331" s="80" t="s">
        <v>2656</v>
      </c>
      <c r="AE331" s="80" t="s">
        <v>2258</v>
      </c>
      <c r="AF331" s="80" t="s">
        <v>2272</v>
      </c>
      <c r="AL331" s="80" t="s">
        <v>2261</v>
      </c>
      <c r="AN331" s="80" t="s">
        <v>3764</v>
      </c>
      <c r="AP331" s="80" t="s">
        <v>2663</v>
      </c>
      <c r="AQ331" s="80" t="s">
        <v>3768</v>
      </c>
      <c r="AU331" s="80" t="s">
        <v>3769</v>
      </c>
    </row>
    <row r="332" spans="1:49">
      <c r="AP332" s="80" t="s">
        <v>2660</v>
      </c>
      <c r="AQ332" s="80" t="s">
        <v>3770</v>
      </c>
      <c r="AU332" s="80" t="s">
        <v>3771</v>
      </c>
    </row>
    <row r="333" spans="1:49">
      <c r="AP333" s="80" t="s">
        <v>2666</v>
      </c>
      <c r="AQ333" s="80" t="s">
        <v>3772</v>
      </c>
      <c r="AU333" s="80" t="s">
        <v>3773</v>
      </c>
    </row>
    <row r="334" spans="1:49">
      <c r="AP334" s="80" t="s">
        <v>2657</v>
      </c>
      <c r="AQ334" s="80" t="s">
        <v>3774</v>
      </c>
      <c r="AU334" s="80" t="s">
        <v>3775</v>
      </c>
    </row>
    <row r="335" spans="1:49">
      <c r="A335" s="80" t="s">
        <v>2241</v>
      </c>
      <c r="B335" s="80" t="s">
        <v>3776</v>
      </c>
      <c r="C335" s="80" t="s">
        <v>2141</v>
      </c>
      <c r="D335" s="80" t="s">
        <v>3777</v>
      </c>
      <c r="E335" s="80" t="s">
        <v>2244</v>
      </c>
      <c r="F335" s="80" t="s">
        <v>3778</v>
      </c>
      <c r="J335" s="80" t="s">
        <v>3779</v>
      </c>
      <c r="M335" s="80" t="s">
        <v>2247</v>
      </c>
      <c r="O335" s="80" t="s">
        <v>2141</v>
      </c>
      <c r="P335" s="80" t="s">
        <v>2653</v>
      </c>
      <c r="Q335" s="80" t="s">
        <v>3777</v>
      </c>
      <c r="R335" s="80" t="s">
        <v>3780</v>
      </c>
      <c r="S335" s="80" t="s">
        <v>2244</v>
      </c>
      <c r="T335" s="80" t="s">
        <v>2251</v>
      </c>
      <c r="U335" s="80" t="s">
        <v>2252</v>
      </c>
      <c r="V335" s="80" t="s">
        <v>3781</v>
      </c>
      <c r="W335" s="80" t="s">
        <v>2254</v>
      </c>
      <c r="X335" s="80" t="s">
        <v>2412</v>
      </c>
      <c r="AA335" s="80" t="s">
        <v>2256</v>
      </c>
      <c r="AC335" s="80" t="s">
        <v>2656</v>
      </c>
      <c r="AE335" s="80" t="s">
        <v>2258</v>
      </c>
      <c r="AF335" s="80" t="s">
        <v>2272</v>
      </c>
      <c r="AL335" s="80" t="s">
        <v>2261</v>
      </c>
      <c r="AN335" s="80" t="s">
        <v>3778</v>
      </c>
      <c r="AP335" s="80" t="s">
        <v>2663</v>
      </c>
      <c r="AQ335" s="80" t="s">
        <v>3782</v>
      </c>
      <c r="AT335" s="80" t="s">
        <v>2256</v>
      </c>
      <c r="AU335" s="80" t="s">
        <v>3783</v>
      </c>
      <c r="AW335" s="80" t="s">
        <v>2265</v>
      </c>
    </row>
    <row r="336" spans="1:49">
      <c r="AP336" s="80" t="s">
        <v>2666</v>
      </c>
      <c r="AQ336" s="80" t="s">
        <v>3784</v>
      </c>
      <c r="AT336" s="80" t="s">
        <v>2256</v>
      </c>
      <c r="AU336" s="80" t="s">
        <v>3785</v>
      </c>
      <c r="AW336" s="80" t="s">
        <v>2577</v>
      </c>
    </row>
    <row r="337" spans="1:49">
      <c r="AP337" s="80" t="s">
        <v>2657</v>
      </c>
      <c r="AQ337" s="80" t="s">
        <v>3786</v>
      </c>
      <c r="AT337" s="80" t="s">
        <v>2256</v>
      </c>
      <c r="AU337" s="80" t="s">
        <v>3787</v>
      </c>
      <c r="AW337" s="80" t="s">
        <v>2577</v>
      </c>
    </row>
    <row r="338" spans="1:49">
      <c r="AP338" s="80" t="s">
        <v>2660</v>
      </c>
      <c r="AQ338" s="80" t="s">
        <v>3788</v>
      </c>
      <c r="AT338" s="80" t="s">
        <v>2256</v>
      </c>
      <c r="AU338" s="80" t="s">
        <v>3789</v>
      </c>
      <c r="AW338" s="80" t="s">
        <v>2577</v>
      </c>
    </row>
    <row r="339" spans="1:49">
      <c r="A339" s="80" t="s">
        <v>2241</v>
      </c>
      <c r="B339" s="80" t="s">
        <v>3790</v>
      </c>
      <c r="C339" s="80" t="s">
        <v>2141</v>
      </c>
      <c r="D339" s="80" t="s">
        <v>3791</v>
      </c>
      <c r="E339" s="80" t="s">
        <v>2244</v>
      </c>
      <c r="F339" s="80" t="s">
        <v>3792</v>
      </c>
      <c r="J339" s="80" t="s">
        <v>3793</v>
      </c>
      <c r="M339" s="80" t="s">
        <v>2247</v>
      </c>
      <c r="O339" s="80" t="s">
        <v>2141</v>
      </c>
      <c r="P339" s="80" t="s">
        <v>2653</v>
      </c>
      <c r="Q339" s="80" t="s">
        <v>3791</v>
      </c>
      <c r="R339" s="80" t="s">
        <v>3794</v>
      </c>
      <c r="S339" s="80" t="s">
        <v>2244</v>
      </c>
      <c r="T339" s="80" t="s">
        <v>2251</v>
      </c>
      <c r="U339" s="80" t="s">
        <v>2252</v>
      </c>
      <c r="V339" s="80" t="s">
        <v>3795</v>
      </c>
      <c r="W339" s="80" t="s">
        <v>2975</v>
      </c>
      <c r="X339" s="80" t="s">
        <v>2459</v>
      </c>
      <c r="AA339" s="80" t="s">
        <v>2256</v>
      </c>
      <c r="AC339" s="80" t="s">
        <v>2656</v>
      </c>
      <c r="AE339" s="80" t="s">
        <v>2258</v>
      </c>
      <c r="AF339" s="80" t="s">
        <v>2272</v>
      </c>
      <c r="AL339" s="80" t="s">
        <v>2261</v>
      </c>
      <c r="AN339" s="80" t="s">
        <v>3792</v>
      </c>
      <c r="AP339" s="80" t="s">
        <v>2666</v>
      </c>
      <c r="AQ339" s="80" t="s">
        <v>3796</v>
      </c>
      <c r="AS339" s="80" t="s">
        <v>2978</v>
      </c>
      <c r="AT339" s="80" t="s">
        <v>2256</v>
      </c>
      <c r="AU339" s="80" t="s">
        <v>3797</v>
      </c>
      <c r="AW339" s="80" t="s">
        <v>2577</v>
      </c>
    </row>
    <row r="340" spans="1:49">
      <c r="AP340" s="80" t="s">
        <v>2657</v>
      </c>
      <c r="AQ340" s="80" t="s">
        <v>3798</v>
      </c>
      <c r="AS340" s="80" t="s">
        <v>2978</v>
      </c>
      <c r="AT340" s="80" t="s">
        <v>2256</v>
      </c>
      <c r="AU340" s="80" t="s">
        <v>3799</v>
      </c>
      <c r="AW340" s="80" t="s">
        <v>2577</v>
      </c>
    </row>
    <row r="341" spans="1:49">
      <c r="AP341" s="80" t="s">
        <v>2660</v>
      </c>
      <c r="AQ341" s="80" t="s">
        <v>3800</v>
      </c>
      <c r="AS341" s="80" t="s">
        <v>2978</v>
      </c>
      <c r="AT341" s="80" t="s">
        <v>2256</v>
      </c>
      <c r="AU341" s="80" t="s">
        <v>3801</v>
      </c>
      <c r="AW341" s="80" t="s">
        <v>2577</v>
      </c>
    </row>
    <row r="342" spans="1:49">
      <c r="AP342" s="80" t="s">
        <v>2663</v>
      </c>
      <c r="AQ342" s="80" t="s">
        <v>3802</v>
      </c>
      <c r="AS342" s="80" t="s">
        <v>2978</v>
      </c>
      <c r="AT342" s="80" t="s">
        <v>2256</v>
      </c>
      <c r="AU342" s="80" t="s">
        <v>3803</v>
      </c>
      <c r="AW342" s="80" t="s">
        <v>2265</v>
      </c>
    </row>
    <row r="343" spans="1:49">
      <c r="A343" s="80" t="s">
        <v>2241</v>
      </c>
      <c r="B343" s="80" t="s">
        <v>3804</v>
      </c>
      <c r="C343" s="80" t="s">
        <v>2141</v>
      </c>
      <c r="D343" s="80" t="s">
        <v>3805</v>
      </c>
      <c r="E343" s="80" t="s">
        <v>2244</v>
      </c>
      <c r="F343" s="80" t="s">
        <v>3806</v>
      </c>
      <c r="J343" s="80" t="s">
        <v>3807</v>
      </c>
      <c r="M343" s="80" t="s">
        <v>2247</v>
      </c>
      <c r="O343" s="80" t="s">
        <v>2141</v>
      </c>
      <c r="P343" s="80" t="s">
        <v>2653</v>
      </c>
      <c r="Q343" s="80" t="s">
        <v>3805</v>
      </c>
      <c r="R343" s="80" t="s">
        <v>3808</v>
      </c>
      <c r="S343" s="80" t="s">
        <v>2244</v>
      </c>
      <c r="T343" s="80" t="s">
        <v>2251</v>
      </c>
      <c r="U343" s="80" t="s">
        <v>2241</v>
      </c>
      <c r="V343" s="80" t="s">
        <v>3809</v>
      </c>
      <c r="W343" s="80" t="s">
        <v>2931</v>
      </c>
      <c r="X343" s="80" t="s">
        <v>2610</v>
      </c>
      <c r="AA343" s="80" t="s">
        <v>2256</v>
      </c>
      <c r="AC343" s="80" t="s">
        <v>2656</v>
      </c>
      <c r="AE343" s="80" t="s">
        <v>2258</v>
      </c>
      <c r="AF343" s="80" t="s">
        <v>2272</v>
      </c>
      <c r="AL343" s="80" t="s">
        <v>2261</v>
      </c>
      <c r="AN343" s="80" t="s">
        <v>3806</v>
      </c>
      <c r="AP343" s="80" t="s">
        <v>2663</v>
      </c>
      <c r="AQ343" s="80" t="s">
        <v>3810</v>
      </c>
      <c r="AT343" s="80" t="s">
        <v>2256</v>
      </c>
      <c r="AU343" s="80" t="s">
        <v>3811</v>
      </c>
      <c r="AW343" s="80" t="s">
        <v>2265</v>
      </c>
    </row>
    <row r="344" spans="1:49">
      <c r="AP344" s="80" t="s">
        <v>2660</v>
      </c>
      <c r="AQ344" s="80" t="s">
        <v>3812</v>
      </c>
      <c r="AT344" s="80" t="s">
        <v>2256</v>
      </c>
      <c r="AU344" s="80" t="s">
        <v>3813</v>
      </c>
      <c r="AW344" s="80" t="s">
        <v>2577</v>
      </c>
    </row>
    <row r="345" spans="1:49">
      <c r="AP345" s="80" t="s">
        <v>2666</v>
      </c>
      <c r="AQ345" s="80" t="s">
        <v>3814</v>
      </c>
      <c r="AT345" s="80" t="s">
        <v>2256</v>
      </c>
      <c r="AU345" s="80" t="s">
        <v>3815</v>
      </c>
      <c r="AW345" s="80" t="s">
        <v>2577</v>
      </c>
    </row>
    <row r="346" spans="1:49">
      <c r="AP346" s="80" t="s">
        <v>2657</v>
      </c>
      <c r="AQ346" s="80" t="s">
        <v>3816</v>
      </c>
      <c r="AT346" s="80" t="s">
        <v>2256</v>
      </c>
      <c r="AU346" s="80" t="s">
        <v>3817</v>
      </c>
      <c r="AW346" s="80" t="s">
        <v>2577</v>
      </c>
    </row>
    <row r="347" spans="1:49">
      <c r="A347" s="80" t="s">
        <v>2241</v>
      </c>
      <c r="B347" s="80" t="s">
        <v>3818</v>
      </c>
      <c r="C347" s="80" t="s">
        <v>2141</v>
      </c>
      <c r="D347" s="80" t="s">
        <v>3819</v>
      </c>
      <c r="E347" s="80" t="s">
        <v>2244</v>
      </c>
      <c r="F347" s="80" t="s">
        <v>3820</v>
      </c>
      <c r="J347" s="80" t="s">
        <v>3821</v>
      </c>
      <c r="M347" s="80" t="s">
        <v>2247</v>
      </c>
      <c r="O347" s="80" t="s">
        <v>2141</v>
      </c>
      <c r="P347" s="80" t="s">
        <v>2653</v>
      </c>
      <c r="Q347" s="80" t="s">
        <v>3819</v>
      </c>
      <c r="R347" s="80" t="s">
        <v>3822</v>
      </c>
      <c r="S347" s="80" t="s">
        <v>2244</v>
      </c>
      <c r="T347" s="80" t="s">
        <v>2251</v>
      </c>
      <c r="U347" s="80" t="s">
        <v>2446</v>
      </c>
      <c r="V347" s="80" t="s">
        <v>3823</v>
      </c>
      <c r="W347" s="80" t="s">
        <v>3824</v>
      </c>
      <c r="X347" s="80" t="s">
        <v>2459</v>
      </c>
      <c r="AA347" s="80" t="s">
        <v>2256</v>
      </c>
      <c r="AC347" s="80" t="s">
        <v>2656</v>
      </c>
      <c r="AE347" s="80" t="s">
        <v>2258</v>
      </c>
      <c r="AF347" s="80" t="s">
        <v>2272</v>
      </c>
      <c r="AL347" s="80" t="s">
        <v>2261</v>
      </c>
      <c r="AN347" s="80" t="s">
        <v>3820</v>
      </c>
      <c r="AP347" s="80" t="s">
        <v>2666</v>
      </c>
      <c r="AQ347" s="80" t="s">
        <v>3825</v>
      </c>
      <c r="AT347" s="80" t="s">
        <v>2256</v>
      </c>
      <c r="AU347" s="80" t="s">
        <v>3826</v>
      </c>
      <c r="AW347" s="80" t="s">
        <v>2577</v>
      </c>
    </row>
    <row r="348" spans="1:49">
      <c r="AP348" s="80" t="s">
        <v>2657</v>
      </c>
      <c r="AQ348" s="80" t="s">
        <v>3827</v>
      </c>
      <c r="AT348" s="80" t="s">
        <v>2256</v>
      </c>
      <c r="AU348" s="80" t="s">
        <v>3828</v>
      </c>
      <c r="AW348" s="80" t="s">
        <v>2577</v>
      </c>
    </row>
    <row r="349" spans="1:49">
      <c r="AP349" s="80" t="s">
        <v>2663</v>
      </c>
      <c r="AQ349" s="80" t="s">
        <v>3829</v>
      </c>
      <c r="AT349" s="80" t="s">
        <v>2256</v>
      </c>
      <c r="AU349" s="80" t="s">
        <v>3830</v>
      </c>
      <c r="AW349" s="80" t="s">
        <v>2265</v>
      </c>
    </row>
    <row r="350" spans="1:49">
      <c r="AP350" s="80" t="s">
        <v>2660</v>
      </c>
      <c r="AQ350" s="80" t="s">
        <v>3831</v>
      </c>
      <c r="AT350" s="80" t="s">
        <v>2256</v>
      </c>
      <c r="AU350" s="80" t="s">
        <v>3832</v>
      </c>
      <c r="AW350" s="80" t="s">
        <v>2577</v>
      </c>
    </row>
    <row r="351" spans="1:49">
      <c r="A351" s="80" t="s">
        <v>2241</v>
      </c>
      <c r="B351" s="80" t="s">
        <v>3833</v>
      </c>
      <c r="C351" s="80" t="s">
        <v>2141</v>
      </c>
      <c r="D351" s="80" t="s">
        <v>3834</v>
      </c>
      <c r="E351" s="80" t="s">
        <v>2244</v>
      </c>
      <c r="F351" s="80" t="s">
        <v>3835</v>
      </c>
      <c r="J351" s="80" t="s">
        <v>3836</v>
      </c>
      <c r="M351" s="80" t="s">
        <v>2247</v>
      </c>
      <c r="O351" s="80" t="s">
        <v>2141</v>
      </c>
      <c r="P351" s="80" t="s">
        <v>2653</v>
      </c>
      <c r="Q351" s="80" t="s">
        <v>3834</v>
      </c>
      <c r="R351" s="80" t="s">
        <v>3837</v>
      </c>
      <c r="S351" s="80" t="s">
        <v>2244</v>
      </c>
      <c r="T351" s="80" t="s">
        <v>2251</v>
      </c>
      <c r="U351" s="80" t="s">
        <v>2252</v>
      </c>
      <c r="V351" s="80" t="s">
        <v>3838</v>
      </c>
      <c r="W351" s="80" t="s">
        <v>2324</v>
      </c>
      <c r="X351" s="80" t="s">
        <v>2271</v>
      </c>
      <c r="AA351" s="80" t="s">
        <v>2256</v>
      </c>
      <c r="AC351" s="80" t="s">
        <v>2656</v>
      </c>
      <c r="AE351" s="80" t="s">
        <v>2258</v>
      </c>
      <c r="AF351" s="80" t="s">
        <v>2272</v>
      </c>
      <c r="AL351" s="80" t="s">
        <v>2261</v>
      </c>
      <c r="AN351" s="80" t="s">
        <v>3835</v>
      </c>
      <c r="AP351" s="80" t="s">
        <v>2663</v>
      </c>
      <c r="AQ351" s="80" t="s">
        <v>3839</v>
      </c>
      <c r="AT351" s="80" t="s">
        <v>2256</v>
      </c>
      <c r="AU351" s="80" t="s">
        <v>3840</v>
      </c>
      <c r="AW351" s="80" t="s">
        <v>2265</v>
      </c>
    </row>
    <row r="352" spans="1:49">
      <c r="AP352" s="80" t="s">
        <v>2660</v>
      </c>
      <c r="AQ352" s="80" t="s">
        <v>3841</v>
      </c>
      <c r="AT352" s="80" t="s">
        <v>2256</v>
      </c>
      <c r="AU352" s="80" t="s">
        <v>3842</v>
      </c>
      <c r="AW352" s="80" t="s">
        <v>2577</v>
      </c>
    </row>
    <row r="353" spans="1:49">
      <c r="AP353" s="80" t="s">
        <v>2666</v>
      </c>
      <c r="AQ353" s="80" t="s">
        <v>3843</v>
      </c>
      <c r="AT353" s="80" t="s">
        <v>2256</v>
      </c>
      <c r="AU353" s="80" t="s">
        <v>3844</v>
      </c>
      <c r="AW353" s="80" t="s">
        <v>2577</v>
      </c>
    </row>
    <row r="354" spans="1:49">
      <c r="AP354" s="80" t="s">
        <v>2657</v>
      </c>
      <c r="AQ354" s="80" t="s">
        <v>3845</v>
      </c>
      <c r="AT354" s="80" t="s">
        <v>2256</v>
      </c>
      <c r="AU354" s="80" t="s">
        <v>3846</v>
      </c>
      <c r="AW354" s="80" t="s">
        <v>2577</v>
      </c>
    </row>
    <row r="355" spans="1:49">
      <c r="A355" s="80" t="s">
        <v>2241</v>
      </c>
      <c r="B355" s="80" t="s">
        <v>3847</v>
      </c>
      <c r="C355" s="80" t="s">
        <v>2141</v>
      </c>
      <c r="D355" s="80" t="s">
        <v>3848</v>
      </c>
      <c r="E355" s="80" t="s">
        <v>2244</v>
      </c>
      <c r="F355" s="80" t="s">
        <v>3849</v>
      </c>
      <c r="J355" s="80" t="s">
        <v>3850</v>
      </c>
      <c r="M355" s="80" t="s">
        <v>2247</v>
      </c>
      <c r="O355" s="80" t="s">
        <v>2141</v>
      </c>
      <c r="P355" s="80" t="s">
        <v>2653</v>
      </c>
      <c r="Q355" s="80" t="s">
        <v>3848</v>
      </c>
      <c r="R355" s="80" t="s">
        <v>3851</v>
      </c>
      <c r="S355" s="80" t="s">
        <v>2244</v>
      </c>
      <c r="T355" s="80" t="s">
        <v>2251</v>
      </c>
      <c r="U355" s="80" t="s">
        <v>2627</v>
      </c>
      <c r="V355" s="80" t="s">
        <v>3852</v>
      </c>
      <c r="W355" s="80" t="s">
        <v>2871</v>
      </c>
      <c r="X355" s="80" t="s">
        <v>2271</v>
      </c>
      <c r="AA355" s="80" t="s">
        <v>2256</v>
      </c>
      <c r="AC355" s="80" t="s">
        <v>2656</v>
      </c>
      <c r="AE355" s="80" t="s">
        <v>2258</v>
      </c>
      <c r="AF355" s="80" t="s">
        <v>2272</v>
      </c>
      <c r="AI355" s="80" t="s">
        <v>2872</v>
      </c>
      <c r="AL355" s="80" t="s">
        <v>2261</v>
      </c>
      <c r="AN355" s="80" t="s">
        <v>3849</v>
      </c>
      <c r="AP355" s="80" t="s">
        <v>2663</v>
      </c>
      <c r="AQ355" s="80" t="s">
        <v>3853</v>
      </c>
      <c r="AT355" s="80" t="s">
        <v>2256</v>
      </c>
      <c r="AU355" s="80" t="s">
        <v>3854</v>
      </c>
      <c r="AW355" s="80" t="s">
        <v>2265</v>
      </c>
    </row>
    <row r="356" spans="1:49">
      <c r="AP356" s="80" t="s">
        <v>2660</v>
      </c>
      <c r="AQ356" s="80" t="s">
        <v>3855</v>
      </c>
      <c r="AT356" s="80" t="s">
        <v>2256</v>
      </c>
      <c r="AU356" s="80" t="s">
        <v>3856</v>
      </c>
      <c r="AW356" s="80" t="s">
        <v>2577</v>
      </c>
    </row>
    <row r="357" spans="1:49">
      <c r="AP357" s="80" t="s">
        <v>2666</v>
      </c>
      <c r="AQ357" s="80" t="s">
        <v>3857</v>
      </c>
      <c r="AT357" s="80" t="s">
        <v>2256</v>
      </c>
      <c r="AU357" s="80" t="s">
        <v>3858</v>
      </c>
      <c r="AW357" s="80" t="s">
        <v>2577</v>
      </c>
    </row>
    <row r="358" spans="1:49">
      <c r="AP358" s="80" t="s">
        <v>2657</v>
      </c>
      <c r="AQ358" s="80" t="s">
        <v>3859</v>
      </c>
      <c r="AT358" s="80" t="s">
        <v>2256</v>
      </c>
      <c r="AU358" s="80" t="s">
        <v>3860</v>
      </c>
      <c r="AW358" s="80" t="s">
        <v>2577</v>
      </c>
    </row>
    <row r="359" spans="1:49">
      <c r="A359" s="80" t="s">
        <v>2241</v>
      </c>
      <c r="B359" s="80" t="s">
        <v>3861</v>
      </c>
      <c r="C359" s="80" t="s">
        <v>2141</v>
      </c>
      <c r="D359" s="80" t="s">
        <v>3862</v>
      </c>
      <c r="E359" s="80" t="s">
        <v>2244</v>
      </c>
      <c r="F359" s="80" t="s">
        <v>3835</v>
      </c>
      <c r="J359" s="80" t="s">
        <v>3863</v>
      </c>
      <c r="M359" s="80" t="s">
        <v>2247</v>
      </c>
      <c r="O359" s="80" t="s">
        <v>2141</v>
      </c>
      <c r="P359" s="80" t="s">
        <v>2653</v>
      </c>
      <c r="Q359" s="80" t="s">
        <v>3862</v>
      </c>
      <c r="R359" s="80" t="s">
        <v>3864</v>
      </c>
      <c r="S359" s="80" t="s">
        <v>2244</v>
      </c>
      <c r="T359" s="80" t="s">
        <v>2251</v>
      </c>
      <c r="U359" s="80" t="s">
        <v>2566</v>
      </c>
      <c r="V359" s="80" t="s">
        <v>3865</v>
      </c>
      <c r="W359" s="80" t="s">
        <v>2931</v>
      </c>
      <c r="X359" s="80" t="s">
        <v>2271</v>
      </c>
      <c r="AA359" s="80" t="s">
        <v>2256</v>
      </c>
      <c r="AC359" s="80" t="s">
        <v>2656</v>
      </c>
      <c r="AE359" s="80" t="s">
        <v>2258</v>
      </c>
      <c r="AF359" s="80" t="s">
        <v>2272</v>
      </c>
      <c r="AL359" s="80" t="s">
        <v>2261</v>
      </c>
      <c r="AN359" s="80" t="s">
        <v>3835</v>
      </c>
      <c r="AP359" s="80" t="s">
        <v>2663</v>
      </c>
      <c r="AQ359" s="80" t="s">
        <v>3866</v>
      </c>
      <c r="AT359" s="80" t="s">
        <v>2256</v>
      </c>
      <c r="AU359" s="80" t="s">
        <v>3867</v>
      </c>
      <c r="AW359" s="80" t="s">
        <v>2265</v>
      </c>
    </row>
    <row r="360" spans="1:49">
      <c r="AP360" s="80" t="s">
        <v>2660</v>
      </c>
      <c r="AQ360" s="80" t="s">
        <v>3868</v>
      </c>
      <c r="AT360" s="80" t="s">
        <v>2256</v>
      </c>
      <c r="AU360" s="80" t="s">
        <v>3869</v>
      </c>
      <c r="AW360" s="80" t="s">
        <v>2577</v>
      </c>
    </row>
    <row r="361" spans="1:49">
      <c r="AP361" s="80" t="s">
        <v>2666</v>
      </c>
      <c r="AQ361" s="80" t="s">
        <v>3870</v>
      </c>
      <c r="AT361" s="80" t="s">
        <v>2256</v>
      </c>
      <c r="AU361" s="80" t="s">
        <v>3871</v>
      </c>
      <c r="AW361" s="80" t="s">
        <v>2577</v>
      </c>
    </row>
    <row r="362" spans="1:49">
      <c r="AP362" s="80" t="s">
        <v>2657</v>
      </c>
      <c r="AQ362" s="80" t="s">
        <v>3872</v>
      </c>
      <c r="AT362" s="80" t="s">
        <v>2256</v>
      </c>
      <c r="AU362" s="80" t="s">
        <v>3873</v>
      </c>
      <c r="AW362" s="80" t="s">
        <v>2577</v>
      </c>
    </row>
    <row r="363" spans="1:49">
      <c r="A363" s="80" t="s">
        <v>2241</v>
      </c>
      <c r="B363" s="80" t="s">
        <v>3874</v>
      </c>
      <c r="C363" s="80" t="s">
        <v>2141</v>
      </c>
      <c r="D363" s="80" t="s">
        <v>3875</v>
      </c>
      <c r="E363" s="80" t="s">
        <v>2244</v>
      </c>
      <c r="F363" s="80" t="s">
        <v>3876</v>
      </c>
      <c r="J363" s="80" t="s">
        <v>3877</v>
      </c>
      <c r="M363" s="80" t="s">
        <v>2247</v>
      </c>
      <c r="O363" s="80" t="s">
        <v>2141</v>
      </c>
      <c r="P363" s="80" t="s">
        <v>2653</v>
      </c>
      <c r="Q363" s="80" t="s">
        <v>3875</v>
      </c>
      <c r="R363" s="80" t="s">
        <v>3878</v>
      </c>
      <c r="S363" s="80" t="s">
        <v>2244</v>
      </c>
      <c r="T363" s="80" t="s">
        <v>2251</v>
      </c>
      <c r="U363" s="80" t="s">
        <v>2446</v>
      </c>
      <c r="V363" s="80" t="s">
        <v>3879</v>
      </c>
      <c r="W363" s="80" t="s">
        <v>2270</v>
      </c>
      <c r="X363" s="80" t="s">
        <v>2291</v>
      </c>
      <c r="AA363" s="80" t="s">
        <v>2256</v>
      </c>
      <c r="AC363" s="80" t="s">
        <v>2656</v>
      </c>
      <c r="AE363" s="80" t="s">
        <v>2258</v>
      </c>
      <c r="AF363" s="80" t="s">
        <v>2272</v>
      </c>
      <c r="AL363" s="80" t="s">
        <v>2261</v>
      </c>
      <c r="AN363" s="80" t="s">
        <v>3876</v>
      </c>
      <c r="AP363" s="80" t="s">
        <v>2666</v>
      </c>
      <c r="AQ363" s="80" t="s">
        <v>3880</v>
      </c>
      <c r="AU363" s="80" t="s">
        <v>3881</v>
      </c>
    </row>
    <row r="364" spans="1:49">
      <c r="AP364" s="80" t="s">
        <v>2660</v>
      </c>
      <c r="AQ364" s="80" t="s">
        <v>3882</v>
      </c>
      <c r="AU364" s="80" t="s">
        <v>3883</v>
      </c>
    </row>
    <row r="365" spans="1:49">
      <c r="AP365" s="80" t="s">
        <v>2657</v>
      </c>
      <c r="AQ365" s="80" t="s">
        <v>3884</v>
      </c>
      <c r="AU365" s="80" t="s">
        <v>3885</v>
      </c>
      <c r="AW365" s="80" t="s">
        <v>2265</v>
      </c>
    </row>
    <row r="366" spans="1:49">
      <c r="AP366" s="80" t="s">
        <v>2663</v>
      </c>
      <c r="AQ366" s="80" t="s">
        <v>3886</v>
      </c>
      <c r="AU366" s="80" t="s">
        <v>3887</v>
      </c>
      <c r="AW366" s="80" t="s">
        <v>2265</v>
      </c>
    </row>
    <row r="367" spans="1:49">
      <c r="A367" s="80" t="s">
        <v>2241</v>
      </c>
      <c r="B367" s="80" t="s">
        <v>3888</v>
      </c>
      <c r="C367" s="80" t="s">
        <v>2141</v>
      </c>
      <c r="D367" s="80" t="s">
        <v>3889</v>
      </c>
      <c r="E367" s="80" t="s">
        <v>2244</v>
      </c>
      <c r="F367" s="80" t="s">
        <v>3890</v>
      </c>
      <c r="J367" s="80" t="s">
        <v>3891</v>
      </c>
      <c r="M367" s="80" t="s">
        <v>2247</v>
      </c>
      <c r="O367" s="80" t="s">
        <v>2141</v>
      </c>
      <c r="P367" s="80" t="s">
        <v>2653</v>
      </c>
      <c r="Q367" s="80" t="s">
        <v>3889</v>
      </c>
      <c r="R367" s="80" t="s">
        <v>3892</v>
      </c>
      <c r="S367" s="80" t="s">
        <v>2244</v>
      </c>
      <c r="T367" s="80" t="s">
        <v>2251</v>
      </c>
      <c r="U367" s="80" t="s">
        <v>2241</v>
      </c>
      <c r="V367" s="80" t="s">
        <v>3893</v>
      </c>
      <c r="W367" s="80" t="s">
        <v>3445</v>
      </c>
      <c r="X367" s="80" t="s">
        <v>2271</v>
      </c>
      <c r="AA367" s="80" t="s">
        <v>2256</v>
      </c>
      <c r="AC367" s="80" t="s">
        <v>2656</v>
      </c>
      <c r="AE367" s="80" t="s">
        <v>2258</v>
      </c>
      <c r="AF367" s="80" t="s">
        <v>2272</v>
      </c>
      <c r="AL367" s="80" t="s">
        <v>2261</v>
      </c>
      <c r="AN367" s="80" t="s">
        <v>3890</v>
      </c>
      <c r="AP367" s="80" t="s">
        <v>2660</v>
      </c>
      <c r="AQ367" s="80" t="s">
        <v>3894</v>
      </c>
      <c r="AT367" s="80" t="s">
        <v>2256</v>
      </c>
      <c r="AU367" s="80" t="s">
        <v>3895</v>
      </c>
      <c r="AW367" s="80" t="s">
        <v>2577</v>
      </c>
    </row>
    <row r="368" spans="1:49">
      <c r="AP368" s="80" t="s">
        <v>2657</v>
      </c>
      <c r="AQ368" s="80" t="s">
        <v>3896</v>
      </c>
      <c r="AT368" s="80" t="s">
        <v>2256</v>
      </c>
      <c r="AU368" s="80" t="s">
        <v>3897</v>
      </c>
      <c r="AW368" s="80" t="s">
        <v>2577</v>
      </c>
    </row>
    <row r="369" spans="1:49">
      <c r="AP369" s="80" t="s">
        <v>2663</v>
      </c>
      <c r="AQ369" s="80" t="s">
        <v>3898</v>
      </c>
      <c r="AT369" s="80" t="s">
        <v>2256</v>
      </c>
      <c r="AU369" s="80" t="s">
        <v>3899</v>
      </c>
      <c r="AW369" s="80" t="s">
        <v>2265</v>
      </c>
    </row>
    <row r="370" spans="1:49">
      <c r="AP370" s="80" t="s">
        <v>2666</v>
      </c>
      <c r="AQ370" s="80" t="s">
        <v>3900</v>
      </c>
      <c r="AT370" s="80" t="s">
        <v>2256</v>
      </c>
      <c r="AU370" s="80" t="s">
        <v>3901</v>
      </c>
      <c r="AW370" s="80" t="s">
        <v>2577</v>
      </c>
    </row>
    <row r="371" spans="1:49">
      <c r="A371" s="80" t="s">
        <v>2241</v>
      </c>
      <c r="B371" s="80" t="s">
        <v>3902</v>
      </c>
      <c r="C371" s="80" t="s">
        <v>2141</v>
      </c>
      <c r="D371" s="80" t="s">
        <v>3903</v>
      </c>
      <c r="E371" s="80" t="s">
        <v>2244</v>
      </c>
      <c r="F371" s="80" t="s">
        <v>3904</v>
      </c>
      <c r="J371" s="80" t="s">
        <v>3905</v>
      </c>
      <c r="M371" s="80" t="s">
        <v>2247</v>
      </c>
      <c r="O371" s="80" t="s">
        <v>2141</v>
      </c>
      <c r="P371" s="80" t="s">
        <v>2653</v>
      </c>
      <c r="Q371" s="80" t="s">
        <v>3903</v>
      </c>
      <c r="R371" s="80" t="s">
        <v>3906</v>
      </c>
      <c r="S371" s="80" t="s">
        <v>2244</v>
      </c>
      <c r="T371" s="80" t="s">
        <v>2251</v>
      </c>
      <c r="U371" s="80" t="s">
        <v>2241</v>
      </c>
      <c r="V371" s="80" t="s">
        <v>3907</v>
      </c>
      <c r="W371" s="80" t="s">
        <v>2975</v>
      </c>
      <c r="X371" s="80" t="s">
        <v>2459</v>
      </c>
      <c r="AA371" s="80" t="s">
        <v>2256</v>
      </c>
      <c r="AC371" s="80" t="s">
        <v>2656</v>
      </c>
      <c r="AE371" s="80" t="s">
        <v>2258</v>
      </c>
      <c r="AF371" s="80" t="s">
        <v>2272</v>
      </c>
      <c r="AL371" s="80" t="s">
        <v>2261</v>
      </c>
      <c r="AN371" s="80" t="s">
        <v>3904</v>
      </c>
      <c r="AP371" s="80" t="s">
        <v>2666</v>
      </c>
      <c r="AQ371" s="80" t="s">
        <v>3908</v>
      </c>
      <c r="AS371" s="80" t="s">
        <v>2978</v>
      </c>
      <c r="AT371" s="80" t="s">
        <v>2256</v>
      </c>
      <c r="AU371" s="80" t="s">
        <v>3909</v>
      </c>
      <c r="AW371" s="80" t="s">
        <v>2577</v>
      </c>
    </row>
    <row r="372" spans="1:49">
      <c r="AP372" s="80" t="s">
        <v>2660</v>
      </c>
      <c r="AQ372" s="80" t="s">
        <v>3910</v>
      </c>
      <c r="AS372" s="80" t="s">
        <v>2978</v>
      </c>
      <c r="AT372" s="80" t="s">
        <v>2256</v>
      </c>
      <c r="AU372" s="80" t="s">
        <v>3911</v>
      </c>
      <c r="AW372" s="80" t="s">
        <v>2577</v>
      </c>
    </row>
    <row r="373" spans="1:49">
      <c r="AP373" s="80" t="s">
        <v>2657</v>
      </c>
      <c r="AQ373" s="80" t="s">
        <v>3912</v>
      </c>
      <c r="AS373" s="80" t="s">
        <v>2978</v>
      </c>
      <c r="AT373" s="80" t="s">
        <v>2256</v>
      </c>
      <c r="AU373" s="80" t="s">
        <v>3913</v>
      </c>
      <c r="AW373" s="80" t="s">
        <v>2577</v>
      </c>
    </row>
    <row r="374" spans="1:49">
      <c r="AP374" s="80" t="s">
        <v>2663</v>
      </c>
      <c r="AQ374" s="80" t="s">
        <v>3914</v>
      </c>
      <c r="AS374" s="80" t="s">
        <v>2978</v>
      </c>
      <c r="AT374" s="80" t="s">
        <v>2256</v>
      </c>
      <c r="AU374" s="80" t="s">
        <v>3915</v>
      </c>
      <c r="AW374" s="80" t="s">
        <v>2265</v>
      </c>
    </row>
    <row r="375" spans="1:49">
      <c r="A375" s="80" t="s">
        <v>2241</v>
      </c>
      <c r="B375" s="80" t="s">
        <v>3916</v>
      </c>
      <c r="C375" s="80" t="s">
        <v>2141</v>
      </c>
      <c r="D375" s="80" t="s">
        <v>3917</v>
      </c>
      <c r="E375" s="80" t="s">
        <v>2244</v>
      </c>
      <c r="F375" s="80" t="s">
        <v>3918</v>
      </c>
      <c r="J375" s="80" t="s">
        <v>3919</v>
      </c>
      <c r="M375" s="80" t="s">
        <v>2247</v>
      </c>
      <c r="O375" s="80" t="s">
        <v>2141</v>
      </c>
      <c r="P375" s="80" t="s">
        <v>2653</v>
      </c>
      <c r="Q375" s="80" t="s">
        <v>3917</v>
      </c>
      <c r="R375" s="80" t="s">
        <v>3920</v>
      </c>
      <c r="S375" s="80" t="s">
        <v>2244</v>
      </c>
      <c r="T375" s="80" t="s">
        <v>2251</v>
      </c>
      <c r="U375" s="80" t="s">
        <v>2252</v>
      </c>
      <c r="V375" s="80" t="s">
        <v>3921</v>
      </c>
      <c r="W375" s="80" t="s">
        <v>2270</v>
      </c>
      <c r="X375" s="80" t="s">
        <v>2291</v>
      </c>
      <c r="AA375" s="80" t="s">
        <v>2256</v>
      </c>
      <c r="AC375" s="80" t="s">
        <v>2656</v>
      </c>
      <c r="AE375" s="80" t="s">
        <v>2258</v>
      </c>
      <c r="AF375" s="80" t="s">
        <v>2272</v>
      </c>
      <c r="AL375" s="80" t="s">
        <v>2261</v>
      </c>
      <c r="AN375" s="80" t="s">
        <v>3918</v>
      </c>
      <c r="AP375" s="80" t="s">
        <v>2660</v>
      </c>
      <c r="AQ375" s="80" t="s">
        <v>3922</v>
      </c>
      <c r="AT375" s="80" t="s">
        <v>2256</v>
      </c>
      <c r="AU375" s="80" t="s">
        <v>3923</v>
      </c>
      <c r="AW375" s="80" t="s">
        <v>2577</v>
      </c>
    </row>
    <row r="376" spans="1:49">
      <c r="AP376" s="80" t="s">
        <v>2657</v>
      </c>
      <c r="AQ376" s="80" t="s">
        <v>3924</v>
      </c>
      <c r="AT376" s="80" t="s">
        <v>2256</v>
      </c>
      <c r="AU376" s="80" t="s">
        <v>3925</v>
      </c>
      <c r="AW376" s="80" t="s">
        <v>2577</v>
      </c>
    </row>
    <row r="377" spans="1:49">
      <c r="AP377" s="80" t="s">
        <v>2666</v>
      </c>
      <c r="AQ377" s="80" t="s">
        <v>3926</v>
      </c>
      <c r="AT377" s="80" t="s">
        <v>2256</v>
      </c>
      <c r="AU377" s="80" t="s">
        <v>3927</v>
      </c>
      <c r="AW377" s="80" t="s">
        <v>2577</v>
      </c>
    </row>
    <row r="378" spans="1:49">
      <c r="AP378" s="80" t="s">
        <v>2663</v>
      </c>
      <c r="AQ378" s="80" t="s">
        <v>3928</v>
      </c>
      <c r="AT378" s="80" t="s">
        <v>2256</v>
      </c>
      <c r="AU378" s="80" t="s">
        <v>3929</v>
      </c>
      <c r="AW378" s="80" t="s">
        <v>2265</v>
      </c>
    </row>
    <row r="379" spans="1:49">
      <c r="A379" s="80" t="s">
        <v>2241</v>
      </c>
      <c r="B379" s="80" t="s">
        <v>3930</v>
      </c>
      <c r="C379" s="80" t="s">
        <v>2141</v>
      </c>
      <c r="D379" s="80" t="s">
        <v>3931</v>
      </c>
      <c r="E379" s="80" t="s">
        <v>2244</v>
      </c>
      <c r="F379" s="80" t="s">
        <v>3932</v>
      </c>
      <c r="J379" s="80" t="s">
        <v>3933</v>
      </c>
      <c r="M379" s="80" t="s">
        <v>2247</v>
      </c>
      <c r="O379" s="80" t="s">
        <v>2141</v>
      </c>
      <c r="P379" s="80" t="s">
        <v>2653</v>
      </c>
      <c r="Q379" s="80" t="s">
        <v>3931</v>
      </c>
      <c r="R379" s="80" t="s">
        <v>3934</v>
      </c>
      <c r="S379" s="80" t="s">
        <v>2244</v>
      </c>
      <c r="T379" s="80" t="s">
        <v>2251</v>
      </c>
      <c r="U379" s="80" t="s">
        <v>2550</v>
      </c>
      <c r="V379" s="80" t="s">
        <v>3935</v>
      </c>
      <c r="W379" s="80" t="s">
        <v>3936</v>
      </c>
      <c r="X379" s="80" t="s">
        <v>2271</v>
      </c>
      <c r="AA379" s="80" t="s">
        <v>2256</v>
      </c>
      <c r="AC379" s="80" t="s">
        <v>2656</v>
      </c>
      <c r="AE379" s="80" t="s">
        <v>2258</v>
      </c>
      <c r="AF379" s="80" t="s">
        <v>2272</v>
      </c>
      <c r="AI379" s="80" t="s">
        <v>2872</v>
      </c>
      <c r="AL379" s="80" t="s">
        <v>2261</v>
      </c>
      <c r="AN379" s="80" t="s">
        <v>3932</v>
      </c>
      <c r="AP379" s="80" t="s">
        <v>2657</v>
      </c>
      <c r="AQ379" s="80" t="s">
        <v>3937</v>
      </c>
      <c r="AU379" s="80" t="s">
        <v>3938</v>
      </c>
      <c r="AW379" s="80" t="s">
        <v>2265</v>
      </c>
    </row>
    <row r="380" spans="1:49">
      <c r="AP380" s="80" t="s">
        <v>2666</v>
      </c>
      <c r="AQ380" s="80" t="s">
        <v>3939</v>
      </c>
      <c r="AU380" s="80" t="s">
        <v>3940</v>
      </c>
      <c r="AW380" s="80" t="s">
        <v>2577</v>
      </c>
    </row>
    <row r="381" spans="1:49">
      <c r="AP381" s="80" t="s">
        <v>2660</v>
      </c>
      <c r="AQ381" s="80" t="s">
        <v>3941</v>
      </c>
      <c r="AU381" s="80" t="s">
        <v>3942</v>
      </c>
      <c r="AW381" s="80" t="s">
        <v>2577</v>
      </c>
    </row>
    <row r="382" spans="1:49">
      <c r="AP382" s="80" t="s">
        <v>2663</v>
      </c>
      <c r="AQ382" s="80" t="s">
        <v>3943</v>
      </c>
      <c r="AU382" s="80" t="s">
        <v>3944</v>
      </c>
      <c r="AW382" s="80" t="s">
        <v>2265</v>
      </c>
    </row>
    <row r="383" spans="1:49">
      <c r="A383" s="80" t="s">
        <v>2241</v>
      </c>
      <c r="B383" s="80" t="s">
        <v>3945</v>
      </c>
      <c r="C383" s="80" t="s">
        <v>2176</v>
      </c>
      <c r="D383" s="80" t="s">
        <v>3946</v>
      </c>
      <c r="E383" s="80" t="s">
        <v>2244</v>
      </c>
      <c r="F383" s="80" t="s">
        <v>3947</v>
      </c>
      <c r="J383" s="80" t="s">
        <v>3948</v>
      </c>
      <c r="M383" s="80" t="s">
        <v>2247</v>
      </c>
      <c r="N383" s="80" t="s">
        <v>3949</v>
      </c>
      <c r="O383" s="80" t="s">
        <v>2176</v>
      </c>
      <c r="P383" s="80" t="s">
        <v>2653</v>
      </c>
      <c r="Q383" s="80" t="s">
        <v>3946</v>
      </c>
      <c r="R383" s="80" t="s">
        <v>3950</v>
      </c>
      <c r="S383" s="80" t="s">
        <v>2244</v>
      </c>
      <c r="T383" s="80" t="s">
        <v>2251</v>
      </c>
      <c r="U383" s="80" t="s">
        <v>2550</v>
      </c>
      <c r="V383" s="80" t="s">
        <v>3951</v>
      </c>
      <c r="W383" s="80" t="s">
        <v>3952</v>
      </c>
      <c r="X383" s="80" t="s">
        <v>2291</v>
      </c>
      <c r="AA383" s="80" t="s">
        <v>2256</v>
      </c>
      <c r="AC383" s="80" t="s">
        <v>2656</v>
      </c>
      <c r="AE383" s="80" t="s">
        <v>2258</v>
      </c>
      <c r="AF383" s="80" t="s">
        <v>2272</v>
      </c>
      <c r="AI383" s="80" t="s">
        <v>3953</v>
      </c>
      <c r="AJ383" s="80" t="s">
        <v>3954</v>
      </c>
      <c r="AL383" s="80" t="s">
        <v>2261</v>
      </c>
      <c r="AN383" s="80" t="s">
        <v>3947</v>
      </c>
      <c r="AP383" s="80" t="s">
        <v>2292</v>
      </c>
      <c r="AQ383" s="80" t="s">
        <v>3955</v>
      </c>
      <c r="AT383" s="80" t="s">
        <v>2256</v>
      </c>
      <c r="AU383" s="80" t="s">
        <v>3956</v>
      </c>
      <c r="AW383" s="80" t="s">
        <v>2577</v>
      </c>
    </row>
    <row r="384" spans="1:49">
      <c r="A384" s="80" t="s">
        <v>2241</v>
      </c>
      <c r="B384" s="80" t="s">
        <v>3954</v>
      </c>
      <c r="C384" s="80" t="s">
        <v>2176</v>
      </c>
      <c r="D384" s="80" t="s">
        <v>3946</v>
      </c>
      <c r="E384" s="80" t="s">
        <v>2244</v>
      </c>
      <c r="F384" s="80" t="s">
        <v>3957</v>
      </c>
      <c r="J384" s="80" t="s">
        <v>3948</v>
      </c>
      <c r="M384" s="80" t="s">
        <v>2268</v>
      </c>
      <c r="N384" s="80" t="s">
        <v>3949</v>
      </c>
      <c r="O384" s="80" t="s">
        <v>2176</v>
      </c>
      <c r="P384" s="80" t="s">
        <v>2653</v>
      </c>
      <c r="Q384" s="80" t="s">
        <v>3946</v>
      </c>
      <c r="R384" s="80" t="s">
        <v>3958</v>
      </c>
      <c r="S384" s="80" t="s">
        <v>2244</v>
      </c>
      <c r="T384" s="80" t="s">
        <v>2251</v>
      </c>
      <c r="U384" s="80" t="s">
        <v>2234</v>
      </c>
      <c r="W384" s="80" t="s">
        <v>2370</v>
      </c>
      <c r="X384" s="80" t="s">
        <v>2283</v>
      </c>
      <c r="AA384" s="80" t="s">
        <v>2256</v>
      </c>
      <c r="AC384" s="80" t="s">
        <v>2656</v>
      </c>
      <c r="AE384" s="80" t="s">
        <v>2258</v>
      </c>
      <c r="AF384" s="80" t="s">
        <v>2272</v>
      </c>
      <c r="AK384" s="80" t="s">
        <v>3945</v>
      </c>
      <c r="AL384" s="80" t="s">
        <v>2261</v>
      </c>
      <c r="AN384" s="80" t="s">
        <v>3957</v>
      </c>
      <c r="AP384" s="80" t="s">
        <v>3959</v>
      </c>
      <c r="AQ384" s="80" t="s">
        <v>3960</v>
      </c>
      <c r="AU384" s="80" t="s">
        <v>3961</v>
      </c>
      <c r="AW384" s="80" t="s">
        <v>2577</v>
      </c>
    </row>
    <row r="385" spans="1:49">
      <c r="A385" s="80" t="s">
        <v>2241</v>
      </c>
      <c r="B385" s="80" t="s">
        <v>3962</v>
      </c>
      <c r="C385" s="80" t="s">
        <v>2142</v>
      </c>
      <c r="D385" s="80" t="s">
        <v>3963</v>
      </c>
      <c r="E385" s="80" t="s">
        <v>2244</v>
      </c>
      <c r="F385" s="80" t="s">
        <v>3964</v>
      </c>
      <c r="J385" s="80" t="s">
        <v>3965</v>
      </c>
      <c r="M385" s="80" t="s">
        <v>2247</v>
      </c>
      <c r="N385" s="80" t="s">
        <v>3966</v>
      </c>
      <c r="O385" s="80" t="s">
        <v>2142</v>
      </c>
      <c r="P385" s="80" t="s">
        <v>2249</v>
      </c>
      <c r="Q385" s="80" t="s">
        <v>3963</v>
      </c>
      <c r="R385" s="80" t="s">
        <v>3967</v>
      </c>
      <c r="S385" s="80" t="s">
        <v>2244</v>
      </c>
      <c r="T385" s="80" t="s">
        <v>2251</v>
      </c>
      <c r="U385" s="80" t="s">
        <v>2241</v>
      </c>
      <c r="V385" s="80" t="s">
        <v>3968</v>
      </c>
      <c r="W385" s="80" t="s">
        <v>3969</v>
      </c>
      <c r="X385" s="80" t="s">
        <v>2255</v>
      </c>
      <c r="AA385" s="80" t="s">
        <v>2256</v>
      </c>
      <c r="AC385" s="80" t="s">
        <v>2257</v>
      </c>
      <c r="AE385" s="80" t="s">
        <v>2258</v>
      </c>
      <c r="AF385" s="80" t="s">
        <v>2259</v>
      </c>
      <c r="AJ385" s="80" t="s">
        <v>3970</v>
      </c>
      <c r="AL385" s="80" t="s">
        <v>2261</v>
      </c>
      <c r="AN385" s="80" t="s">
        <v>3964</v>
      </c>
      <c r="AP385" s="80" t="s">
        <v>3971</v>
      </c>
      <c r="AQ385" s="80" t="s">
        <v>3972</v>
      </c>
      <c r="AT385" s="80" t="s">
        <v>2256</v>
      </c>
      <c r="AU385" s="80" t="s">
        <v>3973</v>
      </c>
      <c r="AW385" s="80" t="s">
        <v>3974</v>
      </c>
    </row>
    <row r="386" spans="1:49">
      <c r="A386" s="80" t="s">
        <v>2241</v>
      </c>
      <c r="B386" s="80" t="s">
        <v>3970</v>
      </c>
      <c r="C386" s="80" t="s">
        <v>2142</v>
      </c>
      <c r="D386" s="80" t="s">
        <v>3975</v>
      </c>
      <c r="E386" s="80" t="s">
        <v>2244</v>
      </c>
      <c r="F386" s="80" t="s">
        <v>2245</v>
      </c>
      <c r="J386" s="80" t="s">
        <v>3965</v>
      </c>
      <c r="M386" s="80" t="s">
        <v>2268</v>
      </c>
      <c r="N386" s="80" t="s">
        <v>3966</v>
      </c>
      <c r="O386" s="80" t="s">
        <v>2142</v>
      </c>
      <c r="P386" s="80" t="s">
        <v>2249</v>
      </c>
      <c r="Q386" s="80" t="s">
        <v>3975</v>
      </c>
      <c r="R386" s="80" t="s">
        <v>3976</v>
      </c>
      <c r="S386" s="80" t="s">
        <v>2244</v>
      </c>
      <c r="T386" s="80" t="s">
        <v>2251</v>
      </c>
      <c r="U386" s="80" t="s">
        <v>2234</v>
      </c>
      <c r="W386" s="80" t="s">
        <v>2411</v>
      </c>
      <c r="X386" s="80" t="s">
        <v>2291</v>
      </c>
      <c r="AA386" s="80" t="s">
        <v>2256</v>
      </c>
      <c r="AC386" s="80" t="s">
        <v>2257</v>
      </c>
      <c r="AE386" s="80" t="s">
        <v>2258</v>
      </c>
      <c r="AF386" s="80" t="s">
        <v>2272</v>
      </c>
      <c r="AK386" s="80" t="s">
        <v>3962</v>
      </c>
      <c r="AL386" s="80" t="s">
        <v>2261</v>
      </c>
      <c r="AN386" s="80" t="s">
        <v>2245</v>
      </c>
      <c r="AP386" s="80" t="s">
        <v>2273</v>
      </c>
      <c r="AQ386" s="80" t="s">
        <v>3977</v>
      </c>
      <c r="AT386" s="80" t="s">
        <v>2256</v>
      </c>
      <c r="AU386" s="80" t="s">
        <v>3978</v>
      </c>
      <c r="AW386" s="80" t="s">
        <v>2276</v>
      </c>
    </row>
    <row r="387" spans="1:49">
      <c r="A387" s="80" t="s">
        <v>2241</v>
      </c>
      <c r="B387" s="80" t="s">
        <v>3979</v>
      </c>
      <c r="C387" s="80" t="s">
        <v>2143</v>
      </c>
      <c r="D387" s="80" t="s">
        <v>3980</v>
      </c>
      <c r="E387" s="80" t="s">
        <v>2418</v>
      </c>
      <c r="F387" s="80" t="s">
        <v>3981</v>
      </c>
      <c r="J387" s="80" t="s">
        <v>3982</v>
      </c>
      <c r="M387" s="80" t="s">
        <v>2247</v>
      </c>
      <c r="O387" s="80" t="s">
        <v>2143</v>
      </c>
      <c r="P387" s="80" t="s">
        <v>2674</v>
      </c>
      <c r="Q387" s="80" t="s">
        <v>3980</v>
      </c>
      <c r="R387" s="80" t="s">
        <v>3983</v>
      </c>
      <c r="S387" s="80" t="s">
        <v>2418</v>
      </c>
      <c r="T387" s="80" t="s">
        <v>2251</v>
      </c>
      <c r="U387" s="80" t="s">
        <v>2252</v>
      </c>
      <c r="V387" s="80" t="s">
        <v>3984</v>
      </c>
      <c r="W387" s="80" t="s">
        <v>2931</v>
      </c>
      <c r="X387" s="80" t="s">
        <v>2255</v>
      </c>
      <c r="AA387" s="80" t="s">
        <v>2256</v>
      </c>
      <c r="AC387" s="80" t="s">
        <v>2325</v>
      </c>
      <c r="AE387" s="80" t="s">
        <v>2258</v>
      </c>
      <c r="AF387" s="80" t="s">
        <v>2272</v>
      </c>
      <c r="AL387" s="80" t="s">
        <v>2261</v>
      </c>
      <c r="AN387" s="80" t="s">
        <v>3981</v>
      </c>
      <c r="AP387" s="80" t="s">
        <v>2383</v>
      </c>
      <c r="AQ387" s="80" t="s">
        <v>3985</v>
      </c>
      <c r="AT387" s="80" t="s">
        <v>2256</v>
      </c>
      <c r="AU387" s="80" t="s">
        <v>3986</v>
      </c>
      <c r="AW387" s="80" t="s">
        <v>2265</v>
      </c>
    </row>
    <row r="388" spans="1:49">
      <c r="A388" s="80" t="s">
        <v>2241</v>
      </c>
      <c r="B388" s="80" t="s">
        <v>3987</v>
      </c>
      <c r="C388" s="80" t="s">
        <v>2145</v>
      </c>
      <c r="D388" s="80" t="s">
        <v>3988</v>
      </c>
      <c r="E388" s="80" t="s">
        <v>2244</v>
      </c>
      <c r="F388" s="80" t="s">
        <v>3989</v>
      </c>
      <c r="J388" s="80" t="s">
        <v>3990</v>
      </c>
      <c r="M388" s="80" t="s">
        <v>2247</v>
      </c>
      <c r="O388" s="80" t="s">
        <v>2145</v>
      </c>
      <c r="P388" s="80" t="s">
        <v>2378</v>
      </c>
      <c r="Q388" s="80" t="s">
        <v>3988</v>
      </c>
      <c r="R388" s="80" t="s">
        <v>3991</v>
      </c>
      <c r="S388" s="80" t="s">
        <v>2244</v>
      </c>
      <c r="T388" s="80" t="s">
        <v>2251</v>
      </c>
      <c r="U388" s="80" t="s">
        <v>2252</v>
      </c>
      <c r="V388" s="80" t="s">
        <v>3992</v>
      </c>
      <c r="W388" s="80" t="s">
        <v>2345</v>
      </c>
      <c r="X388" s="80" t="s">
        <v>2271</v>
      </c>
      <c r="AA388" s="80" t="s">
        <v>2256</v>
      </c>
      <c r="AC388" s="80" t="s">
        <v>2382</v>
      </c>
      <c r="AE388" s="80" t="s">
        <v>2258</v>
      </c>
      <c r="AF388" s="80" t="s">
        <v>2272</v>
      </c>
      <c r="AL388" s="80" t="s">
        <v>2261</v>
      </c>
      <c r="AN388" s="80" t="s">
        <v>3989</v>
      </c>
      <c r="AP388" s="80" t="s">
        <v>3993</v>
      </c>
      <c r="AQ388" s="80" t="s">
        <v>3994</v>
      </c>
      <c r="AT388" s="80" t="s">
        <v>2256</v>
      </c>
      <c r="AU388" s="80" t="s">
        <v>3995</v>
      </c>
      <c r="AW388" s="80" t="s">
        <v>2488</v>
      </c>
    </row>
    <row r="389" spans="1:49">
      <c r="A389" s="80" t="s">
        <v>2241</v>
      </c>
      <c r="B389" s="80" t="s">
        <v>3996</v>
      </c>
      <c r="C389" s="80" t="s">
        <v>2145</v>
      </c>
      <c r="D389" s="80" t="s">
        <v>3997</v>
      </c>
      <c r="E389" s="80" t="s">
        <v>2244</v>
      </c>
      <c r="F389" s="80" t="s">
        <v>3998</v>
      </c>
      <c r="J389" s="80" t="s">
        <v>3999</v>
      </c>
      <c r="M389" s="80" t="s">
        <v>2247</v>
      </c>
      <c r="O389" s="80" t="s">
        <v>2145</v>
      </c>
      <c r="P389" s="80" t="s">
        <v>2378</v>
      </c>
      <c r="Q389" s="80" t="s">
        <v>3997</v>
      </c>
      <c r="R389" s="80" t="s">
        <v>4000</v>
      </c>
      <c r="S389" s="80" t="s">
        <v>2244</v>
      </c>
      <c r="T389" s="80" t="s">
        <v>2251</v>
      </c>
      <c r="U389" s="80" t="s">
        <v>2241</v>
      </c>
      <c r="V389" s="80" t="s">
        <v>4001</v>
      </c>
      <c r="W389" s="80" t="s">
        <v>2354</v>
      </c>
      <c r="X389" s="80" t="s">
        <v>2283</v>
      </c>
      <c r="AA389" s="80" t="s">
        <v>2256</v>
      </c>
      <c r="AC389" s="80" t="s">
        <v>2382</v>
      </c>
      <c r="AE389" s="80" t="s">
        <v>2258</v>
      </c>
      <c r="AF389" s="80" t="s">
        <v>2272</v>
      </c>
      <c r="AL389" s="80" t="s">
        <v>2261</v>
      </c>
      <c r="AN389" s="80" t="s">
        <v>3998</v>
      </c>
      <c r="AP389" s="80" t="s">
        <v>4002</v>
      </c>
      <c r="AQ389" s="80" t="s">
        <v>4003</v>
      </c>
      <c r="AT389" s="80" t="s">
        <v>2256</v>
      </c>
      <c r="AU389" s="80" t="s">
        <v>4004</v>
      </c>
      <c r="AW389" s="80" t="s">
        <v>2265</v>
      </c>
    </row>
    <row r="390" spans="1:49">
      <c r="A390" s="80" t="s">
        <v>2241</v>
      </c>
      <c r="B390" s="80" t="s">
        <v>4005</v>
      </c>
      <c r="C390" s="80" t="s">
        <v>2145</v>
      </c>
      <c r="D390" s="80" t="s">
        <v>4006</v>
      </c>
      <c r="E390" s="80" t="s">
        <v>2244</v>
      </c>
      <c r="F390" s="80" t="s">
        <v>4007</v>
      </c>
      <c r="J390" s="80" t="s">
        <v>4008</v>
      </c>
      <c r="M390" s="80" t="s">
        <v>2247</v>
      </c>
      <c r="O390" s="80" t="s">
        <v>2145</v>
      </c>
      <c r="P390" s="80" t="s">
        <v>2378</v>
      </c>
      <c r="Q390" s="80" t="s">
        <v>4006</v>
      </c>
      <c r="R390" s="80" t="s">
        <v>4009</v>
      </c>
      <c r="S390" s="80" t="s">
        <v>2244</v>
      </c>
      <c r="T390" s="80" t="s">
        <v>2251</v>
      </c>
      <c r="U390" s="80" t="s">
        <v>2446</v>
      </c>
      <c r="V390" s="80" t="s">
        <v>4010</v>
      </c>
      <c r="W390" s="80" t="s">
        <v>2270</v>
      </c>
      <c r="X390" s="80" t="s">
        <v>2283</v>
      </c>
      <c r="AA390" s="80" t="s">
        <v>2256</v>
      </c>
      <c r="AC390" s="80" t="s">
        <v>2382</v>
      </c>
      <c r="AE390" s="80" t="s">
        <v>2258</v>
      </c>
      <c r="AF390" s="80" t="s">
        <v>2272</v>
      </c>
      <c r="AL390" s="80" t="s">
        <v>2261</v>
      </c>
      <c r="AN390" s="80" t="s">
        <v>4007</v>
      </c>
      <c r="AP390" s="80" t="s">
        <v>2448</v>
      </c>
      <c r="AQ390" s="80" t="s">
        <v>4011</v>
      </c>
      <c r="AU390" s="80" t="s">
        <v>4012</v>
      </c>
    </row>
    <row r="391" spans="1:49">
      <c r="A391" s="80" t="s">
        <v>2241</v>
      </c>
      <c r="B391" s="80" t="s">
        <v>4013</v>
      </c>
      <c r="C391" s="80" t="s">
        <v>2167</v>
      </c>
      <c r="D391" s="80" t="s">
        <v>4014</v>
      </c>
      <c r="E391" s="80" t="s">
        <v>2244</v>
      </c>
      <c r="F391" s="80" t="s">
        <v>4015</v>
      </c>
      <c r="J391" s="80" t="s">
        <v>4016</v>
      </c>
      <c r="M391" s="80" t="s">
        <v>2247</v>
      </c>
      <c r="N391" s="80" t="s">
        <v>4017</v>
      </c>
      <c r="O391" s="80" t="s">
        <v>2167</v>
      </c>
      <c r="P391" s="80" t="s">
        <v>2494</v>
      </c>
      <c r="Q391" s="80" t="s">
        <v>4014</v>
      </c>
      <c r="R391" s="80" t="s">
        <v>4018</v>
      </c>
      <c r="S391" s="80" t="s">
        <v>2244</v>
      </c>
      <c r="T391" s="80" t="s">
        <v>2251</v>
      </c>
      <c r="U391" s="80" t="s">
        <v>2241</v>
      </c>
      <c r="V391" s="80" t="s">
        <v>4019</v>
      </c>
      <c r="W391" s="80" t="s">
        <v>2311</v>
      </c>
      <c r="X391" s="80" t="s">
        <v>2283</v>
      </c>
      <c r="AA391" s="80" t="s">
        <v>2256</v>
      </c>
      <c r="AC391" s="80" t="s">
        <v>2257</v>
      </c>
      <c r="AE391" s="80" t="s">
        <v>2258</v>
      </c>
      <c r="AF391" s="80" t="s">
        <v>2272</v>
      </c>
      <c r="AJ391" s="80" t="s">
        <v>4020</v>
      </c>
      <c r="AL391" s="80" t="s">
        <v>2261</v>
      </c>
      <c r="AN391" s="80" t="s">
        <v>4015</v>
      </c>
      <c r="AP391" s="80" t="s">
        <v>2574</v>
      </c>
      <c r="AQ391" s="80" t="s">
        <v>4021</v>
      </c>
      <c r="AU391" s="80" t="s">
        <v>4022</v>
      </c>
    </row>
    <row r="392" spans="1:49">
      <c r="A392" s="80" t="s">
        <v>2241</v>
      </c>
      <c r="B392" s="80" t="s">
        <v>4020</v>
      </c>
      <c r="C392" s="80" t="s">
        <v>2167</v>
      </c>
      <c r="D392" s="80" t="s">
        <v>4014</v>
      </c>
      <c r="E392" s="80" t="s">
        <v>2244</v>
      </c>
      <c r="F392" s="80" t="s">
        <v>4023</v>
      </c>
      <c r="J392" s="80" t="s">
        <v>4016</v>
      </c>
      <c r="M392" s="80" t="s">
        <v>2268</v>
      </c>
      <c r="N392" s="80" t="s">
        <v>4017</v>
      </c>
      <c r="O392" s="80" t="s">
        <v>2167</v>
      </c>
      <c r="P392" s="80" t="s">
        <v>2494</v>
      </c>
      <c r="Q392" s="80" t="s">
        <v>4014</v>
      </c>
      <c r="R392" s="80" t="s">
        <v>4024</v>
      </c>
      <c r="S392" s="80" t="s">
        <v>2244</v>
      </c>
      <c r="T392" s="80" t="s">
        <v>2251</v>
      </c>
      <c r="U392" s="80" t="s">
        <v>2234</v>
      </c>
      <c r="W392" s="80" t="s">
        <v>2311</v>
      </c>
      <c r="X392" s="80" t="s">
        <v>2283</v>
      </c>
      <c r="AA392" s="80" t="s">
        <v>2256</v>
      </c>
      <c r="AC392" s="80" t="s">
        <v>2257</v>
      </c>
      <c r="AE392" s="80" t="s">
        <v>2258</v>
      </c>
      <c r="AF392" s="80" t="s">
        <v>2272</v>
      </c>
      <c r="AK392" s="80" t="s">
        <v>4013</v>
      </c>
      <c r="AL392" s="80" t="s">
        <v>2261</v>
      </c>
      <c r="AN392" s="80" t="s">
        <v>4023</v>
      </c>
      <c r="AP392" s="80" t="s">
        <v>4025</v>
      </c>
      <c r="AQ392" s="80" t="s">
        <v>4026</v>
      </c>
      <c r="AU392" s="80" t="s">
        <v>4027</v>
      </c>
    </row>
    <row r="393" spans="1:49">
      <c r="A393" s="80" t="s">
        <v>2241</v>
      </c>
      <c r="B393" s="80" t="s">
        <v>4028</v>
      </c>
      <c r="C393" s="80" t="s">
        <v>2178</v>
      </c>
      <c r="D393" s="80" t="s">
        <v>4029</v>
      </c>
      <c r="E393" s="80" t="s">
        <v>2244</v>
      </c>
      <c r="F393" s="80" t="s">
        <v>4030</v>
      </c>
      <c r="J393" s="80" t="s">
        <v>4031</v>
      </c>
      <c r="M393" s="80" t="s">
        <v>2247</v>
      </c>
      <c r="N393" s="80" t="s">
        <v>4032</v>
      </c>
      <c r="O393" s="80" t="s">
        <v>2178</v>
      </c>
      <c r="P393" s="80" t="s">
        <v>2494</v>
      </c>
      <c r="Q393" s="80" t="s">
        <v>4029</v>
      </c>
      <c r="R393" s="80" t="s">
        <v>4033</v>
      </c>
      <c r="S393" s="80" t="s">
        <v>2244</v>
      </c>
      <c r="T393" s="80" t="s">
        <v>2251</v>
      </c>
      <c r="U393" s="80" t="s">
        <v>4034</v>
      </c>
      <c r="V393" s="80" t="s">
        <v>4035</v>
      </c>
      <c r="W393" s="80" t="s">
        <v>2345</v>
      </c>
      <c r="X393" s="80" t="s">
        <v>2291</v>
      </c>
      <c r="AA393" s="80" t="s">
        <v>2256</v>
      </c>
      <c r="AC393" s="80" t="s">
        <v>2257</v>
      </c>
      <c r="AE393" s="80" t="s">
        <v>2258</v>
      </c>
      <c r="AF393" s="80" t="s">
        <v>2259</v>
      </c>
      <c r="AJ393" s="80" t="s">
        <v>4036</v>
      </c>
      <c r="AL393" s="80" t="s">
        <v>2261</v>
      </c>
      <c r="AN393" s="80" t="s">
        <v>4030</v>
      </c>
      <c r="AP393" s="80" t="s">
        <v>2553</v>
      </c>
      <c r="AQ393" s="80" t="s">
        <v>4037</v>
      </c>
      <c r="AT393" s="80" t="s">
        <v>2256</v>
      </c>
      <c r="AU393" s="80" t="s">
        <v>4038</v>
      </c>
      <c r="AW393" s="80" t="s">
        <v>2265</v>
      </c>
    </row>
    <row r="394" spans="1:49">
      <c r="A394" s="80" t="s">
        <v>2241</v>
      </c>
      <c r="B394" s="80" t="s">
        <v>4036</v>
      </c>
      <c r="C394" s="80" t="s">
        <v>2148</v>
      </c>
      <c r="D394" s="80" t="s">
        <v>4039</v>
      </c>
      <c r="E394" s="80" t="s">
        <v>2244</v>
      </c>
      <c r="F394" s="80" t="s">
        <v>2562</v>
      </c>
      <c r="J394" s="80" t="s">
        <v>4031</v>
      </c>
      <c r="M394" s="80" t="s">
        <v>2268</v>
      </c>
      <c r="N394" s="80" t="s">
        <v>4032</v>
      </c>
      <c r="O394" s="80" t="s">
        <v>2148</v>
      </c>
      <c r="P394" s="80" t="s">
        <v>2548</v>
      </c>
      <c r="Q394" s="80" t="s">
        <v>4039</v>
      </c>
      <c r="R394" s="80" t="s">
        <v>4040</v>
      </c>
      <c r="S394" s="80" t="s">
        <v>2244</v>
      </c>
      <c r="T394" s="80" t="s">
        <v>2251</v>
      </c>
      <c r="U394" s="80" t="s">
        <v>2234</v>
      </c>
      <c r="W394" s="80" t="s">
        <v>3824</v>
      </c>
      <c r="X394" s="80" t="s">
        <v>2283</v>
      </c>
      <c r="AA394" s="80" t="s">
        <v>2256</v>
      </c>
      <c r="AC394" s="80" t="s">
        <v>2257</v>
      </c>
      <c r="AE394" s="80" t="s">
        <v>2258</v>
      </c>
      <c r="AF394" s="80" t="s">
        <v>2259</v>
      </c>
      <c r="AK394" s="80" t="s">
        <v>4028</v>
      </c>
      <c r="AL394" s="80" t="s">
        <v>2261</v>
      </c>
      <c r="AN394" s="80" t="s">
        <v>2562</v>
      </c>
      <c r="AP394" s="80" t="s">
        <v>2574</v>
      </c>
      <c r="AQ394" s="80" t="s">
        <v>4041</v>
      </c>
      <c r="AU394" s="80" t="s">
        <v>4042</v>
      </c>
    </row>
    <row r="395" spans="1:49">
      <c r="A395" s="80" t="s">
        <v>2241</v>
      </c>
      <c r="B395" s="80" t="s">
        <v>4043</v>
      </c>
      <c r="C395" s="80" t="s">
        <v>2147</v>
      </c>
      <c r="D395" s="80" t="s">
        <v>4044</v>
      </c>
      <c r="E395" s="80" t="s">
        <v>2244</v>
      </c>
      <c r="F395" s="80" t="s">
        <v>4045</v>
      </c>
      <c r="J395" s="80" t="s">
        <v>4046</v>
      </c>
      <c r="M395" s="80" t="s">
        <v>2247</v>
      </c>
      <c r="O395" s="80" t="s">
        <v>2147</v>
      </c>
      <c r="P395" s="80" t="s">
        <v>2510</v>
      </c>
      <c r="Q395" s="80" t="s">
        <v>4044</v>
      </c>
      <c r="R395" s="80" t="s">
        <v>4047</v>
      </c>
      <c r="S395" s="80" t="s">
        <v>2244</v>
      </c>
      <c r="T395" s="80" t="s">
        <v>2251</v>
      </c>
      <c r="U395" s="80" t="s">
        <v>2501</v>
      </c>
      <c r="V395" s="80" t="s">
        <v>4048</v>
      </c>
      <c r="W395" s="80" t="s">
        <v>4049</v>
      </c>
      <c r="X395" s="80" t="s">
        <v>2610</v>
      </c>
      <c r="AA395" s="80" t="s">
        <v>2256</v>
      </c>
      <c r="AC395" s="80" t="s">
        <v>2513</v>
      </c>
      <c r="AE395" s="80" t="s">
        <v>2258</v>
      </c>
      <c r="AF395" s="80" t="s">
        <v>2272</v>
      </c>
      <c r="AI395" s="80" t="s">
        <v>4050</v>
      </c>
      <c r="AL395" s="80" t="s">
        <v>2261</v>
      </c>
      <c r="AN395" s="80" t="s">
        <v>4045</v>
      </c>
      <c r="AP395" s="80" t="s">
        <v>2657</v>
      </c>
      <c r="AQ395" s="80" t="s">
        <v>4051</v>
      </c>
      <c r="AT395" s="80" t="s">
        <v>2256</v>
      </c>
      <c r="AU395" s="80" t="s">
        <v>4052</v>
      </c>
      <c r="AW395" s="80" t="s">
        <v>2265</v>
      </c>
    </row>
    <row r="396" spans="1:49">
      <c r="AP396" s="80" t="s">
        <v>2666</v>
      </c>
      <c r="AQ396" s="80" t="s">
        <v>4053</v>
      </c>
      <c r="AT396" s="80" t="s">
        <v>2256</v>
      </c>
      <c r="AU396" s="80" t="s">
        <v>4054</v>
      </c>
      <c r="AW396" s="80" t="s">
        <v>2577</v>
      </c>
    </row>
    <row r="397" spans="1:49">
      <c r="AP397" s="80" t="s">
        <v>4055</v>
      </c>
      <c r="AQ397" s="80" t="s">
        <v>4056</v>
      </c>
      <c r="AT397" s="80" t="s">
        <v>2256</v>
      </c>
      <c r="AU397" s="80" t="s">
        <v>4057</v>
      </c>
      <c r="AW397" s="80" t="s">
        <v>2488</v>
      </c>
    </row>
    <row r="398" spans="1:49">
      <c r="A398" s="80" t="s">
        <v>2241</v>
      </c>
      <c r="B398" s="80" t="s">
        <v>4058</v>
      </c>
      <c r="C398" s="80" t="s">
        <v>2147</v>
      </c>
      <c r="D398" s="80" t="s">
        <v>4059</v>
      </c>
      <c r="E398" s="80" t="s">
        <v>2244</v>
      </c>
      <c r="F398" s="80" t="s">
        <v>4060</v>
      </c>
      <c r="J398" s="80" t="s">
        <v>4061</v>
      </c>
      <c r="M398" s="80" t="s">
        <v>2247</v>
      </c>
      <c r="O398" s="80" t="s">
        <v>2147</v>
      </c>
      <c r="P398" s="80" t="s">
        <v>2510</v>
      </c>
      <c r="Q398" s="80" t="s">
        <v>4059</v>
      </c>
      <c r="R398" s="80" t="s">
        <v>4062</v>
      </c>
      <c r="S398" s="80" t="s">
        <v>2244</v>
      </c>
      <c r="T398" s="80" t="s">
        <v>2251</v>
      </c>
      <c r="U398" s="80" t="s">
        <v>2929</v>
      </c>
      <c r="V398" s="80" t="s">
        <v>4063</v>
      </c>
      <c r="W398" s="80" t="s">
        <v>2311</v>
      </c>
      <c r="X398" s="80" t="s">
        <v>2283</v>
      </c>
      <c r="AA398" s="80" t="s">
        <v>2256</v>
      </c>
      <c r="AC398" s="80" t="s">
        <v>2513</v>
      </c>
      <c r="AE398" s="80" t="s">
        <v>2258</v>
      </c>
      <c r="AF398" s="80" t="s">
        <v>2272</v>
      </c>
      <c r="AL398" s="80" t="s">
        <v>2261</v>
      </c>
      <c r="AN398" s="80" t="s">
        <v>4060</v>
      </c>
      <c r="AP398" s="80" t="s">
        <v>2666</v>
      </c>
      <c r="AQ398" s="80" t="s">
        <v>4064</v>
      </c>
      <c r="AT398" s="80" t="s">
        <v>2256</v>
      </c>
      <c r="AU398" s="80" t="s">
        <v>4065</v>
      </c>
      <c r="AW398" s="80" t="s">
        <v>2577</v>
      </c>
    </row>
    <row r="399" spans="1:49">
      <c r="AP399" s="80" t="s">
        <v>2657</v>
      </c>
      <c r="AQ399" s="80" t="s">
        <v>4066</v>
      </c>
      <c r="AT399" s="80" t="s">
        <v>2256</v>
      </c>
      <c r="AU399" s="80" t="s">
        <v>4067</v>
      </c>
      <c r="AW399" s="80" t="s">
        <v>2265</v>
      </c>
    </row>
    <row r="400" spans="1:49">
      <c r="A400" s="80" t="s">
        <v>2241</v>
      </c>
      <c r="B400" s="80" t="s">
        <v>4068</v>
      </c>
      <c r="C400" s="80" t="s">
        <v>2147</v>
      </c>
      <c r="D400" s="80" t="s">
        <v>4069</v>
      </c>
      <c r="E400" s="80" t="s">
        <v>2244</v>
      </c>
      <c r="F400" s="80" t="s">
        <v>4070</v>
      </c>
      <c r="J400" s="80" t="s">
        <v>4071</v>
      </c>
      <c r="M400" s="80" t="s">
        <v>2247</v>
      </c>
      <c r="O400" s="80" t="s">
        <v>2147</v>
      </c>
      <c r="P400" s="80" t="s">
        <v>2510</v>
      </c>
      <c r="Q400" s="80" t="s">
        <v>4069</v>
      </c>
      <c r="R400" s="80" t="s">
        <v>4072</v>
      </c>
      <c r="S400" s="80" t="s">
        <v>2244</v>
      </c>
      <c r="T400" s="80" t="s">
        <v>2251</v>
      </c>
      <c r="U400" s="80" t="s">
        <v>3724</v>
      </c>
      <c r="V400" s="80" t="s">
        <v>4073</v>
      </c>
      <c r="W400" s="80" t="s">
        <v>2311</v>
      </c>
      <c r="X400" s="80" t="s">
        <v>2478</v>
      </c>
      <c r="AA400" s="80" t="s">
        <v>2256</v>
      </c>
      <c r="AC400" s="80" t="s">
        <v>2513</v>
      </c>
      <c r="AE400" s="80" t="s">
        <v>2258</v>
      </c>
      <c r="AF400" s="80" t="s">
        <v>2272</v>
      </c>
      <c r="AI400" s="80" t="s">
        <v>4074</v>
      </c>
      <c r="AL400" s="80" t="s">
        <v>2261</v>
      </c>
      <c r="AN400" s="80" t="s">
        <v>4070</v>
      </c>
      <c r="AP400" s="80" t="s">
        <v>4055</v>
      </c>
      <c r="AQ400" s="80" t="s">
        <v>4075</v>
      </c>
      <c r="AT400" s="80" t="s">
        <v>2256</v>
      </c>
      <c r="AU400" s="80" t="s">
        <v>4076</v>
      </c>
      <c r="AW400" s="80" t="s">
        <v>2398</v>
      </c>
    </row>
    <row r="401" spans="1:49">
      <c r="AP401" s="80" t="s">
        <v>3971</v>
      </c>
      <c r="AQ401" s="80" t="s">
        <v>4077</v>
      </c>
      <c r="AT401" s="80" t="s">
        <v>2256</v>
      </c>
      <c r="AU401" s="80" t="s">
        <v>4078</v>
      </c>
      <c r="AW401" s="80" t="s">
        <v>2265</v>
      </c>
    </row>
    <row r="402" spans="1:49">
      <c r="AP402" s="80" t="s">
        <v>2657</v>
      </c>
      <c r="AQ402" s="80" t="s">
        <v>4079</v>
      </c>
      <c r="AT402" s="80" t="s">
        <v>2256</v>
      </c>
      <c r="AU402" s="80" t="s">
        <v>4080</v>
      </c>
      <c r="AW402" s="80" t="s">
        <v>2642</v>
      </c>
    </row>
    <row r="403" spans="1:49">
      <c r="A403" s="80" t="s">
        <v>2241</v>
      </c>
      <c r="B403" s="80" t="s">
        <v>4081</v>
      </c>
      <c r="C403" s="80" t="s">
        <v>2147</v>
      </c>
      <c r="D403" s="80" t="s">
        <v>4082</v>
      </c>
      <c r="E403" s="80" t="s">
        <v>2244</v>
      </c>
      <c r="F403" s="80" t="s">
        <v>4083</v>
      </c>
      <c r="J403" s="80" t="s">
        <v>4084</v>
      </c>
      <c r="M403" s="80" t="s">
        <v>2247</v>
      </c>
      <c r="O403" s="80" t="s">
        <v>2147</v>
      </c>
      <c r="P403" s="80" t="s">
        <v>2510</v>
      </c>
      <c r="Q403" s="80" t="s">
        <v>4082</v>
      </c>
      <c r="R403" s="80" t="s">
        <v>4085</v>
      </c>
      <c r="S403" s="80" t="s">
        <v>2244</v>
      </c>
      <c r="T403" s="80" t="s">
        <v>2251</v>
      </c>
      <c r="U403" s="80" t="s">
        <v>2252</v>
      </c>
      <c r="V403" s="80" t="s">
        <v>4086</v>
      </c>
      <c r="W403" s="80" t="s">
        <v>2311</v>
      </c>
      <c r="X403" s="80" t="s">
        <v>4087</v>
      </c>
      <c r="AA403" s="80" t="s">
        <v>2256</v>
      </c>
      <c r="AC403" s="80" t="s">
        <v>2513</v>
      </c>
      <c r="AE403" s="80" t="s">
        <v>2258</v>
      </c>
      <c r="AF403" s="80" t="s">
        <v>2272</v>
      </c>
      <c r="AL403" s="80" t="s">
        <v>2261</v>
      </c>
      <c r="AN403" s="80" t="s">
        <v>4083</v>
      </c>
      <c r="AP403" s="80" t="s">
        <v>2666</v>
      </c>
      <c r="AQ403" s="80" t="s">
        <v>4088</v>
      </c>
      <c r="AT403" s="80" t="s">
        <v>2256</v>
      </c>
      <c r="AU403" s="80" t="s">
        <v>4089</v>
      </c>
      <c r="AW403" s="80" t="s">
        <v>2577</v>
      </c>
    </row>
    <row r="404" spans="1:49">
      <c r="AP404" s="80" t="s">
        <v>2657</v>
      </c>
      <c r="AQ404" s="80" t="s">
        <v>4090</v>
      </c>
      <c r="AT404" s="80" t="s">
        <v>2256</v>
      </c>
      <c r="AU404" s="80" t="s">
        <v>4091</v>
      </c>
      <c r="AW404" s="80" t="s">
        <v>2642</v>
      </c>
    </row>
    <row r="405" spans="1:49">
      <c r="AP405" s="80" t="s">
        <v>4055</v>
      </c>
      <c r="AQ405" s="80" t="s">
        <v>4092</v>
      </c>
      <c r="AT405" s="80" t="s">
        <v>2256</v>
      </c>
      <c r="AU405" s="80" t="s">
        <v>4093</v>
      </c>
      <c r="AW405" s="80" t="s">
        <v>2398</v>
      </c>
    </row>
    <row r="406" spans="1:49">
      <c r="A406" s="80" t="s">
        <v>2241</v>
      </c>
      <c r="B406" s="80" t="s">
        <v>4094</v>
      </c>
      <c r="C406" s="80" t="s">
        <v>2147</v>
      </c>
      <c r="D406" s="80" t="s">
        <v>4095</v>
      </c>
      <c r="E406" s="80" t="s">
        <v>2244</v>
      </c>
      <c r="F406" s="80" t="s">
        <v>4096</v>
      </c>
      <c r="J406" s="80" t="s">
        <v>4097</v>
      </c>
      <c r="M406" s="80" t="s">
        <v>2247</v>
      </c>
      <c r="O406" s="80" t="s">
        <v>2147</v>
      </c>
      <c r="P406" s="80" t="s">
        <v>2510</v>
      </c>
      <c r="Q406" s="80" t="s">
        <v>4095</v>
      </c>
      <c r="R406" s="80" t="s">
        <v>4098</v>
      </c>
      <c r="S406" s="80" t="s">
        <v>2244</v>
      </c>
      <c r="T406" s="80" t="s">
        <v>2251</v>
      </c>
      <c r="U406" s="80" t="s">
        <v>2241</v>
      </c>
      <c r="V406" s="80" t="s">
        <v>4099</v>
      </c>
      <c r="W406" s="80" t="s">
        <v>3445</v>
      </c>
      <c r="X406" s="80" t="s">
        <v>2412</v>
      </c>
      <c r="AA406" s="80" t="s">
        <v>2256</v>
      </c>
      <c r="AC406" s="80" t="s">
        <v>2513</v>
      </c>
      <c r="AE406" s="80" t="s">
        <v>2258</v>
      </c>
      <c r="AF406" s="80" t="s">
        <v>2272</v>
      </c>
      <c r="AL406" s="80" t="s">
        <v>2261</v>
      </c>
      <c r="AN406" s="80" t="s">
        <v>4096</v>
      </c>
      <c r="AP406" s="80" t="s">
        <v>4055</v>
      </c>
      <c r="AQ406" s="80" t="s">
        <v>4100</v>
      </c>
      <c r="AU406" s="80" t="s">
        <v>4101</v>
      </c>
      <c r="AW406" s="80" t="s">
        <v>2398</v>
      </c>
    </row>
    <row r="407" spans="1:49">
      <c r="AP407" s="80" t="s">
        <v>2657</v>
      </c>
      <c r="AQ407" s="80" t="s">
        <v>4102</v>
      </c>
      <c r="AT407" s="80" t="s">
        <v>2256</v>
      </c>
      <c r="AU407" s="80" t="s">
        <v>4103</v>
      </c>
      <c r="AW407" s="80" t="s">
        <v>2577</v>
      </c>
    </row>
    <row r="408" spans="1:49">
      <c r="AP408" s="80" t="s">
        <v>2666</v>
      </c>
      <c r="AQ408" s="80" t="s">
        <v>4104</v>
      </c>
      <c r="AT408" s="80" t="s">
        <v>2256</v>
      </c>
      <c r="AU408" s="80" t="s">
        <v>4105</v>
      </c>
      <c r="AW408" s="80" t="s">
        <v>2577</v>
      </c>
    </row>
    <row r="409" spans="1:49">
      <c r="AP409" s="80" t="s">
        <v>4106</v>
      </c>
      <c r="AQ409" s="80" t="s">
        <v>4107</v>
      </c>
      <c r="AT409" s="80" t="s">
        <v>2256</v>
      </c>
      <c r="AU409" s="80" t="s">
        <v>4108</v>
      </c>
      <c r="AW409" s="80" t="s">
        <v>2577</v>
      </c>
    </row>
    <row r="410" spans="1:49">
      <c r="A410" s="80" t="s">
        <v>2241</v>
      </c>
      <c r="B410" s="80" t="s">
        <v>4109</v>
      </c>
      <c r="C410" s="80" t="s">
        <v>2147</v>
      </c>
      <c r="D410" s="80" t="s">
        <v>4110</v>
      </c>
      <c r="E410" s="80" t="s">
        <v>2244</v>
      </c>
      <c r="F410" s="80" t="s">
        <v>3187</v>
      </c>
      <c r="J410" s="80" t="s">
        <v>4111</v>
      </c>
      <c r="M410" s="80" t="s">
        <v>2247</v>
      </c>
      <c r="O410" s="80" t="s">
        <v>2147</v>
      </c>
      <c r="P410" s="80" t="s">
        <v>2510</v>
      </c>
      <c r="Q410" s="80" t="s">
        <v>4110</v>
      </c>
      <c r="R410" s="80" t="s">
        <v>4112</v>
      </c>
      <c r="S410" s="80" t="s">
        <v>2244</v>
      </c>
      <c r="T410" s="80" t="s">
        <v>2251</v>
      </c>
      <c r="U410" s="80" t="s">
        <v>2252</v>
      </c>
      <c r="V410" s="80" t="s">
        <v>4113</v>
      </c>
      <c r="W410" s="80" t="s">
        <v>2311</v>
      </c>
      <c r="X410" s="80" t="s">
        <v>2478</v>
      </c>
      <c r="AA410" s="80" t="s">
        <v>2256</v>
      </c>
      <c r="AC410" s="80" t="s">
        <v>2513</v>
      </c>
      <c r="AE410" s="80" t="s">
        <v>2258</v>
      </c>
      <c r="AF410" s="80" t="s">
        <v>2272</v>
      </c>
      <c r="AI410" s="80" t="s">
        <v>4074</v>
      </c>
      <c r="AL410" s="80" t="s">
        <v>2261</v>
      </c>
      <c r="AN410" s="80" t="s">
        <v>3187</v>
      </c>
      <c r="AP410" s="80" t="s">
        <v>4055</v>
      </c>
      <c r="AQ410" s="80" t="s">
        <v>4114</v>
      </c>
      <c r="AT410" s="80" t="s">
        <v>2256</v>
      </c>
      <c r="AU410" s="80" t="s">
        <v>4115</v>
      </c>
      <c r="AW410" s="80" t="s">
        <v>2398</v>
      </c>
    </row>
    <row r="411" spans="1:49">
      <c r="AP411" s="80" t="s">
        <v>3971</v>
      </c>
      <c r="AQ411" s="80" t="s">
        <v>4116</v>
      </c>
      <c r="AT411" s="80" t="s">
        <v>2256</v>
      </c>
      <c r="AU411" s="80" t="s">
        <v>4117</v>
      </c>
      <c r="AW411" s="80" t="s">
        <v>4118</v>
      </c>
    </row>
    <row r="412" spans="1:49">
      <c r="AP412" s="80" t="s">
        <v>4119</v>
      </c>
      <c r="AQ412" s="80" t="s">
        <v>4120</v>
      </c>
      <c r="AU412" s="80" t="s">
        <v>4121</v>
      </c>
      <c r="AW412" s="80" t="s">
        <v>3974</v>
      </c>
    </row>
    <row r="413" spans="1:49">
      <c r="A413" s="80" t="s">
        <v>2241</v>
      </c>
      <c r="B413" s="80" t="s">
        <v>4122</v>
      </c>
      <c r="C413" s="80" t="s">
        <v>2147</v>
      </c>
      <c r="D413" s="80" t="s">
        <v>4123</v>
      </c>
      <c r="E413" s="80" t="s">
        <v>2244</v>
      </c>
      <c r="F413" s="80" t="s">
        <v>3652</v>
      </c>
      <c r="J413" s="80" t="s">
        <v>4124</v>
      </c>
      <c r="M413" s="80" t="s">
        <v>2247</v>
      </c>
      <c r="O413" s="80" t="s">
        <v>2147</v>
      </c>
      <c r="P413" s="80" t="s">
        <v>2510</v>
      </c>
      <c r="Q413" s="80" t="s">
        <v>4123</v>
      </c>
      <c r="R413" s="80" t="s">
        <v>4125</v>
      </c>
      <c r="S413" s="80" t="s">
        <v>2244</v>
      </c>
      <c r="T413" s="80" t="s">
        <v>2251</v>
      </c>
      <c r="U413" s="80" t="s">
        <v>2627</v>
      </c>
      <c r="V413" s="80" t="s">
        <v>4126</v>
      </c>
      <c r="W413" s="80" t="s">
        <v>2699</v>
      </c>
      <c r="X413" s="80" t="s">
        <v>2610</v>
      </c>
      <c r="AA413" s="80" t="s">
        <v>2256</v>
      </c>
      <c r="AC413" s="80" t="s">
        <v>2513</v>
      </c>
      <c r="AE413" s="80" t="s">
        <v>2258</v>
      </c>
      <c r="AF413" s="80" t="s">
        <v>2259</v>
      </c>
      <c r="AL413" s="80" t="s">
        <v>2261</v>
      </c>
      <c r="AN413" s="80" t="s">
        <v>3652</v>
      </c>
      <c r="AP413" s="80" t="s">
        <v>4055</v>
      </c>
      <c r="AQ413" s="80" t="s">
        <v>4127</v>
      </c>
      <c r="AT413" s="80" t="s">
        <v>2256</v>
      </c>
      <c r="AU413" s="80" t="s">
        <v>4128</v>
      </c>
      <c r="AW413" s="80" t="s">
        <v>2398</v>
      </c>
    </row>
    <row r="414" spans="1:49">
      <c r="AP414" s="80" t="s">
        <v>2666</v>
      </c>
      <c r="AQ414" s="80" t="s">
        <v>4129</v>
      </c>
      <c r="AT414" s="80" t="s">
        <v>2256</v>
      </c>
      <c r="AU414" s="80" t="s">
        <v>4130</v>
      </c>
      <c r="AW414" s="80" t="s">
        <v>2577</v>
      </c>
    </row>
    <row r="415" spans="1:49">
      <c r="AP415" s="80" t="s">
        <v>2657</v>
      </c>
      <c r="AQ415" s="80" t="s">
        <v>4131</v>
      </c>
      <c r="AT415" s="80" t="s">
        <v>2256</v>
      </c>
      <c r="AU415" s="80" t="s">
        <v>4132</v>
      </c>
      <c r="AW415" s="80" t="s">
        <v>2577</v>
      </c>
    </row>
    <row r="416" spans="1:49">
      <c r="A416" s="80" t="s">
        <v>2241</v>
      </c>
      <c r="B416" s="80" t="s">
        <v>4133</v>
      </c>
      <c r="C416" s="80" t="s">
        <v>2147</v>
      </c>
      <c r="D416" s="80" t="s">
        <v>4134</v>
      </c>
      <c r="E416" s="80" t="s">
        <v>2244</v>
      </c>
      <c r="F416" s="80" t="s">
        <v>4135</v>
      </c>
      <c r="J416" s="80" t="s">
        <v>4136</v>
      </c>
      <c r="M416" s="80" t="s">
        <v>2247</v>
      </c>
      <c r="O416" s="80" t="s">
        <v>2147</v>
      </c>
      <c r="P416" s="80" t="s">
        <v>2510</v>
      </c>
      <c r="Q416" s="80" t="s">
        <v>4134</v>
      </c>
      <c r="R416" s="80" t="s">
        <v>4137</v>
      </c>
      <c r="S416" s="80" t="s">
        <v>2244</v>
      </c>
      <c r="T416" s="80" t="s">
        <v>2251</v>
      </c>
      <c r="U416" s="80" t="s">
        <v>2252</v>
      </c>
      <c r="V416" s="80" t="s">
        <v>4138</v>
      </c>
      <c r="W416" s="80" t="s">
        <v>2601</v>
      </c>
      <c r="X416" s="80" t="s">
        <v>2602</v>
      </c>
      <c r="AA416" s="80" t="s">
        <v>2256</v>
      </c>
      <c r="AC416" s="80" t="s">
        <v>2513</v>
      </c>
      <c r="AE416" s="80" t="s">
        <v>2258</v>
      </c>
      <c r="AF416" s="80" t="s">
        <v>2272</v>
      </c>
      <c r="AI416" s="80" t="s">
        <v>4074</v>
      </c>
      <c r="AL416" s="80" t="s">
        <v>2261</v>
      </c>
      <c r="AN416" s="80" t="s">
        <v>4135</v>
      </c>
      <c r="AP416" s="80" t="s">
        <v>4055</v>
      </c>
      <c r="AQ416" s="80" t="s">
        <v>4139</v>
      </c>
      <c r="AU416" s="80" t="s">
        <v>4140</v>
      </c>
    </row>
    <row r="417" spans="1:49">
      <c r="AP417" s="80" t="s">
        <v>4119</v>
      </c>
      <c r="AQ417" s="80" t="s">
        <v>4141</v>
      </c>
      <c r="AU417" s="80" t="s">
        <v>4142</v>
      </c>
      <c r="AW417" s="80" t="s">
        <v>4143</v>
      </c>
    </row>
    <row r="418" spans="1:49">
      <c r="AP418" s="80" t="s">
        <v>2657</v>
      </c>
      <c r="AQ418" s="80" t="s">
        <v>4144</v>
      </c>
      <c r="AT418" s="80" t="s">
        <v>2256</v>
      </c>
      <c r="AU418" s="80" t="s">
        <v>4145</v>
      </c>
      <c r="AW418" s="80" t="s">
        <v>2577</v>
      </c>
    </row>
    <row r="419" spans="1:49">
      <c r="AP419" s="80" t="s">
        <v>2666</v>
      </c>
      <c r="AQ419" s="80" t="s">
        <v>4146</v>
      </c>
      <c r="AT419" s="80" t="s">
        <v>2256</v>
      </c>
      <c r="AU419" s="80" t="s">
        <v>4147</v>
      </c>
      <c r="AW419" s="80" t="s">
        <v>2577</v>
      </c>
    </row>
    <row r="420" spans="1:49">
      <c r="A420" s="80" t="s">
        <v>2241</v>
      </c>
      <c r="B420" s="80" t="s">
        <v>4148</v>
      </c>
      <c r="C420" s="80" t="s">
        <v>2147</v>
      </c>
      <c r="D420" s="80" t="s">
        <v>4149</v>
      </c>
      <c r="E420" s="80" t="s">
        <v>2244</v>
      </c>
      <c r="F420" s="80" t="s">
        <v>4150</v>
      </c>
      <c r="J420" s="80" t="s">
        <v>4151</v>
      </c>
      <c r="M420" s="80" t="s">
        <v>2247</v>
      </c>
      <c r="O420" s="80" t="s">
        <v>2147</v>
      </c>
      <c r="P420" s="80" t="s">
        <v>2510</v>
      </c>
      <c r="Q420" s="80" t="s">
        <v>4149</v>
      </c>
      <c r="R420" s="80" t="s">
        <v>4152</v>
      </c>
      <c r="S420" s="80" t="s">
        <v>2244</v>
      </c>
      <c r="T420" s="80" t="s">
        <v>2251</v>
      </c>
      <c r="U420" s="80" t="s">
        <v>2322</v>
      </c>
      <c r="V420" s="80" t="s">
        <v>4153</v>
      </c>
      <c r="W420" s="80" t="s">
        <v>2311</v>
      </c>
      <c r="X420" s="80" t="s">
        <v>2271</v>
      </c>
      <c r="AA420" s="80" t="s">
        <v>2256</v>
      </c>
      <c r="AC420" s="80" t="s">
        <v>2513</v>
      </c>
      <c r="AE420" s="80" t="s">
        <v>2258</v>
      </c>
      <c r="AF420" s="80" t="s">
        <v>2272</v>
      </c>
      <c r="AL420" s="80" t="s">
        <v>2261</v>
      </c>
      <c r="AN420" s="80" t="s">
        <v>4150</v>
      </c>
      <c r="AP420" s="80" t="s">
        <v>2657</v>
      </c>
      <c r="AQ420" s="80" t="s">
        <v>4154</v>
      </c>
      <c r="AT420" s="80" t="s">
        <v>2256</v>
      </c>
      <c r="AU420" s="80" t="s">
        <v>4155</v>
      </c>
      <c r="AW420" s="80" t="s">
        <v>2642</v>
      </c>
    </row>
    <row r="421" spans="1:49">
      <c r="AP421" s="80" t="s">
        <v>4055</v>
      </c>
      <c r="AQ421" s="80" t="s">
        <v>4156</v>
      </c>
      <c r="AT421" s="80" t="s">
        <v>2256</v>
      </c>
      <c r="AU421" s="80" t="s">
        <v>4157</v>
      </c>
      <c r="AW421" s="80" t="s">
        <v>2398</v>
      </c>
    </row>
    <row r="422" spans="1:49">
      <c r="AP422" s="80" t="s">
        <v>2666</v>
      </c>
      <c r="AQ422" s="80" t="s">
        <v>4158</v>
      </c>
      <c r="AT422" s="80" t="s">
        <v>2256</v>
      </c>
      <c r="AU422" s="80" t="s">
        <v>4159</v>
      </c>
      <c r="AW422" s="80" t="s">
        <v>2577</v>
      </c>
    </row>
    <row r="423" spans="1:49">
      <c r="A423" s="80" t="s">
        <v>2241</v>
      </c>
      <c r="B423" s="80" t="s">
        <v>4160</v>
      </c>
      <c r="C423" s="80" t="s">
        <v>2147</v>
      </c>
      <c r="D423" s="80" t="s">
        <v>4161</v>
      </c>
      <c r="E423" s="80" t="s">
        <v>2244</v>
      </c>
      <c r="F423" s="80" t="s">
        <v>3031</v>
      </c>
      <c r="J423" s="80" t="s">
        <v>4162</v>
      </c>
      <c r="M423" s="80" t="s">
        <v>2247</v>
      </c>
      <c r="O423" s="80" t="s">
        <v>2147</v>
      </c>
      <c r="P423" s="80" t="s">
        <v>2510</v>
      </c>
      <c r="Q423" s="80" t="s">
        <v>4161</v>
      </c>
      <c r="R423" s="80" t="s">
        <v>4163</v>
      </c>
      <c r="S423" s="80" t="s">
        <v>2244</v>
      </c>
      <c r="T423" s="80" t="s">
        <v>2251</v>
      </c>
      <c r="U423" s="80" t="s">
        <v>2252</v>
      </c>
      <c r="V423" s="80" t="s">
        <v>4164</v>
      </c>
      <c r="W423" s="80" t="s">
        <v>4165</v>
      </c>
      <c r="X423" s="80" t="s">
        <v>2412</v>
      </c>
      <c r="AA423" s="80" t="s">
        <v>2256</v>
      </c>
      <c r="AC423" s="80" t="s">
        <v>2513</v>
      </c>
      <c r="AE423" s="80" t="s">
        <v>2258</v>
      </c>
      <c r="AF423" s="80" t="s">
        <v>2272</v>
      </c>
      <c r="AI423" s="80" t="s">
        <v>4050</v>
      </c>
      <c r="AL423" s="80" t="s">
        <v>2261</v>
      </c>
      <c r="AN423" s="80" t="s">
        <v>3031</v>
      </c>
      <c r="AP423" s="80" t="s">
        <v>2666</v>
      </c>
      <c r="AQ423" s="80" t="s">
        <v>4166</v>
      </c>
      <c r="AT423" s="80" t="s">
        <v>2256</v>
      </c>
      <c r="AU423" s="80" t="s">
        <v>4167</v>
      </c>
      <c r="AW423" s="80" t="s">
        <v>2577</v>
      </c>
    </row>
    <row r="424" spans="1:49">
      <c r="AP424" s="80" t="s">
        <v>2657</v>
      </c>
      <c r="AQ424" s="80" t="s">
        <v>4168</v>
      </c>
      <c r="AT424" s="80" t="s">
        <v>2256</v>
      </c>
      <c r="AU424" s="80" t="s">
        <v>4169</v>
      </c>
      <c r="AW424" s="80" t="s">
        <v>2265</v>
      </c>
    </row>
    <row r="425" spans="1:49">
      <c r="AP425" s="80" t="s">
        <v>4055</v>
      </c>
      <c r="AQ425" s="80" t="s">
        <v>4170</v>
      </c>
      <c r="AT425" s="80" t="s">
        <v>2256</v>
      </c>
      <c r="AU425" s="80" t="s">
        <v>4171</v>
      </c>
      <c r="AW425" s="80" t="s">
        <v>2398</v>
      </c>
    </row>
    <row r="426" spans="1:49">
      <c r="A426" s="80" t="s">
        <v>2241</v>
      </c>
      <c r="B426" s="80" t="s">
        <v>4172</v>
      </c>
      <c r="C426" s="80" t="s">
        <v>2147</v>
      </c>
      <c r="D426" s="80" t="s">
        <v>4173</v>
      </c>
      <c r="E426" s="80" t="s">
        <v>2244</v>
      </c>
      <c r="F426" s="80" t="s">
        <v>4174</v>
      </c>
      <c r="J426" s="80" t="s">
        <v>4175</v>
      </c>
      <c r="M426" s="80" t="s">
        <v>2247</v>
      </c>
      <c r="O426" s="80" t="s">
        <v>2147</v>
      </c>
      <c r="P426" s="80" t="s">
        <v>2510</v>
      </c>
      <c r="Q426" s="80" t="s">
        <v>4173</v>
      </c>
      <c r="R426" s="80" t="s">
        <v>4176</v>
      </c>
      <c r="S426" s="80" t="s">
        <v>2244</v>
      </c>
      <c r="T426" s="80" t="s">
        <v>2251</v>
      </c>
      <c r="U426" s="80" t="s">
        <v>2252</v>
      </c>
      <c r="V426" s="80" t="s">
        <v>4177</v>
      </c>
      <c r="W426" s="80" t="s">
        <v>2345</v>
      </c>
      <c r="X426" s="80" t="s">
        <v>2291</v>
      </c>
      <c r="AA426" s="80" t="s">
        <v>2256</v>
      </c>
      <c r="AC426" s="80" t="s">
        <v>2513</v>
      </c>
      <c r="AE426" s="80" t="s">
        <v>2258</v>
      </c>
      <c r="AF426" s="80" t="s">
        <v>2272</v>
      </c>
      <c r="AL426" s="80" t="s">
        <v>2261</v>
      </c>
      <c r="AN426" s="80" t="s">
        <v>4174</v>
      </c>
      <c r="AP426" s="80" t="s">
        <v>4106</v>
      </c>
      <c r="AQ426" s="80" t="s">
        <v>4178</v>
      </c>
      <c r="AT426" s="80" t="s">
        <v>2256</v>
      </c>
      <c r="AU426" s="80" t="s">
        <v>4179</v>
      </c>
      <c r="AW426" s="80" t="s">
        <v>2577</v>
      </c>
    </row>
    <row r="427" spans="1:49">
      <c r="AP427" s="80" t="s">
        <v>4055</v>
      </c>
      <c r="AQ427" s="80" t="s">
        <v>4180</v>
      </c>
      <c r="AT427" s="80" t="s">
        <v>2256</v>
      </c>
      <c r="AU427" s="80" t="s">
        <v>4181</v>
      </c>
      <c r="AW427" s="80" t="s">
        <v>2398</v>
      </c>
    </row>
    <row r="428" spans="1:49">
      <c r="AP428" s="80" t="s">
        <v>2666</v>
      </c>
      <c r="AQ428" s="80" t="s">
        <v>4182</v>
      </c>
      <c r="AT428" s="80" t="s">
        <v>2256</v>
      </c>
      <c r="AU428" s="80" t="s">
        <v>4183</v>
      </c>
      <c r="AW428" s="80" t="s">
        <v>2577</v>
      </c>
    </row>
    <row r="429" spans="1:49">
      <c r="AP429" s="80" t="s">
        <v>2657</v>
      </c>
      <c r="AQ429" s="80" t="s">
        <v>4184</v>
      </c>
      <c r="AT429" s="80" t="s">
        <v>2256</v>
      </c>
      <c r="AU429" s="80" t="s">
        <v>4185</v>
      </c>
      <c r="AW429" s="80" t="s">
        <v>2265</v>
      </c>
    </row>
    <row r="430" spans="1:49">
      <c r="A430" s="80" t="s">
        <v>2241</v>
      </c>
      <c r="B430" s="80" t="s">
        <v>4186</v>
      </c>
      <c r="C430" s="80" t="s">
        <v>2147</v>
      </c>
      <c r="D430" s="80" t="s">
        <v>4187</v>
      </c>
      <c r="E430" s="80" t="s">
        <v>2244</v>
      </c>
      <c r="F430" s="80" t="s">
        <v>4188</v>
      </c>
      <c r="J430" s="80" t="s">
        <v>4189</v>
      </c>
      <c r="M430" s="80" t="s">
        <v>2247</v>
      </c>
      <c r="O430" s="80" t="s">
        <v>2147</v>
      </c>
      <c r="P430" s="80" t="s">
        <v>2510</v>
      </c>
      <c r="Q430" s="80" t="s">
        <v>4187</v>
      </c>
      <c r="R430" s="80" t="s">
        <v>4190</v>
      </c>
      <c r="S430" s="80" t="s">
        <v>2244</v>
      </c>
      <c r="T430" s="80" t="s">
        <v>2251</v>
      </c>
      <c r="U430" s="80" t="s">
        <v>2252</v>
      </c>
      <c r="V430" s="80" t="s">
        <v>4191</v>
      </c>
      <c r="W430" s="80" t="s">
        <v>2311</v>
      </c>
      <c r="X430" s="80" t="s">
        <v>2283</v>
      </c>
      <c r="AA430" s="80" t="s">
        <v>2256</v>
      </c>
      <c r="AC430" s="80" t="s">
        <v>2513</v>
      </c>
      <c r="AE430" s="80" t="s">
        <v>2258</v>
      </c>
      <c r="AF430" s="80" t="s">
        <v>2272</v>
      </c>
      <c r="AL430" s="80" t="s">
        <v>2261</v>
      </c>
      <c r="AN430" s="80" t="s">
        <v>4188</v>
      </c>
      <c r="AP430" s="80" t="s">
        <v>4055</v>
      </c>
      <c r="AQ430" s="80" t="s">
        <v>4192</v>
      </c>
      <c r="AT430" s="80" t="s">
        <v>2256</v>
      </c>
      <c r="AU430" s="80" t="s">
        <v>4193</v>
      </c>
      <c r="AW430" s="80" t="s">
        <v>2398</v>
      </c>
    </row>
    <row r="431" spans="1:49">
      <c r="AP431" s="80" t="s">
        <v>2666</v>
      </c>
      <c r="AQ431" s="80" t="s">
        <v>4194</v>
      </c>
      <c r="AT431" s="80" t="s">
        <v>2256</v>
      </c>
      <c r="AU431" s="80" t="s">
        <v>4195</v>
      </c>
      <c r="AW431" s="80" t="s">
        <v>2577</v>
      </c>
    </row>
    <row r="432" spans="1:49">
      <c r="AP432" s="80" t="s">
        <v>2657</v>
      </c>
      <c r="AQ432" s="80" t="s">
        <v>4196</v>
      </c>
      <c r="AT432" s="80" t="s">
        <v>2256</v>
      </c>
      <c r="AU432" s="80" t="s">
        <v>4197</v>
      </c>
      <c r="AW432" s="80" t="s">
        <v>2265</v>
      </c>
    </row>
    <row r="433" spans="1:49">
      <c r="A433" s="80" t="s">
        <v>2241</v>
      </c>
      <c r="B433" s="80" t="s">
        <v>4198</v>
      </c>
      <c r="C433" s="80" t="s">
        <v>2147</v>
      </c>
      <c r="D433" s="80" t="s">
        <v>4199</v>
      </c>
      <c r="E433" s="80" t="s">
        <v>2244</v>
      </c>
      <c r="F433" s="80" t="s">
        <v>4200</v>
      </c>
      <c r="J433" s="80" t="s">
        <v>4201</v>
      </c>
      <c r="M433" s="80" t="s">
        <v>2247</v>
      </c>
      <c r="O433" s="80" t="s">
        <v>2147</v>
      </c>
      <c r="P433" s="80" t="s">
        <v>2510</v>
      </c>
      <c r="Q433" s="80" t="s">
        <v>4199</v>
      </c>
      <c r="R433" s="80" t="s">
        <v>4202</v>
      </c>
      <c r="S433" s="80" t="s">
        <v>2244</v>
      </c>
      <c r="T433" s="80" t="s">
        <v>2251</v>
      </c>
      <c r="U433" s="80" t="s">
        <v>2252</v>
      </c>
      <c r="V433" s="80" t="s">
        <v>4203</v>
      </c>
      <c r="W433" s="80" t="s">
        <v>2699</v>
      </c>
      <c r="X433" s="80" t="s">
        <v>2610</v>
      </c>
      <c r="AA433" s="80" t="s">
        <v>2256</v>
      </c>
      <c r="AC433" s="80" t="s">
        <v>2513</v>
      </c>
      <c r="AE433" s="80" t="s">
        <v>2258</v>
      </c>
      <c r="AF433" s="80" t="s">
        <v>2272</v>
      </c>
      <c r="AL433" s="80" t="s">
        <v>2261</v>
      </c>
      <c r="AN433" s="80" t="s">
        <v>4200</v>
      </c>
      <c r="AP433" s="80" t="s">
        <v>3971</v>
      </c>
      <c r="AQ433" s="80" t="s">
        <v>4204</v>
      </c>
      <c r="AT433" s="80" t="s">
        <v>2256</v>
      </c>
      <c r="AU433" s="80" t="s">
        <v>4205</v>
      </c>
      <c r="AW433" s="80" t="s">
        <v>4118</v>
      </c>
    </row>
    <row r="434" spans="1:49">
      <c r="AP434" s="80" t="s">
        <v>4055</v>
      </c>
      <c r="AQ434" s="80" t="s">
        <v>4206</v>
      </c>
      <c r="AT434" s="80" t="s">
        <v>2256</v>
      </c>
      <c r="AU434" s="80" t="s">
        <v>4207</v>
      </c>
      <c r="AW434" s="80" t="s">
        <v>2398</v>
      </c>
    </row>
    <row r="435" spans="1:49">
      <c r="AP435" s="80" t="s">
        <v>4119</v>
      </c>
      <c r="AQ435" s="80" t="s">
        <v>4208</v>
      </c>
      <c r="AT435" s="80" t="s">
        <v>2256</v>
      </c>
      <c r="AU435" s="80" t="s">
        <v>4209</v>
      </c>
      <c r="AW435" s="80" t="s">
        <v>2265</v>
      </c>
    </row>
    <row r="436" spans="1:49">
      <c r="A436" s="80" t="s">
        <v>2241</v>
      </c>
      <c r="B436" s="80" t="s">
        <v>4210</v>
      </c>
      <c r="C436" s="80" t="s">
        <v>2147</v>
      </c>
      <c r="D436" s="80" t="s">
        <v>4211</v>
      </c>
      <c r="E436" s="80" t="s">
        <v>2244</v>
      </c>
      <c r="F436" s="80" t="s">
        <v>4212</v>
      </c>
      <c r="J436" s="80" t="s">
        <v>4213</v>
      </c>
      <c r="M436" s="80" t="s">
        <v>2247</v>
      </c>
      <c r="O436" s="80" t="s">
        <v>2147</v>
      </c>
      <c r="P436" s="80" t="s">
        <v>2510</v>
      </c>
      <c r="Q436" s="80" t="s">
        <v>4211</v>
      </c>
      <c r="R436" s="80" t="s">
        <v>4214</v>
      </c>
      <c r="S436" s="80" t="s">
        <v>2244</v>
      </c>
      <c r="T436" s="80" t="s">
        <v>2251</v>
      </c>
      <c r="U436" s="80" t="s">
        <v>2627</v>
      </c>
      <c r="V436" s="80" t="s">
        <v>4215</v>
      </c>
      <c r="W436" s="80" t="s">
        <v>3176</v>
      </c>
      <c r="X436" s="80" t="s">
        <v>2271</v>
      </c>
      <c r="AA436" s="80" t="s">
        <v>2256</v>
      </c>
      <c r="AC436" s="80" t="s">
        <v>2513</v>
      </c>
      <c r="AE436" s="80" t="s">
        <v>2258</v>
      </c>
      <c r="AF436" s="80" t="s">
        <v>2272</v>
      </c>
      <c r="AL436" s="80" t="s">
        <v>2261</v>
      </c>
      <c r="AN436" s="80" t="s">
        <v>4212</v>
      </c>
      <c r="AP436" s="80" t="s">
        <v>4055</v>
      </c>
      <c r="AQ436" s="80" t="s">
        <v>4216</v>
      </c>
      <c r="AT436" s="80" t="s">
        <v>2256</v>
      </c>
      <c r="AU436" s="80" t="s">
        <v>4217</v>
      </c>
      <c r="AW436" s="80" t="s">
        <v>2398</v>
      </c>
    </row>
    <row r="437" spans="1:49">
      <c r="AP437" s="80" t="s">
        <v>2666</v>
      </c>
      <c r="AQ437" s="80" t="s">
        <v>4218</v>
      </c>
      <c r="AT437" s="80" t="s">
        <v>2256</v>
      </c>
      <c r="AU437" s="80" t="s">
        <v>4219</v>
      </c>
      <c r="AW437" s="80" t="s">
        <v>2577</v>
      </c>
    </row>
    <row r="438" spans="1:49">
      <c r="AP438" s="80" t="s">
        <v>2657</v>
      </c>
      <c r="AQ438" s="80" t="s">
        <v>4220</v>
      </c>
      <c r="AT438" s="80" t="s">
        <v>2256</v>
      </c>
      <c r="AU438" s="80" t="s">
        <v>4221</v>
      </c>
      <c r="AW438" s="80" t="s">
        <v>2265</v>
      </c>
    </row>
    <row r="439" spans="1:49">
      <c r="A439" s="80" t="s">
        <v>2241</v>
      </c>
      <c r="B439" s="80" t="s">
        <v>4222</v>
      </c>
      <c r="C439" s="80" t="s">
        <v>2147</v>
      </c>
      <c r="D439" s="80" t="s">
        <v>4223</v>
      </c>
      <c r="E439" s="80" t="s">
        <v>2244</v>
      </c>
      <c r="F439" s="80" t="s">
        <v>3398</v>
      </c>
      <c r="J439" s="80" t="s">
        <v>4224</v>
      </c>
      <c r="M439" s="80" t="s">
        <v>2247</v>
      </c>
      <c r="O439" s="80" t="s">
        <v>2147</v>
      </c>
      <c r="P439" s="80" t="s">
        <v>2510</v>
      </c>
      <c r="Q439" s="80" t="s">
        <v>4223</v>
      </c>
      <c r="R439" s="80" t="s">
        <v>4225</v>
      </c>
      <c r="S439" s="80" t="s">
        <v>2244</v>
      </c>
      <c r="T439" s="80" t="s">
        <v>2251</v>
      </c>
      <c r="U439" s="80" t="s">
        <v>2929</v>
      </c>
      <c r="V439" s="80" t="s">
        <v>4226</v>
      </c>
      <c r="W439" s="80" t="s">
        <v>2254</v>
      </c>
      <c r="X439" s="80" t="s">
        <v>2412</v>
      </c>
      <c r="AA439" s="80" t="s">
        <v>2256</v>
      </c>
      <c r="AC439" s="80" t="s">
        <v>2513</v>
      </c>
      <c r="AE439" s="80" t="s">
        <v>2258</v>
      </c>
      <c r="AF439" s="80" t="s">
        <v>2272</v>
      </c>
      <c r="AL439" s="80" t="s">
        <v>2261</v>
      </c>
      <c r="AN439" s="80" t="s">
        <v>3398</v>
      </c>
      <c r="AP439" s="80" t="s">
        <v>4055</v>
      </c>
      <c r="AQ439" s="80" t="s">
        <v>4227</v>
      </c>
      <c r="AT439" s="80" t="s">
        <v>2256</v>
      </c>
      <c r="AU439" s="80" t="s">
        <v>4228</v>
      </c>
      <c r="AW439" s="80" t="s">
        <v>2398</v>
      </c>
    </row>
    <row r="440" spans="1:49">
      <c r="AP440" s="80" t="s">
        <v>4119</v>
      </c>
      <c r="AQ440" s="80" t="s">
        <v>4229</v>
      </c>
      <c r="AT440" s="80" t="s">
        <v>2256</v>
      </c>
      <c r="AU440" s="80" t="s">
        <v>4230</v>
      </c>
      <c r="AW440" s="80" t="s">
        <v>3974</v>
      </c>
    </row>
    <row r="441" spans="1:49">
      <c r="AP441" s="80" t="s">
        <v>3971</v>
      </c>
      <c r="AQ441" s="80" t="s">
        <v>4231</v>
      </c>
      <c r="AT441" s="80" t="s">
        <v>2256</v>
      </c>
      <c r="AU441" s="80" t="s">
        <v>4232</v>
      </c>
      <c r="AW441" s="80" t="s">
        <v>2265</v>
      </c>
    </row>
    <row r="442" spans="1:49">
      <c r="A442" s="80" t="s">
        <v>2241</v>
      </c>
      <c r="B442" s="80" t="s">
        <v>4233</v>
      </c>
      <c r="C442" s="80" t="s">
        <v>2147</v>
      </c>
      <c r="D442" s="80" t="s">
        <v>4234</v>
      </c>
      <c r="E442" s="80" t="s">
        <v>2244</v>
      </c>
      <c r="F442" s="80" t="s">
        <v>4235</v>
      </c>
      <c r="J442" s="80" t="s">
        <v>4236</v>
      </c>
      <c r="M442" s="80" t="s">
        <v>2247</v>
      </c>
      <c r="O442" s="80" t="s">
        <v>2147</v>
      </c>
      <c r="P442" s="80" t="s">
        <v>2510</v>
      </c>
      <c r="Q442" s="80" t="s">
        <v>4234</v>
      </c>
      <c r="R442" s="80" t="s">
        <v>4237</v>
      </c>
      <c r="S442" s="80" t="s">
        <v>2244</v>
      </c>
      <c r="T442" s="80" t="s">
        <v>2251</v>
      </c>
      <c r="U442" s="80" t="s">
        <v>4238</v>
      </c>
      <c r="V442" s="80" t="s">
        <v>4239</v>
      </c>
      <c r="W442" s="80" t="s">
        <v>2411</v>
      </c>
      <c r="X442" s="80" t="s">
        <v>2255</v>
      </c>
      <c r="AA442" s="80" t="s">
        <v>2256</v>
      </c>
      <c r="AC442" s="80" t="s">
        <v>2513</v>
      </c>
      <c r="AE442" s="80" t="s">
        <v>2258</v>
      </c>
      <c r="AF442" s="80" t="s">
        <v>2272</v>
      </c>
      <c r="AL442" s="80" t="s">
        <v>2261</v>
      </c>
      <c r="AN442" s="80" t="s">
        <v>4235</v>
      </c>
      <c r="AP442" s="80" t="s">
        <v>4055</v>
      </c>
      <c r="AQ442" s="80" t="s">
        <v>4240</v>
      </c>
      <c r="AT442" s="80" t="s">
        <v>2256</v>
      </c>
      <c r="AU442" s="80" t="s">
        <v>4241</v>
      </c>
      <c r="AW442" s="80" t="s">
        <v>2488</v>
      </c>
    </row>
    <row r="443" spans="1:49">
      <c r="AP443" s="80" t="s">
        <v>4119</v>
      </c>
      <c r="AQ443" s="80" t="s">
        <v>4242</v>
      </c>
      <c r="AT443" s="80" t="s">
        <v>2256</v>
      </c>
      <c r="AU443" s="80" t="s">
        <v>4243</v>
      </c>
      <c r="AW443" s="80" t="s">
        <v>2482</v>
      </c>
    </row>
    <row r="444" spans="1:49">
      <c r="AP444" s="80" t="s">
        <v>4244</v>
      </c>
      <c r="AQ444" s="80" t="s">
        <v>4245</v>
      </c>
      <c r="AT444" s="80" t="s">
        <v>2256</v>
      </c>
      <c r="AU444" s="80" t="s">
        <v>4246</v>
      </c>
      <c r="AW444" s="80" t="s">
        <v>3974</v>
      </c>
    </row>
    <row r="445" spans="1:49">
      <c r="AP445" s="80" t="s">
        <v>3971</v>
      </c>
      <c r="AQ445" s="80" t="s">
        <v>4247</v>
      </c>
      <c r="AT445" s="80" t="s">
        <v>2256</v>
      </c>
      <c r="AU445" s="80" t="s">
        <v>4248</v>
      </c>
      <c r="AW445" s="80" t="s">
        <v>4118</v>
      </c>
    </row>
    <row r="446" spans="1:49">
      <c r="A446" s="80" t="s">
        <v>2241</v>
      </c>
      <c r="B446" s="80" t="s">
        <v>4249</v>
      </c>
      <c r="C446" s="80" t="s">
        <v>2147</v>
      </c>
      <c r="D446" s="80" t="s">
        <v>4250</v>
      </c>
      <c r="E446" s="80" t="s">
        <v>2244</v>
      </c>
      <c r="F446" s="80" t="s">
        <v>4251</v>
      </c>
      <c r="J446" s="80" t="s">
        <v>4252</v>
      </c>
      <c r="M446" s="80" t="s">
        <v>2247</v>
      </c>
      <c r="O446" s="80" t="s">
        <v>2147</v>
      </c>
      <c r="P446" s="80" t="s">
        <v>2510</v>
      </c>
      <c r="Q446" s="80" t="s">
        <v>4250</v>
      </c>
      <c r="R446" s="80" t="s">
        <v>4253</v>
      </c>
      <c r="S446" s="80" t="s">
        <v>2244</v>
      </c>
      <c r="T446" s="80" t="s">
        <v>2251</v>
      </c>
      <c r="U446" s="80" t="s">
        <v>2252</v>
      </c>
      <c r="V446" s="80" t="s">
        <v>4254</v>
      </c>
      <c r="W446" s="80" t="s">
        <v>2324</v>
      </c>
      <c r="X446" s="80" t="s">
        <v>4087</v>
      </c>
      <c r="AA446" s="80" t="s">
        <v>2256</v>
      </c>
      <c r="AC446" s="80" t="s">
        <v>2513</v>
      </c>
      <c r="AE446" s="80" t="s">
        <v>2258</v>
      </c>
      <c r="AF446" s="80" t="s">
        <v>2272</v>
      </c>
      <c r="AL446" s="80" t="s">
        <v>2261</v>
      </c>
      <c r="AN446" s="80" t="s">
        <v>4251</v>
      </c>
      <c r="AP446" s="80" t="s">
        <v>4055</v>
      </c>
      <c r="AQ446" s="80" t="s">
        <v>4255</v>
      </c>
      <c r="AT446" s="80" t="s">
        <v>2256</v>
      </c>
      <c r="AU446" s="80" t="s">
        <v>4256</v>
      </c>
      <c r="AW446" s="80" t="s">
        <v>2398</v>
      </c>
    </row>
    <row r="447" spans="1:49">
      <c r="AP447" s="80" t="s">
        <v>4119</v>
      </c>
      <c r="AQ447" s="80" t="s">
        <v>4257</v>
      </c>
      <c r="AT447" s="80" t="s">
        <v>2256</v>
      </c>
      <c r="AU447" s="80" t="s">
        <v>4258</v>
      </c>
      <c r="AW447" s="80" t="s">
        <v>2373</v>
      </c>
    </row>
    <row r="448" spans="1:49">
      <c r="AP448" s="80" t="s">
        <v>3971</v>
      </c>
      <c r="AQ448" s="80" t="s">
        <v>4259</v>
      </c>
      <c r="AU448" s="80" t="s">
        <v>4260</v>
      </c>
      <c r="AW448" s="80" t="s">
        <v>3974</v>
      </c>
    </row>
    <row r="449" spans="1:49">
      <c r="A449" s="80" t="s">
        <v>2241</v>
      </c>
      <c r="B449" s="80" t="s">
        <v>4261</v>
      </c>
      <c r="C449" s="80" t="s">
        <v>2147</v>
      </c>
      <c r="D449" s="80" t="s">
        <v>4262</v>
      </c>
      <c r="E449" s="80" t="s">
        <v>2244</v>
      </c>
      <c r="F449" s="80" t="s">
        <v>4263</v>
      </c>
      <c r="J449" s="80" t="s">
        <v>4264</v>
      </c>
      <c r="M449" s="80" t="s">
        <v>2247</v>
      </c>
      <c r="O449" s="80" t="s">
        <v>2147</v>
      </c>
      <c r="P449" s="80" t="s">
        <v>2510</v>
      </c>
      <c r="Q449" s="80" t="s">
        <v>4262</v>
      </c>
      <c r="R449" s="80" t="s">
        <v>4265</v>
      </c>
      <c r="S449" s="80" t="s">
        <v>2244</v>
      </c>
      <c r="T449" s="80" t="s">
        <v>2251</v>
      </c>
      <c r="U449" s="80" t="s">
        <v>4266</v>
      </c>
      <c r="V449" s="80" t="s">
        <v>4267</v>
      </c>
      <c r="W449" s="80" t="s">
        <v>2345</v>
      </c>
      <c r="X449" s="80" t="s">
        <v>2291</v>
      </c>
      <c r="AA449" s="80" t="s">
        <v>2256</v>
      </c>
      <c r="AC449" s="80" t="s">
        <v>2513</v>
      </c>
      <c r="AE449" s="80" t="s">
        <v>2258</v>
      </c>
      <c r="AF449" s="80" t="s">
        <v>2259</v>
      </c>
      <c r="AL449" s="80" t="s">
        <v>2261</v>
      </c>
      <c r="AN449" s="80" t="s">
        <v>4263</v>
      </c>
      <c r="AP449" s="80" t="s">
        <v>2666</v>
      </c>
      <c r="AQ449" s="80" t="s">
        <v>4268</v>
      </c>
      <c r="AT449" s="80" t="s">
        <v>2256</v>
      </c>
      <c r="AU449" s="80" t="s">
        <v>4269</v>
      </c>
      <c r="AW449" s="80" t="s">
        <v>2577</v>
      </c>
    </row>
    <row r="450" spans="1:49">
      <c r="AP450" s="80" t="s">
        <v>2657</v>
      </c>
      <c r="AQ450" s="80" t="s">
        <v>4270</v>
      </c>
      <c r="AT450" s="80" t="s">
        <v>2256</v>
      </c>
      <c r="AU450" s="80" t="s">
        <v>4271</v>
      </c>
      <c r="AW450" s="80" t="s">
        <v>2577</v>
      </c>
    </row>
    <row r="451" spans="1:49">
      <c r="A451" s="80" t="s">
        <v>2241</v>
      </c>
      <c r="B451" s="80" t="s">
        <v>4272</v>
      </c>
      <c r="C451" s="80" t="s">
        <v>2147</v>
      </c>
      <c r="D451" s="80" t="s">
        <v>4273</v>
      </c>
      <c r="E451" s="80" t="s">
        <v>2244</v>
      </c>
      <c r="F451" s="80" t="s">
        <v>4274</v>
      </c>
      <c r="J451" s="80" t="s">
        <v>4275</v>
      </c>
      <c r="M451" s="80" t="s">
        <v>2247</v>
      </c>
      <c r="O451" s="80" t="s">
        <v>2147</v>
      </c>
      <c r="P451" s="80" t="s">
        <v>2510</v>
      </c>
      <c r="Q451" s="80" t="s">
        <v>4273</v>
      </c>
      <c r="R451" s="80" t="s">
        <v>4276</v>
      </c>
      <c r="S451" s="80" t="s">
        <v>2244</v>
      </c>
      <c r="T451" s="80" t="s">
        <v>2251</v>
      </c>
      <c r="U451" s="80" t="s">
        <v>2241</v>
      </c>
      <c r="V451" s="80" t="s">
        <v>4277</v>
      </c>
      <c r="W451" s="80" t="s">
        <v>2411</v>
      </c>
      <c r="X451" s="80" t="s">
        <v>2478</v>
      </c>
      <c r="AA451" s="80" t="s">
        <v>2256</v>
      </c>
      <c r="AC451" s="80" t="s">
        <v>2513</v>
      </c>
      <c r="AE451" s="80" t="s">
        <v>2258</v>
      </c>
      <c r="AF451" s="80" t="s">
        <v>2272</v>
      </c>
      <c r="AL451" s="80" t="s">
        <v>2261</v>
      </c>
      <c r="AN451" s="80" t="s">
        <v>4274</v>
      </c>
      <c r="AP451" s="80" t="s">
        <v>2657</v>
      </c>
      <c r="AQ451" s="80" t="s">
        <v>4278</v>
      </c>
      <c r="AT451" s="80" t="s">
        <v>2256</v>
      </c>
      <c r="AU451" s="80" t="s">
        <v>4279</v>
      </c>
      <c r="AW451" s="80" t="s">
        <v>2642</v>
      </c>
    </row>
    <row r="452" spans="1:49">
      <c r="AP452" s="80" t="s">
        <v>4055</v>
      </c>
      <c r="AQ452" s="80" t="s">
        <v>4280</v>
      </c>
      <c r="AT452" s="80" t="s">
        <v>2256</v>
      </c>
      <c r="AU452" s="80" t="s">
        <v>4281</v>
      </c>
      <c r="AW452" s="80" t="s">
        <v>2398</v>
      </c>
    </row>
    <row r="453" spans="1:49">
      <c r="AP453" s="80" t="s">
        <v>2666</v>
      </c>
      <c r="AQ453" s="80" t="s">
        <v>4282</v>
      </c>
      <c r="AT453" s="80" t="s">
        <v>2256</v>
      </c>
      <c r="AU453" s="80" t="s">
        <v>4283</v>
      </c>
      <c r="AW453" s="80" t="s">
        <v>2642</v>
      </c>
    </row>
    <row r="454" spans="1:49">
      <c r="A454" s="80" t="s">
        <v>2241</v>
      </c>
      <c r="B454" s="80" t="s">
        <v>4284</v>
      </c>
      <c r="C454" s="80" t="s">
        <v>2147</v>
      </c>
      <c r="D454" s="80" t="s">
        <v>4285</v>
      </c>
      <c r="E454" s="80" t="s">
        <v>2244</v>
      </c>
      <c r="F454" s="80" t="s">
        <v>4286</v>
      </c>
      <c r="J454" s="80" t="s">
        <v>4287</v>
      </c>
      <c r="M454" s="80" t="s">
        <v>2247</v>
      </c>
      <c r="O454" s="80" t="s">
        <v>2147</v>
      </c>
      <c r="P454" s="80" t="s">
        <v>2510</v>
      </c>
      <c r="Q454" s="80" t="s">
        <v>4285</v>
      </c>
      <c r="R454" s="80" t="s">
        <v>4288</v>
      </c>
      <c r="S454" s="80" t="s">
        <v>2244</v>
      </c>
      <c r="T454" s="80" t="s">
        <v>2251</v>
      </c>
      <c r="U454" s="80" t="s">
        <v>2446</v>
      </c>
      <c r="V454" s="80" t="s">
        <v>4289</v>
      </c>
      <c r="W454" s="80" t="s">
        <v>2311</v>
      </c>
      <c r="X454" s="80" t="s">
        <v>2271</v>
      </c>
      <c r="AA454" s="80" t="s">
        <v>2256</v>
      </c>
      <c r="AC454" s="80" t="s">
        <v>2513</v>
      </c>
      <c r="AE454" s="80" t="s">
        <v>2258</v>
      </c>
      <c r="AF454" s="80" t="s">
        <v>2272</v>
      </c>
      <c r="AL454" s="80" t="s">
        <v>2261</v>
      </c>
      <c r="AN454" s="80" t="s">
        <v>4286</v>
      </c>
      <c r="AP454" s="80" t="s">
        <v>2666</v>
      </c>
      <c r="AQ454" s="80" t="s">
        <v>4290</v>
      </c>
      <c r="AT454" s="80" t="s">
        <v>2256</v>
      </c>
      <c r="AU454" s="80" t="s">
        <v>4291</v>
      </c>
      <c r="AW454" s="80" t="s">
        <v>2577</v>
      </c>
    </row>
    <row r="455" spans="1:49">
      <c r="AP455" s="80" t="s">
        <v>2657</v>
      </c>
      <c r="AQ455" s="80" t="s">
        <v>4292</v>
      </c>
      <c r="AT455" s="80" t="s">
        <v>2256</v>
      </c>
      <c r="AU455" s="80" t="s">
        <v>4293</v>
      </c>
      <c r="AW455" s="80" t="s">
        <v>2642</v>
      </c>
    </row>
    <row r="456" spans="1:49">
      <c r="AP456" s="80" t="s">
        <v>4055</v>
      </c>
      <c r="AQ456" s="80" t="s">
        <v>4294</v>
      </c>
      <c r="AT456" s="80" t="s">
        <v>2256</v>
      </c>
      <c r="AU456" s="80" t="s">
        <v>4295</v>
      </c>
      <c r="AW456" s="80" t="s">
        <v>2398</v>
      </c>
    </row>
    <row r="457" spans="1:49">
      <c r="A457" s="80" t="s">
        <v>2241</v>
      </c>
      <c r="B457" s="80" t="s">
        <v>4296</v>
      </c>
      <c r="C457" s="80" t="s">
        <v>2147</v>
      </c>
      <c r="D457" s="80" t="s">
        <v>4297</v>
      </c>
      <c r="E457" s="80" t="s">
        <v>2244</v>
      </c>
      <c r="F457" s="80" t="s">
        <v>4298</v>
      </c>
      <c r="J457" s="80" t="s">
        <v>4299</v>
      </c>
      <c r="M457" s="80" t="s">
        <v>2247</v>
      </c>
      <c r="O457" s="80" t="s">
        <v>2147</v>
      </c>
      <c r="P457" s="80" t="s">
        <v>2510</v>
      </c>
      <c r="Q457" s="80" t="s">
        <v>4297</v>
      </c>
      <c r="R457" s="80" t="s">
        <v>4300</v>
      </c>
      <c r="S457" s="80" t="s">
        <v>2244</v>
      </c>
      <c r="T457" s="80" t="s">
        <v>2251</v>
      </c>
      <c r="U457" s="80" t="s">
        <v>2252</v>
      </c>
      <c r="V457" s="80" t="s">
        <v>4301</v>
      </c>
      <c r="W457" s="80" t="s">
        <v>3176</v>
      </c>
      <c r="X457" s="80" t="s">
        <v>2271</v>
      </c>
      <c r="AA457" s="80" t="s">
        <v>2256</v>
      </c>
      <c r="AC457" s="80" t="s">
        <v>2513</v>
      </c>
      <c r="AE457" s="80" t="s">
        <v>2258</v>
      </c>
      <c r="AF457" s="80" t="s">
        <v>2272</v>
      </c>
      <c r="AL457" s="80" t="s">
        <v>2261</v>
      </c>
      <c r="AN457" s="80" t="s">
        <v>4298</v>
      </c>
      <c r="AP457" s="80" t="s">
        <v>4055</v>
      </c>
      <c r="AQ457" s="80" t="s">
        <v>4302</v>
      </c>
      <c r="AT457" s="80" t="s">
        <v>2256</v>
      </c>
      <c r="AU457" s="80" t="s">
        <v>4303</v>
      </c>
      <c r="AW457" s="80" t="s">
        <v>2398</v>
      </c>
    </row>
    <row r="458" spans="1:49">
      <c r="AP458" s="80" t="s">
        <v>2666</v>
      </c>
      <c r="AQ458" s="80" t="s">
        <v>4304</v>
      </c>
      <c r="AT458" s="80" t="s">
        <v>2256</v>
      </c>
      <c r="AU458" s="80" t="s">
        <v>4305</v>
      </c>
      <c r="AW458" s="80" t="s">
        <v>2577</v>
      </c>
    </row>
    <row r="459" spans="1:49">
      <c r="AP459" s="80" t="s">
        <v>2657</v>
      </c>
      <c r="AQ459" s="80" t="s">
        <v>4306</v>
      </c>
      <c r="AT459" s="80" t="s">
        <v>2256</v>
      </c>
      <c r="AU459" s="80" t="s">
        <v>4307</v>
      </c>
      <c r="AW459" s="80" t="s">
        <v>2265</v>
      </c>
    </row>
    <row r="460" spans="1:49">
      <c r="A460" s="80" t="s">
        <v>2241</v>
      </c>
      <c r="B460" s="80" t="s">
        <v>4308</v>
      </c>
      <c r="C460" s="80" t="s">
        <v>2147</v>
      </c>
      <c r="D460" s="80" t="s">
        <v>4309</v>
      </c>
      <c r="E460" s="80" t="s">
        <v>2244</v>
      </c>
      <c r="F460" s="80" t="s">
        <v>4310</v>
      </c>
      <c r="J460" s="80" t="s">
        <v>4311</v>
      </c>
      <c r="M460" s="80" t="s">
        <v>2247</v>
      </c>
      <c r="O460" s="80" t="s">
        <v>2147</v>
      </c>
      <c r="P460" s="80" t="s">
        <v>2510</v>
      </c>
      <c r="Q460" s="80" t="s">
        <v>4309</v>
      </c>
      <c r="R460" s="80" t="s">
        <v>4312</v>
      </c>
      <c r="S460" s="80" t="s">
        <v>2244</v>
      </c>
      <c r="T460" s="80" t="s">
        <v>2251</v>
      </c>
      <c r="U460" s="80" t="s">
        <v>2241</v>
      </c>
      <c r="V460" s="80" t="s">
        <v>4313</v>
      </c>
      <c r="W460" s="80" t="s">
        <v>2270</v>
      </c>
      <c r="X460" s="80" t="s">
        <v>2283</v>
      </c>
      <c r="AA460" s="80" t="s">
        <v>2256</v>
      </c>
      <c r="AC460" s="80" t="s">
        <v>2513</v>
      </c>
      <c r="AE460" s="80" t="s">
        <v>2258</v>
      </c>
      <c r="AF460" s="80" t="s">
        <v>2272</v>
      </c>
      <c r="AL460" s="80" t="s">
        <v>2261</v>
      </c>
      <c r="AN460" s="80" t="s">
        <v>4310</v>
      </c>
      <c r="AP460" s="80" t="s">
        <v>4055</v>
      </c>
      <c r="AQ460" s="80" t="s">
        <v>4314</v>
      </c>
      <c r="AT460" s="80" t="s">
        <v>2256</v>
      </c>
      <c r="AU460" s="80" t="s">
        <v>4315</v>
      </c>
      <c r="AW460" s="80" t="s">
        <v>2398</v>
      </c>
    </row>
    <row r="461" spans="1:49">
      <c r="AP461" s="80" t="s">
        <v>2666</v>
      </c>
      <c r="AQ461" s="80" t="s">
        <v>4316</v>
      </c>
      <c r="AT461" s="80" t="s">
        <v>2256</v>
      </c>
      <c r="AU461" s="80" t="s">
        <v>4317</v>
      </c>
      <c r="AW461" s="80" t="s">
        <v>2577</v>
      </c>
    </row>
    <row r="462" spans="1:49">
      <c r="AP462" s="80" t="s">
        <v>2657</v>
      </c>
      <c r="AQ462" s="80" t="s">
        <v>4318</v>
      </c>
      <c r="AT462" s="80" t="s">
        <v>2256</v>
      </c>
      <c r="AU462" s="80" t="s">
        <v>4319</v>
      </c>
      <c r="AW462" s="80" t="s">
        <v>2265</v>
      </c>
    </row>
    <row r="463" spans="1:49">
      <c r="A463" s="80" t="s">
        <v>2241</v>
      </c>
      <c r="B463" s="80" t="s">
        <v>4320</v>
      </c>
      <c r="C463" s="80" t="s">
        <v>2147</v>
      </c>
      <c r="D463" s="80" t="s">
        <v>4321</v>
      </c>
      <c r="E463" s="80" t="s">
        <v>2244</v>
      </c>
      <c r="F463" s="80" t="s">
        <v>4322</v>
      </c>
      <c r="J463" s="80" t="s">
        <v>4323</v>
      </c>
      <c r="M463" s="80" t="s">
        <v>2247</v>
      </c>
      <c r="O463" s="80" t="s">
        <v>2147</v>
      </c>
      <c r="P463" s="80" t="s">
        <v>2510</v>
      </c>
      <c r="Q463" s="80" t="s">
        <v>4321</v>
      </c>
      <c r="R463" s="80" t="s">
        <v>4324</v>
      </c>
      <c r="S463" s="80" t="s">
        <v>2244</v>
      </c>
      <c r="T463" s="80" t="s">
        <v>2251</v>
      </c>
      <c r="U463" s="80" t="s">
        <v>2252</v>
      </c>
      <c r="V463" s="80" t="s">
        <v>4325</v>
      </c>
      <c r="W463" s="80" t="s">
        <v>2354</v>
      </c>
      <c r="X463" s="80" t="s">
        <v>2291</v>
      </c>
      <c r="AA463" s="80" t="s">
        <v>2256</v>
      </c>
      <c r="AC463" s="80" t="s">
        <v>2513</v>
      </c>
      <c r="AE463" s="80" t="s">
        <v>2258</v>
      </c>
      <c r="AF463" s="80" t="s">
        <v>2272</v>
      </c>
      <c r="AL463" s="80" t="s">
        <v>2261</v>
      </c>
      <c r="AN463" s="80" t="s">
        <v>4322</v>
      </c>
      <c r="AP463" s="80" t="s">
        <v>2657</v>
      </c>
      <c r="AQ463" s="80" t="s">
        <v>4326</v>
      </c>
      <c r="AT463" s="80" t="s">
        <v>2256</v>
      </c>
      <c r="AU463" s="80" t="s">
        <v>4327</v>
      </c>
      <c r="AW463" s="80" t="s">
        <v>2642</v>
      </c>
    </row>
    <row r="464" spans="1:49">
      <c r="AP464" s="80" t="s">
        <v>2666</v>
      </c>
      <c r="AQ464" s="80" t="s">
        <v>4328</v>
      </c>
      <c r="AT464" s="80" t="s">
        <v>2256</v>
      </c>
      <c r="AU464" s="80" t="s">
        <v>4329</v>
      </c>
      <c r="AW464" s="80" t="s">
        <v>2577</v>
      </c>
    </row>
    <row r="465" spans="1:49">
      <c r="A465" s="80" t="s">
        <v>2241</v>
      </c>
      <c r="B465" s="80" t="s">
        <v>4330</v>
      </c>
      <c r="C465" s="80" t="s">
        <v>2147</v>
      </c>
      <c r="D465" s="80" t="s">
        <v>4331</v>
      </c>
      <c r="E465" s="80" t="s">
        <v>2244</v>
      </c>
      <c r="F465" s="80" t="s">
        <v>4332</v>
      </c>
      <c r="J465" s="80" t="s">
        <v>4333</v>
      </c>
      <c r="M465" s="80" t="s">
        <v>2247</v>
      </c>
      <c r="O465" s="80" t="s">
        <v>2147</v>
      </c>
      <c r="P465" s="80" t="s">
        <v>2510</v>
      </c>
      <c r="Q465" s="80" t="s">
        <v>4331</v>
      </c>
      <c r="R465" s="80" t="s">
        <v>4334</v>
      </c>
      <c r="S465" s="80" t="s">
        <v>2244</v>
      </c>
      <c r="T465" s="80" t="s">
        <v>2251</v>
      </c>
      <c r="U465" s="80" t="s">
        <v>2241</v>
      </c>
      <c r="V465" s="80" t="s">
        <v>4335</v>
      </c>
      <c r="W465" s="80" t="s">
        <v>2270</v>
      </c>
      <c r="X465" s="80" t="s">
        <v>2291</v>
      </c>
      <c r="AA465" s="80" t="s">
        <v>2256</v>
      </c>
      <c r="AC465" s="80" t="s">
        <v>2513</v>
      </c>
      <c r="AE465" s="80" t="s">
        <v>2258</v>
      </c>
      <c r="AF465" s="80" t="s">
        <v>2272</v>
      </c>
      <c r="AL465" s="80" t="s">
        <v>2261</v>
      </c>
      <c r="AN465" s="80" t="s">
        <v>4332</v>
      </c>
      <c r="AP465" s="80" t="s">
        <v>3971</v>
      </c>
      <c r="AQ465" s="80" t="s">
        <v>4336</v>
      </c>
      <c r="AT465" s="80" t="s">
        <v>2256</v>
      </c>
      <c r="AU465" s="80" t="s">
        <v>4337</v>
      </c>
      <c r="AW465" s="80" t="s">
        <v>3974</v>
      </c>
    </row>
    <row r="466" spans="1:49">
      <c r="AP466" s="80" t="s">
        <v>4055</v>
      </c>
      <c r="AQ466" s="80" t="s">
        <v>4338</v>
      </c>
      <c r="AT466" s="80" t="s">
        <v>2256</v>
      </c>
      <c r="AU466" s="80" t="s">
        <v>4339</v>
      </c>
      <c r="AW466" s="80" t="s">
        <v>2398</v>
      </c>
    </row>
    <row r="467" spans="1:49">
      <c r="AP467" s="80" t="s">
        <v>4119</v>
      </c>
      <c r="AQ467" s="80" t="s">
        <v>4340</v>
      </c>
      <c r="AT467" s="80" t="s">
        <v>2256</v>
      </c>
      <c r="AU467" s="80" t="s">
        <v>4341</v>
      </c>
      <c r="AW467" s="80" t="s">
        <v>2373</v>
      </c>
    </row>
    <row r="468" spans="1:49">
      <c r="A468" s="80" t="s">
        <v>2241</v>
      </c>
      <c r="B468" s="80" t="s">
        <v>4342</v>
      </c>
      <c r="C468" s="80" t="s">
        <v>2147</v>
      </c>
      <c r="D468" s="80" t="s">
        <v>4343</v>
      </c>
      <c r="E468" s="80" t="s">
        <v>2244</v>
      </c>
      <c r="F468" s="80" t="s">
        <v>4344</v>
      </c>
      <c r="J468" s="80" t="s">
        <v>4345</v>
      </c>
      <c r="M468" s="80" t="s">
        <v>2247</v>
      </c>
      <c r="O468" s="80" t="s">
        <v>2147</v>
      </c>
      <c r="P468" s="80" t="s">
        <v>2510</v>
      </c>
      <c r="Q468" s="80" t="s">
        <v>4343</v>
      </c>
      <c r="R468" s="80" t="s">
        <v>4346</v>
      </c>
      <c r="S468" s="80" t="s">
        <v>2244</v>
      </c>
      <c r="T468" s="80" t="s">
        <v>2251</v>
      </c>
      <c r="U468" s="80" t="s">
        <v>2252</v>
      </c>
      <c r="V468" s="80" t="s">
        <v>4347</v>
      </c>
      <c r="W468" s="80" t="s">
        <v>2270</v>
      </c>
      <c r="X468" s="80" t="s">
        <v>2291</v>
      </c>
      <c r="AA468" s="80" t="s">
        <v>2256</v>
      </c>
      <c r="AC468" s="80" t="s">
        <v>2513</v>
      </c>
      <c r="AE468" s="80" t="s">
        <v>2258</v>
      </c>
      <c r="AF468" s="80" t="s">
        <v>2272</v>
      </c>
      <c r="AL468" s="80" t="s">
        <v>2261</v>
      </c>
      <c r="AN468" s="80" t="s">
        <v>4344</v>
      </c>
      <c r="AP468" s="80" t="s">
        <v>2657</v>
      </c>
      <c r="AQ468" s="80" t="s">
        <v>4348</v>
      </c>
      <c r="AT468" s="80" t="s">
        <v>2256</v>
      </c>
      <c r="AU468" s="80" t="s">
        <v>4349</v>
      </c>
      <c r="AW468" s="80" t="s">
        <v>2265</v>
      </c>
    </row>
    <row r="469" spans="1:49">
      <c r="AP469" s="80" t="s">
        <v>4055</v>
      </c>
      <c r="AQ469" s="80" t="s">
        <v>4350</v>
      </c>
      <c r="AT469" s="80" t="s">
        <v>2256</v>
      </c>
      <c r="AU469" s="80" t="s">
        <v>4351</v>
      </c>
      <c r="AW469" s="80" t="s">
        <v>2398</v>
      </c>
    </row>
    <row r="470" spans="1:49">
      <c r="AP470" s="80" t="s">
        <v>2666</v>
      </c>
      <c r="AQ470" s="80" t="s">
        <v>4352</v>
      </c>
      <c r="AT470" s="80" t="s">
        <v>2256</v>
      </c>
      <c r="AU470" s="80" t="s">
        <v>4353</v>
      </c>
      <c r="AW470" s="80" t="s">
        <v>2577</v>
      </c>
    </row>
    <row r="471" spans="1:49">
      <c r="A471" s="80" t="s">
        <v>2241</v>
      </c>
      <c r="B471" s="80" t="s">
        <v>4354</v>
      </c>
      <c r="C471" s="80" t="s">
        <v>2147</v>
      </c>
      <c r="D471" s="80" t="s">
        <v>4355</v>
      </c>
      <c r="E471" s="80" t="s">
        <v>2244</v>
      </c>
      <c r="F471" s="80" t="s">
        <v>4356</v>
      </c>
      <c r="J471" s="80" t="s">
        <v>4357</v>
      </c>
      <c r="M471" s="80" t="s">
        <v>2247</v>
      </c>
      <c r="O471" s="80" t="s">
        <v>2147</v>
      </c>
      <c r="P471" s="80" t="s">
        <v>2510</v>
      </c>
      <c r="Q471" s="80" t="s">
        <v>4355</v>
      </c>
      <c r="R471" s="80" t="s">
        <v>4358</v>
      </c>
      <c r="S471" s="80" t="s">
        <v>2244</v>
      </c>
      <c r="T471" s="80" t="s">
        <v>2251</v>
      </c>
      <c r="U471" s="80" t="s">
        <v>2252</v>
      </c>
      <c r="V471" s="80" t="s">
        <v>4359</v>
      </c>
      <c r="W471" s="80" t="s">
        <v>2522</v>
      </c>
      <c r="X471" s="80" t="s">
        <v>2255</v>
      </c>
      <c r="AA471" s="80" t="s">
        <v>2256</v>
      </c>
      <c r="AC471" s="80" t="s">
        <v>2513</v>
      </c>
      <c r="AE471" s="80" t="s">
        <v>2258</v>
      </c>
      <c r="AF471" s="80" t="s">
        <v>2272</v>
      </c>
      <c r="AL471" s="80" t="s">
        <v>2261</v>
      </c>
      <c r="AN471" s="80" t="s">
        <v>4356</v>
      </c>
      <c r="AP471" s="80" t="s">
        <v>2666</v>
      </c>
      <c r="AQ471" s="80" t="s">
        <v>4360</v>
      </c>
      <c r="AT471" s="80" t="s">
        <v>2256</v>
      </c>
      <c r="AU471" s="80" t="s">
        <v>4361</v>
      </c>
      <c r="AW471" s="80" t="s">
        <v>2577</v>
      </c>
    </row>
    <row r="472" spans="1:49">
      <c r="AP472" s="80" t="s">
        <v>2657</v>
      </c>
      <c r="AQ472" s="80" t="s">
        <v>4362</v>
      </c>
      <c r="AU472" s="80" t="s">
        <v>4363</v>
      </c>
    </row>
    <row r="473" spans="1:49">
      <c r="A473" s="80" t="s">
        <v>2241</v>
      </c>
      <c r="B473" s="80" t="s">
        <v>4364</v>
      </c>
      <c r="C473" s="80" t="s">
        <v>2147</v>
      </c>
      <c r="D473" s="80" t="s">
        <v>4365</v>
      </c>
      <c r="E473" s="80" t="s">
        <v>2244</v>
      </c>
      <c r="F473" s="80" t="s">
        <v>4366</v>
      </c>
      <c r="J473" s="80" t="s">
        <v>4367</v>
      </c>
      <c r="M473" s="80" t="s">
        <v>2247</v>
      </c>
      <c r="O473" s="80" t="s">
        <v>2147</v>
      </c>
      <c r="P473" s="80" t="s">
        <v>2510</v>
      </c>
      <c r="Q473" s="80" t="s">
        <v>4365</v>
      </c>
      <c r="R473" s="80" t="s">
        <v>4368</v>
      </c>
      <c r="S473" s="80" t="s">
        <v>2244</v>
      </c>
      <c r="T473" s="80" t="s">
        <v>2251</v>
      </c>
      <c r="U473" s="80" t="s">
        <v>2241</v>
      </c>
      <c r="V473" s="80" t="s">
        <v>4369</v>
      </c>
      <c r="W473" s="80" t="s">
        <v>2324</v>
      </c>
      <c r="X473" s="80" t="s">
        <v>2610</v>
      </c>
      <c r="AA473" s="80" t="s">
        <v>2256</v>
      </c>
      <c r="AC473" s="80" t="s">
        <v>2513</v>
      </c>
      <c r="AE473" s="80" t="s">
        <v>2258</v>
      </c>
      <c r="AF473" s="80" t="s">
        <v>2272</v>
      </c>
      <c r="AL473" s="80" t="s">
        <v>2261</v>
      </c>
      <c r="AN473" s="80" t="s">
        <v>4366</v>
      </c>
      <c r="AP473" s="80" t="s">
        <v>2657</v>
      </c>
      <c r="AQ473" s="80" t="s">
        <v>4370</v>
      </c>
      <c r="AT473" s="80" t="s">
        <v>2256</v>
      </c>
      <c r="AU473" s="80" t="s">
        <v>4371</v>
      </c>
      <c r="AW473" s="80" t="s">
        <v>2642</v>
      </c>
    </row>
    <row r="474" spans="1:49">
      <c r="AP474" s="80" t="s">
        <v>2666</v>
      </c>
      <c r="AQ474" s="80" t="s">
        <v>4372</v>
      </c>
      <c r="AT474" s="80" t="s">
        <v>2256</v>
      </c>
      <c r="AU474" s="80" t="s">
        <v>4373</v>
      </c>
      <c r="AW474" s="80" t="s">
        <v>2577</v>
      </c>
    </row>
    <row r="475" spans="1:49">
      <c r="AP475" s="80" t="s">
        <v>4055</v>
      </c>
      <c r="AQ475" s="80" t="s">
        <v>4374</v>
      </c>
      <c r="AT475" s="80" t="s">
        <v>2256</v>
      </c>
      <c r="AU475" s="80" t="s">
        <v>4375</v>
      </c>
      <c r="AW475" s="80" t="s">
        <v>2398</v>
      </c>
    </row>
    <row r="476" spans="1:49">
      <c r="AP476" s="80" t="s">
        <v>4106</v>
      </c>
      <c r="AQ476" s="80" t="s">
        <v>4376</v>
      </c>
      <c r="AT476" s="80" t="s">
        <v>2256</v>
      </c>
      <c r="AU476" s="80" t="s">
        <v>4377</v>
      </c>
      <c r="AW476" s="80" t="s">
        <v>2577</v>
      </c>
    </row>
    <row r="477" spans="1:49">
      <c r="A477" s="80" t="s">
        <v>2241</v>
      </c>
      <c r="B477" s="80" t="s">
        <v>4378</v>
      </c>
      <c r="C477" s="80" t="s">
        <v>2147</v>
      </c>
      <c r="D477" s="80" t="s">
        <v>4379</v>
      </c>
      <c r="E477" s="80" t="s">
        <v>2244</v>
      </c>
      <c r="F477" s="80" t="s">
        <v>4380</v>
      </c>
      <c r="J477" s="80" t="s">
        <v>4381</v>
      </c>
      <c r="M477" s="80" t="s">
        <v>2247</v>
      </c>
      <c r="O477" s="80" t="s">
        <v>2147</v>
      </c>
      <c r="P477" s="80" t="s">
        <v>2510</v>
      </c>
      <c r="Q477" s="80" t="s">
        <v>4379</v>
      </c>
      <c r="R477" s="80" t="s">
        <v>4382</v>
      </c>
      <c r="S477" s="80" t="s">
        <v>2244</v>
      </c>
      <c r="T477" s="80" t="s">
        <v>2251</v>
      </c>
      <c r="U477" s="80" t="s">
        <v>2446</v>
      </c>
      <c r="V477" s="80" t="s">
        <v>4383</v>
      </c>
      <c r="W477" s="80" t="s">
        <v>2699</v>
      </c>
      <c r="X477" s="80" t="s">
        <v>2271</v>
      </c>
      <c r="AA477" s="80" t="s">
        <v>2256</v>
      </c>
      <c r="AC477" s="80" t="s">
        <v>2513</v>
      </c>
      <c r="AE477" s="80" t="s">
        <v>2258</v>
      </c>
      <c r="AF477" s="80" t="s">
        <v>2272</v>
      </c>
      <c r="AL477" s="80" t="s">
        <v>2261</v>
      </c>
      <c r="AN477" s="80" t="s">
        <v>4380</v>
      </c>
      <c r="AP477" s="80" t="s">
        <v>4055</v>
      </c>
      <c r="AQ477" s="80" t="s">
        <v>4384</v>
      </c>
      <c r="AT477" s="80" t="s">
        <v>2256</v>
      </c>
      <c r="AU477" s="80" t="s">
        <v>4385</v>
      </c>
      <c r="AW477" s="80" t="s">
        <v>2398</v>
      </c>
    </row>
    <row r="478" spans="1:49">
      <c r="AP478" s="80" t="s">
        <v>2666</v>
      </c>
      <c r="AQ478" s="80" t="s">
        <v>4386</v>
      </c>
      <c r="AT478" s="80" t="s">
        <v>2256</v>
      </c>
      <c r="AU478" s="80" t="s">
        <v>4387</v>
      </c>
      <c r="AW478" s="80" t="s">
        <v>2642</v>
      </c>
    </row>
    <row r="479" spans="1:49">
      <c r="AP479" s="80" t="s">
        <v>2657</v>
      </c>
      <c r="AQ479" s="80" t="s">
        <v>4388</v>
      </c>
      <c r="AT479" s="80" t="s">
        <v>2256</v>
      </c>
      <c r="AU479" s="80" t="s">
        <v>4389</v>
      </c>
      <c r="AW479" s="80" t="s">
        <v>2642</v>
      </c>
    </row>
    <row r="480" spans="1:49">
      <c r="A480" s="80" t="s">
        <v>2241</v>
      </c>
      <c r="B480" s="80" t="s">
        <v>4390</v>
      </c>
      <c r="C480" s="80" t="s">
        <v>2147</v>
      </c>
      <c r="D480" s="80" t="s">
        <v>4391</v>
      </c>
      <c r="E480" s="80" t="s">
        <v>2244</v>
      </c>
      <c r="F480" s="80" t="s">
        <v>4392</v>
      </c>
      <c r="J480" s="80" t="s">
        <v>4393</v>
      </c>
      <c r="M480" s="80" t="s">
        <v>2247</v>
      </c>
      <c r="O480" s="80" t="s">
        <v>2147</v>
      </c>
      <c r="P480" s="80" t="s">
        <v>2510</v>
      </c>
      <c r="Q480" s="80" t="s">
        <v>4391</v>
      </c>
      <c r="R480" s="80" t="s">
        <v>4394</v>
      </c>
      <c r="S480" s="80" t="s">
        <v>2244</v>
      </c>
      <c r="T480" s="80" t="s">
        <v>2251</v>
      </c>
      <c r="U480" s="80" t="s">
        <v>4395</v>
      </c>
      <c r="V480" s="80" t="s">
        <v>4396</v>
      </c>
      <c r="W480" s="80" t="s">
        <v>2324</v>
      </c>
      <c r="X480" s="80" t="s">
        <v>2412</v>
      </c>
      <c r="AA480" s="80" t="s">
        <v>2256</v>
      </c>
      <c r="AC480" s="80" t="s">
        <v>2513</v>
      </c>
      <c r="AE480" s="80" t="s">
        <v>2258</v>
      </c>
      <c r="AF480" s="80" t="s">
        <v>2272</v>
      </c>
      <c r="AI480" s="80" t="s">
        <v>4050</v>
      </c>
      <c r="AL480" s="80" t="s">
        <v>2261</v>
      </c>
      <c r="AN480" s="80" t="s">
        <v>4392</v>
      </c>
      <c r="AP480" s="80" t="s">
        <v>4055</v>
      </c>
      <c r="AQ480" s="80" t="s">
        <v>4397</v>
      </c>
      <c r="AT480" s="80" t="s">
        <v>2256</v>
      </c>
      <c r="AU480" s="80" t="s">
        <v>4398</v>
      </c>
      <c r="AW480" s="80" t="s">
        <v>2398</v>
      </c>
    </row>
    <row r="481" spans="1:49">
      <c r="AP481" s="80" t="s">
        <v>2666</v>
      </c>
      <c r="AQ481" s="80" t="s">
        <v>4399</v>
      </c>
      <c r="AT481" s="80" t="s">
        <v>2256</v>
      </c>
      <c r="AU481" s="80" t="s">
        <v>4400</v>
      </c>
      <c r="AW481" s="80" t="s">
        <v>2642</v>
      </c>
    </row>
    <row r="482" spans="1:49">
      <c r="AP482" s="80" t="s">
        <v>2657</v>
      </c>
      <c r="AQ482" s="80" t="s">
        <v>4401</v>
      </c>
      <c r="AT482" s="80" t="s">
        <v>2256</v>
      </c>
      <c r="AU482" s="80" t="s">
        <v>4402</v>
      </c>
      <c r="AW482" s="80" t="s">
        <v>2642</v>
      </c>
    </row>
    <row r="483" spans="1:49">
      <c r="A483" s="80" t="s">
        <v>2241</v>
      </c>
      <c r="B483" s="80" t="s">
        <v>4403</v>
      </c>
      <c r="C483" s="80" t="s">
        <v>2147</v>
      </c>
      <c r="D483" s="80" t="s">
        <v>4404</v>
      </c>
      <c r="E483" s="80" t="s">
        <v>2244</v>
      </c>
      <c r="F483" s="80" t="s">
        <v>4392</v>
      </c>
      <c r="J483" s="80" t="s">
        <v>4405</v>
      </c>
      <c r="M483" s="80" t="s">
        <v>2247</v>
      </c>
      <c r="O483" s="80" t="s">
        <v>2147</v>
      </c>
      <c r="P483" s="80" t="s">
        <v>2510</v>
      </c>
      <c r="Q483" s="80" t="s">
        <v>4404</v>
      </c>
      <c r="R483" s="80" t="s">
        <v>4406</v>
      </c>
      <c r="S483" s="80" t="s">
        <v>2244</v>
      </c>
      <c r="T483" s="80" t="s">
        <v>2251</v>
      </c>
      <c r="U483" s="80" t="s">
        <v>2446</v>
      </c>
      <c r="V483" s="80" t="s">
        <v>4407</v>
      </c>
      <c r="W483" s="80" t="s">
        <v>4165</v>
      </c>
      <c r="X483" s="80" t="s">
        <v>2412</v>
      </c>
      <c r="AA483" s="80" t="s">
        <v>2256</v>
      </c>
      <c r="AC483" s="80" t="s">
        <v>2513</v>
      </c>
      <c r="AE483" s="80" t="s">
        <v>2258</v>
      </c>
      <c r="AF483" s="80" t="s">
        <v>2272</v>
      </c>
      <c r="AI483" s="80" t="s">
        <v>4050</v>
      </c>
      <c r="AL483" s="80" t="s">
        <v>2261</v>
      </c>
      <c r="AN483" s="80" t="s">
        <v>4392</v>
      </c>
      <c r="AP483" s="80" t="s">
        <v>4055</v>
      </c>
      <c r="AQ483" s="80" t="s">
        <v>4408</v>
      </c>
      <c r="AT483" s="80" t="s">
        <v>2256</v>
      </c>
      <c r="AU483" s="80" t="s">
        <v>4409</v>
      </c>
      <c r="AW483" s="80" t="s">
        <v>2398</v>
      </c>
    </row>
    <row r="484" spans="1:49">
      <c r="AP484" s="80" t="s">
        <v>2666</v>
      </c>
      <c r="AQ484" s="80" t="s">
        <v>4410</v>
      </c>
      <c r="AT484" s="80" t="s">
        <v>2256</v>
      </c>
      <c r="AU484" s="80" t="s">
        <v>4411</v>
      </c>
      <c r="AW484" s="80" t="s">
        <v>2642</v>
      </c>
    </row>
    <row r="485" spans="1:49">
      <c r="AP485" s="80" t="s">
        <v>2657</v>
      </c>
      <c r="AQ485" s="80" t="s">
        <v>4412</v>
      </c>
      <c r="AT485" s="80" t="s">
        <v>2256</v>
      </c>
      <c r="AU485" s="80" t="s">
        <v>4413</v>
      </c>
      <c r="AW485" s="80" t="s">
        <v>2642</v>
      </c>
    </row>
    <row r="486" spans="1:49">
      <c r="A486" s="80" t="s">
        <v>2241</v>
      </c>
      <c r="B486" s="80" t="s">
        <v>4414</v>
      </c>
      <c r="C486" s="80" t="s">
        <v>2147</v>
      </c>
      <c r="D486" s="80" t="s">
        <v>4415</v>
      </c>
      <c r="E486" s="80" t="s">
        <v>2244</v>
      </c>
      <c r="F486" s="80" t="s">
        <v>4416</v>
      </c>
      <c r="J486" s="80" t="s">
        <v>4417</v>
      </c>
      <c r="M486" s="80" t="s">
        <v>2247</v>
      </c>
      <c r="O486" s="80" t="s">
        <v>2147</v>
      </c>
      <c r="P486" s="80" t="s">
        <v>2510</v>
      </c>
      <c r="Q486" s="80" t="s">
        <v>4415</v>
      </c>
      <c r="R486" s="80" t="s">
        <v>4418</v>
      </c>
      <c r="S486" s="80" t="s">
        <v>2244</v>
      </c>
      <c r="T486" s="80" t="s">
        <v>2251</v>
      </c>
      <c r="U486" s="80" t="s">
        <v>2566</v>
      </c>
      <c r="V486" s="80" t="s">
        <v>4419</v>
      </c>
      <c r="W486" s="80" t="s">
        <v>2324</v>
      </c>
      <c r="X486" s="80" t="s">
        <v>2610</v>
      </c>
      <c r="AA486" s="80" t="s">
        <v>2256</v>
      </c>
      <c r="AC486" s="80" t="s">
        <v>2513</v>
      </c>
      <c r="AE486" s="80" t="s">
        <v>2258</v>
      </c>
      <c r="AF486" s="80" t="s">
        <v>2272</v>
      </c>
      <c r="AL486" s="80" t="s">
        <v>2261</v>
      </c>
      <c r="AN486" s="80" t="s">
        <v>4416</v>
      </c>
      <c r="AP486" s="80" t="s">
        <v>2666</v>
      </c>
      <c r="AQ486" s="80" t="s">
        <v>4420</v>
      </c>
      <c r="AT486" s="80" t="s">
        <v>2256</v>
      </c>
      <c r="AU486" s="80" t="s">
        <v>4421</v>
      </c>
      <c r="AW486" s="80" t="s">
        <v>2577</v>
      </c>
    </row>
    <row r="487" spans="1:49">
      <c r="AP487" s="80" t="s">
        <v>4055</v>
      </c>
      <c r="AQ487" s="80" t="s">
        <v>4422</v>
      </c>
      <c r="AT487" s="80" t="s">
        <v>2256</v>
      </c>
      <c r="AU487" s="80" t="s">
        <v>4423</v>
      </c>
      <c r="AW487" s="80" t="s">
        <v>2398</v>
      </c>
    </row>
    <row r="488" spans="1:49">
      <c r="AP488" s="80" t="s">
        <v>2657</v>
      </c>
      <c r="AQ488" s="80" t="s">
        <v>4424</v>
      </c>
      <c r="AT488" s="80" t="s">
        <v>2256</v>
      </c>
      <c r="AU488" s="80" t="s">
        <v>4425</v>
      </c>
      <c r="AW488" s="80" t="s">
        <v>2642</v>
      </c>
    </row>
    <row r="489" spans="1:49">
      <c r="A489" s="80" t="s">
        <v>2241</v>
      </c>
      <c r="B489" s="80" t="s">
        <v>4426</v>
      </c>
      <c r="C489" s="80" t="s">
        <v>2147</v>
      </c>
      <c r="D489" s="80" t="s">
        <v>4427</v>
      </c>
      <c r="E489" s="80" t="s">
        <v>2244</v>
      </c>
      <c r="F489" s="80" t="s">
        <v>4428</v>
      </c>
      <c r="J489" s="80" t="s">
        <v>4429</v>
      </c>
      <c r="M489" s="80" t="s">
        <v>2247</v>
      </c>
      <c r="O489" s="80" t="s">
        <v>2147</v>
      </c>
      <c r="P489" s="80" t="s">
        <v>2510</v>
      </c>
      <c r="Q489" s="80" t="s">
        <v>4427</v>
      </c>
      <c r="R489" s="80" t="s">
        <v>4430</v>
      </c>
      <c r="S489" s="80" t="s">
        <v>2244</v>
      </c>
      <c r="T489" s="80" t="s">
        <v>2251</v>
      </c>
      <c r="U489" s="80" t="s">
        <v>2252</v>
      </c>
      <c r="V489" s="80" t="s">
        <v>4431</v>
      </c>
      <c r="W489" s="80" t="s">
        <v>2311</v>
      </c>
      <c r="X489" s="80" t="s">
        <v>2485</v>
      </c>
      <c r="AA489" s="80" t="s">
        <v>2256</v>
      </c>
      <c r="AC489" s="80" t="s">
        <v>2513</v>
      </c>
      <c r="AE489" s="80" t="s">
        <v>2258</v>
      </c>
      <c r="AF489" s="80" t="s">
        <v>2272</v>
      </c>
      <c r="AI489" s="80" t="s">
        <v>4050</v>
      </c>
      <c r="AL489" s="80" t="s">
        <v>2261</v>
      </c>
      <c r="AN489" s="80" t="s">
        <v>4428</v>
      </c>
      <c r="AP489" s="80" t="s">
        <v>2666</v>
      </c>
      <c r="AQ489" s="80" t="s">
        <v>4432</v>
      </c>
      <c r="AT489" s="80" t="s">
        <v>2256</v>
      </c>
      <c r="AU489" s="80" t="s">
        <v>4433</v>
      </c>
      <c r="AW489" s="80" t="s">
        <v>2642</v>
      </c>
    </row>
    <row r="490" spans="1:49">
      <c r="AP490" s="80" t="s">
        <v>2657</v>
      </c>
      <c r="AQ490" s="80" t="s">
        <v>4434</v>
      </c>
      <c r="AT490" s="80" t="s">
        <v>2256</v>
      </c>
      <c r="AU490" s="80" t="s">
        <v>4435</v>
      </c>
      <c r="AW490" s="80" t="s">
        <v>2642</v>
      </c>
    </row>
    <row r="491" spans="1:49">
      <c r="A491" s="80" t="s">
        <v>2241</v>
      </c>
      <c r="B491" s="80" t="s">
        <v>4436</v>
      </c>
      <c r="C491" s="80" t="s">
        <v>2147</v>
      </c>
      <c r="D491" s="80" t="s">
        <v>4437</v>
      </c>
      <c r="E491" s="80" t="s">
        <v>2244</v>
      </c>
      <c r="F491" s="80" t="s">
        <v>3131</v>
      </c>
      <c r="J491" s="80" t="s">
        <v>4438</v>
      </c>
      <c r="M491" s="80" t="s">
        <v>2247</v>
      </c>
      <c r="O491" s="80" t="s">
        <v>2147</v>
      </c>
      <c r="P491" s="80" t="s">
        <v>2510</v>
      </c>
      <c r="Q491" s="80" t="s">
        <v>4437</v>
      </c>
      <c r="R491" s="80" t="s">
        <v>4439</v>
      </c>
      <c r="S491" s="80" t="s">
        <v>2244</v>
      </c>
      <c r="T491" s="80" t="s">
        <v>2251</v>
      </c>
      <c r="U491" s="80" t="s">
        <v>2322</v>
      </c>
      <c r="V491" s="80" t="s">
        <v>4440</v>
      </c>
      <c r="W491" s="80" t="s">
        <v>2311</v>
      </c>
      <c r="X491" s="80" t="s">
        <v>4087</v>
      </c>
      <c r="AA491" s="80" t="s">
        <v>2256</v>
      </c>
      <c r="AC491" s="80" t="s">
        <v>2513</v>
      </c>
      <c r="AE491" s="80" t="s">
        <v>2258</v>
      </c>
      <c r="AF491" s="80" t="s">
        <v>2272</v>
      </c>
      <c r="AL491" s="80" t="s">
        <v>2261</v>
      </c>
      <c r="AN491" s="80" t="s">
        <v>3131</v>
      </c>
      <c r="AP491" s="80" t="s">
        <v>2657</v>
      </c>
      <c r="AQ491" s="80" t="s">
        <v>4441</v>
      </c>
      <c r="AT491" s="80" t="s">
        <v>2256</v>
      </c>
      <c r="AU491" s="80" t="s">
        <v>4442</v>
      </c>
      <c r="AW491" s="80" t="s">
        <v>2642</v>
      </c>
    </row>
    <row r="492" spans="1:49">
      <c r="AP492" s="80" t="s">
        <v>2666</v>
      </c>
      <c r="AQ492" s="80" t="s">
        <v>4443</v>
      </c>
      <c r="AT492" s="80" t="s">
        <v>2256</v>
      </c>
      <c r="AU492" s="80" t="s">
        <v>4444</v>
      </c>
      <c r="AW492" s="80" t="s">
        <v>2577</v>
      </c>
    </row>
    <row r="493" spans="1:49">
      <c r="AP493" s="80" t="s">
        <v>4106</v>
      </c>
      <c r="AQ493" s="80" t="s">
        <v>4445</v>
      </c>
      <c r="AT493" s="80" t="s">
        <v>2256</v>
      </c>
      <c r="AU493" s="80" t="s">
        <v>4446</v>
      </c>
      <c r="AW493" s="80" t="s">
        <v>2577</v>
      </c>
    </row>
    <row r="494" spans="1:49">
      <c r="AP494" s="80" t="s">
        <v>4055</v>
      </c>
      <c r="AQ494" s="80" t="s">
        <v>4447</v>
      </c>
      <c r="AT494" s="80" t="s">
        <v>2256</v>
      </c>
      <c r="AU494" s="80" t="s">
        <v>4448</v>
      </c>
      <c r="AW494" s="80" t="s">
        <v>2398</v>
      </c>
    </row>
    <row r="495" spans="1:49">
      <c r="A495" s="80" t="s">
        <v>2241</v>
      </c>
      <c r="B495" s="80" t="s">
        <v>4449</v>
      </c>
      <c r="C495" s="80" t="s">
        <v>2147</v>
      </c>
      <c r="D495" s="80" t="s">
        <v>4450</v>
      </c>
      <c r="E495" s="80" t="s">
        <v>2244</v>
      </c>
      <c r="F495" s="80" t="s">
        <v>4451</v>
      </c>
      <c r="J495" s="80" t="s">
        <v>4452</v>
      </c>
      <c r="M495" s="80" t="s">
        <v>2247</v>
      </c>
      <c r="O495" s="80" t="s">
        <v>2147</v>
      </c>
      <c r="P495" s="80" t="s">
        <v>2510</v>
      </c>
      <c r="Q495" s="80" t="s">
        <v>4450</v>
      </c>
      <c r="R495" s="80" t="s">
        <v>4453</v>
      </c>
      <c r="S495" s="80" t="s">
        <v>2244</v>
      </c>
      <c r="T495" s="80" t="s">
        <v>2251</v>
      </c>
      <c r="U495" s="80" t="s">
        <v>2252</v>
      </c>
      <c r="V495" s="80" t="s">
        <v>4454</v>
      </c>
      <c r="W495" s="80" t="s">
        <v>2345</v>
      </c>
      <c r="X495" s="80" t="s">
        <v>2478</v>
      </c>
      <c r="AA495" s="80" t="s">
        <v>2256</v>
      </c>
      <c r="AC495" s="80" t="s">
        <v>2513</v>
      </c>
      <c r="AE495" s="80" t="s">
        <v>2258</v>
      </c>
      <c r="AF495" s="80" t="s">
        <v>2272</v>
      </c>
      <c r="AL495" s="80" t="s">
        <v>2261</v>
      </c>
      <c r="AN495" s="80" t="s">
        <v>4451</v>
      </c>
      <c r="AP495" s="80" t="s">
        <v>2666</v>
      </c>
      <c r="AQ495" s="80" t="s">
        <v>4455</v>
      </c>
      <c r="AT495" s="80" t="s">
        <v>2256</v>
      </c>
      <c r="AU495" s="80" t="s">
        <v>4456</v>
      </c>
      <c r="AW495" s="80" t="s">
        <v>2577</v>
      </c>
    </row>
    <row r="496" spans="1:49">
      <c r="AP496" s="80" t="s">
        <v>2657</v>
      </c>
      <c r="AQ496" s="80" t="s">
        <v>4457</v>
      </c>
      <c r="AT496" s="80" t="s">
        <v>2256</v>
      </c>
      <c r="AU496" s="80" t="s">
        <v>4458</v>
      </c>
      <c r="AW496" s="80" t="s">
        <v>2265</v>
      </c>
    </row>
    <row r="497" spans="1:49">
      <c r="AP497" s="80" t="s">
        <v>4055</v>
      </c>
      <c r="AQ497" s="80" t="s">
        <v>4459</v>
      </c>
      <c r="AU497" s="80" t="s">
        <v>4460</v>
      </c>
    </row>
    <row r="498" spans="1:49">
      <c r="A498" s="80" t="s">
        <v>2241</v>
      </c>
      <c r="B498" s="80" t="s">
        <v>4461</v>
      </c>
      <c r="C498" s="80" t="s">
        <v>2148</v>
      </c>
      <c r="D498" s="80" t="s">
        <v>4462</v>
      </c>
      <c r="E498" s="80" t="s">
        <v>2244</v>
      </c>
      <c r="F498" s="80" t="s">
        <v>2755</v>
      </c>
      <c r="J498" s="80" t="s">
        <v>4463</v>
      </c>
      <c r="M498" s="80" t="s">
        <v>2268</v>
      </c>
      <c r="N498" s="80" t="s">
        <v>4464</v>
      </c>
      <c r="O498" s="80" t="s">
        <v>2148</v>
      </c>
      <c r="P498" s="80" t="s">
        <v>2548</v>
      </c>
      <c r="Q498" s="80" t="s">
        <v>4462</v>
      </c>
      <c r="R498" s="80" t="s">
        <v>4465</v>
      </c>
      <c r="S498" s="80" t="s">
        <v>2244</v>
      </c>
      <c r="T498" s="80" t="s">
        <v>2251</v>
      </c>
      <c r="U498" s="80" t="s">
        <v>2234</v>
      </c>
      <c r="W498" s="80" t="s">
        <v>3824</v>
      </c>
      <c r="X498" s="80" t="s">
        <v>2283</v>
      </c>
      <c r="AA498" s="80" t="s">
        <v>2256</v>
      </c>
      <c r="AC498" s="80" t="s">
        <v>2257</v>
      </c>
      <c r="AE498" s="80" t="s">
        <v>2258</v>
      </c>
      <c r="AF498" s="80" t="s">
        <v>2259</v>
      </c>
      <c r="AK498" s="80" t="s">
        <v>4466</v>
      </c>
      <c r="AL498" s="80" t="s">
        <v>2261</v>
      </c>
      <c r="AN498" s="80" t="s">
        <v>2755</v>
      </c>
      <c r="AP498" s="80" t="s">
        <v>2574</v>
      </c>
      <c r="AQ498" s="80" t="s">
        <v>4467</v>
      </c>
      <c r="AU498" s="80" t="s">
        <v>4468</v>
      </c>
    </row>
    <row r="499" spans="1:49">
      <c r="A499" s="80" t="s">
        <v>2241</v>
      </c>
      <c r="B499" s="80" t="s">
        <v>4466</v>
      </c>
      <c r="C499" s="80" t="s">
        <v>2148</v>
      </c>
      <c r="D499" s="80" t="s">
        <v>4462</v>
      </c>
      <c r="E499" s="80" t="s">
        <v>2244</v>
      </c>
      <c r="F499" s="80" t="s">
        <v>4469</v>
      </c>
      <c r="J499" s="80" t="s">
        <v>4463</v>
      </c>
      <c r="M499" s="80" t="s">
        <v>2247</v>
      </c>
      <c r="N499" s="80" t="s">
        <v>4464</v>
      </c>
      <c r="O499" s="80" t="s">
        <v>2148</v>
      </c>
      <c r="P499" s="80" t="s">
        <v>2548</v>
      </c>
      <c r="Q499" s="80" t="s">
        <v>4462</v>
      </c>
      <c r="R499" s="80" t="s">
        <v>4470</v>
      </c>
      <c r="S499" s="80" t="s">
        <v>2244</v>
      </c>
      <c r="T499" s="80" t="s">
        <v>2251</v>
      </c>
      <c r="U499" s="80" t="s">
        <v>2566</v>
      </c>
      <c r="V499" s="80" t="s">
        <v>4471</v>
      </c>
      <c r="W499" s="80" t="s">
        <v>2430</v>
      </c>
      <c r="X499" s="80" t="s">
        <v>2283</v>
      </c>
      <c r="AA499" s="80" t="s">
        <v>2256</v>
      </c>
      <c r="AC499" s="80" t="s">
        <v>2257</v>
      </c>
      <c r="AE499" s="80" t="s">
        <v>2258</v>
      </c>
      <c r="AF499" s="80" t="s">
        <v>2259</v>
      </c>
      <c r="AJ499" s="80" t="s">
        <v>4461</v>
      </c>
      <c r="AL499" s="80" t="s">
        <v>2261</v>
      </c>
      <c r="AN499" s="80" t="s">
        <v>4469</v>
      </c>
      <c r="AP499" s="80" t="s">
        <v>2553</v>
      </c>
      <c r="AQ499" s="80" t="s">
        <v>4472</v>
      </c>
      <c r="AT499" s="80" t="s">
        <v>2256</v>
      </c>
      <c r="AU499" s="80" t="s">
        <v>4473</v>
      </c>
      <c r="AW499" s="80" t="s">
        <v>2265</v>
      </c>
    </row>
    <row r="500" spans="1:49">
      <c r="A500" s="80" t="s">
        <v>2241</v>
      </c>
      <c r="B500" s="80" t="s">
        <v>4474</v>
      </c>
      <c r="C500" s="80" t="s">
        <v>4475</v>
      </c>
      <c r="D500" s="80" t="s">
        <v>4476</v>
      </c>
      <c r="E500" s="80" t="s">
        <v>2244</v>
      </c>
      <c r="F500" s="80" t="s">
        <v>4477</v>
      </c>
      <c r="J500" s="80" t="s">
        <v>4478</v>
      </c>
      <c r="M500" s="80" t="s">
        <v>2247</v>
      </c>
      <c r="N500" s="80" t="s">
        <v>4479</v>
      </c>
      <c r="O500" s="80" t="s">
        <v>4475</v>
      </c>
      <c r="P500" s="80" t="s">
        <v>2548</v>
      </c>
      <c r="Q500" s="80" t="s">
        <v>4476</v>
      </c>
      <c r="R500" s="80" t="s">
        <v>4480</v>
      </c>
      <c r="S500" s="80" t="s">
        <v>2244</v>
      </c>
      <c r="T500" s="80" t="s">
        <v>2251</v>
      </c>
      <c r="U500" s="80" t="s">
        <v>4034</v>
      </c>
      <c r="V500" s="80" t="s">
        <v>4481</v>
      </c>
      <c r="W500" s="80" t="s">
        <v>2345</v>
      </c>
      <c r="X500" s="80" t="s">
        <v>2291</v>
      </c>
      <c r="AA500" s="80" t="s">
        <v>2256</v>
      </c>
      <c r="AC500" s="80" t="s">
        <v>2257</v>
      </c>
      <c r="AE500" s="80" t="s">
        <v>2258</v>
      </c>
      <c r="AF500" s="80" t="s">
        <v>2259</v>
      </c>
      <c r="AJ500" s="80" t="s">
        <v>4482</v>
      </c>
      <c r="AL500" s="80" t="s">
        <v>2261</v>
      </c>
      <c r="AN500" s="80" t="s">
        <v>4477</v>
      </c>
      <c r="AP500" s="80" t="s">
        <v>4025</v>
      </c>
      <c r="AQ500" s="80" t="s">
        <v>4483</v>
      </c>
      <c r="AT500" s="80" t="s">
        <v>2256</v>
      </c>
      <c r="AU500" s="80" t="s">
        <v>4484</v>
      </c>
    </row>
    <row r="501" spans="1:49">
      <c r="A501" s="80" t="s">
        <v>2241</v>
      </c>
      <c r="B501" s="80" t="s">
        <v>4482</v>
      </c>
      <c r="C501" s="80" t="s">
        <v>4475</v>
      </c>
      <c r="D501" s="80" t="s">
        <v>4485</v>
      </c>
      <c r="E501" s="80" t="s">
        <v>2244</v>
      </c>
      <c r="F501" s="80" t="s">
        <v>4486</v>
      </c>
      <c r="J501" s="80" t="s">
        <v>4478</v>
      </c>
      <c r="M501" s="80" t="s">
        <v>2268</v>
      </c>
      <c r="N501" s="80" t="s">
        <v>4479</v>
      </c>
      <c r="O501" s="80" t="s">
        <v>4475</v>
      </c>
      <c r="P501" s="80" t="s">
        <v>2548</v>
      </c>
      <c r="Q501" s="80" t="s">
        <v>4485</v>
      </c>
      <c r="R501" s="80" t="s">
        <v>4487</v>
      </c>
      <c r="S501" s="80" t="s">
        <v>2244</v>
      </c>
      <c r="T501" s="80" t="s">
        <v>2251</v>
      </c>
      <c r="U501" s="80" t="s">
        <v>2234</v>
      </c>
      <c r="W501" s="80" t="s">
        <v>2871</v>
      </c>
      <c r="X501" s="80" t="s">
        <v>2271</v>
      </c>
      <c r="AA501" s="80" t="s">
        <v>2256</v>
      </c>
      <c r="AC501" s="80" t="s">
        <v>2257</v>
      </c>
      <c r="AE501" s="80" t="s">
        <v>2258</v>
      </c>
      <c r="AF501" s="80" t="s">
        <v>2259</v>
      </c>
      <c r="AI501" s="80" t="s">
        <v>4488</v>
      </c>
      <c r="AK501" s="80" t="s">
        <v>4474</v>
      </c>
      <c r="AL501" s="80" t="s">
        <v>2261</v>
      </c>
      <c r="AN501" s="80" t="s">
        <v>4486</v>
      </c>
      <c r="AP501" s="80" t="s">
        <v>2574</v>
      </c>
      <c r="AQ501" s="80" t="s">
        <v>4489</v>
      </c>
      <c r="AU501" s="80" t="s">
        <v>4490</v>
      </c>
      <c r="AW501" s="80" t="s">
        <v>2265</v>
      </c>
    </row>
    <row r="502" spans="1:49">
      <c r="A502" s="80" t="s">
        <v>2241</v>
      </c>
      <c r="B502" s="80" t="s">
        <v>4491</v>
      </c>
      <c r="C502" s="80" t="s">
        <v>4475</v>
      </c>
      <c r="D502" s="80" t="s">
        <v>4476</v>
      </c>
      <c r="E502" s="80" t="s">
        <v>2244</v>
      </c>
      <c r="F502" s="80" t="s">
        <v>4492</v>
      </c>
      <c r="J502" s="80" t="s">
        <v>4493</v>
      </c>
      <c r="M502" s="80" t="s">
        <v>2247</v>
      </c>
      <c r="N502" s="80" t="s">
        <v>4494</v>
      </c>
      <c r="O502" s="80" t="s">
        <v>4475</v>
      </c>
      <c r="P502" s="80" t="s">
        <v>2548</v>
      </c>
      <c r="Q502" s="80" t="s">
        <v>4476</v>
      </c>
      <c r="R502" s="80" t="s">
        <v>4495</v>
      </c>
      <c r="S502" s="80" t="s">
        <v>2244</v>
      </c>
      <c r="T502" s="80" t="s">
        <v>2251</v>
      </c>
      <c r="U502" s="80" t="s">
        <v>2566</v>
      </c>
      <c r="V502" s="80" t="s">
        <v>4496</v>
      </c>
      <c r="W502" s="80" t="s">
        <v>2699</v>
      </c>
      <c r="X502" s="80" t="s">
        <v>2976</v>
      </c>
      <c r="AA502" s="80" t="s">
        <v>2256</v>
      </c>
      <c r="AC502" s="80" t="s">
        <v>2257</v>
      </c>
      <c r="AE502" s="80" t="s">
        <v>2258</v>
      </c>
      <c r="AF502" s="80" t="s">
        <v>2259</v>
      </c>
      <c r="AJ502" s="80" t="s">
        <v>4497</v>
      </c>
      <c r="AL502" s="80" t="s">
        <v>2261</v>
      </c>
      <c r="AN502" s="80" t="s">
        <v>4492</v>
      </c>
      <c r="AP502" s="80" t="s">
        <v>4025</v>
      </c>
      <c r="AQ502" s="80" t="s">
        <v>4498</v>
      </c>
      <c r="AT502" s="80" t="s">
        <v>2256</v>
      </c>
      <c r="AU502" s="80" t="s">
        <v>4499</v>
      </c>
      <c r="AW502" s="80" t="s">
        <v>2265</v>
      </c>
    </row>
    <row r="503" spans="1:49">
      <c r="A503" s="80" t="s">
        <v>2241</v>
      </c>
      <c r="B503" s="80" t="s">
        <v>4497</v>
      </c>
      <c r="C503" s="80" t="s">
        <v>2148</v>
      </c>
      <c r="D503" s="80" t="s">
        <v>4485</v>
      </c>
      <c r="E503" s="80" t="s">
        <v>2244</v>
      </c>
      <c r="F503" s="80" t="s">
        <v>4486</v>
      </c>
      <c r="J503" s="80" t="s">
        <v>4493</v>
      </c>
      <c r="M503" s="80" t="s">
        <v>2268</v>
      </c>
      <c r="N503" s="80" t="s">
        <v>4494</v>
      </c>
      <c r="O503" s="80" t="s">
        <v>2148</v>
      </c>
      <c r="P503" s="80" t="s">
        <v>2548</v>
      </c>
      <c r="Q503" s="80" t="s">
        <v>4485</v>
      </c>
      <c r="R503" s="80" t="s">
        <v>4500</v>
      </c>
      <c r="S503" s="80" t="s">
        <v>2244</v>
      </c>
      <c r="T503" s="80" t="s">
        <v>2251</v>
      </c>
      <c r="U503" s="80" t="s">
        <v>2234</v>
      </c>
      <c r="W503" s="80" t="s">
        <v>2311</v>
      </c>
      <c r="X503" s="80" t="s">
        <v>2271</v>
      </c>
      <c r="AA503" s="80" t="s">
        <v>2256</v>
      </c>
      <c r="AC503" s="80" t="s">
        <v>2257</v>
      </c>
      <c r="AE503" s="80" t="s">
        <v>2258</v>
      </c>
      <c r="AF503" s="80" t="s">
        <v>2259</v>
      </c>
      <c r="AI503" s="80" t="s">
        <v>4501</v>
      </c>
      <c r="AK503" s="80" t="s">
        <v>4491</v>
      </c>
      <c r="AL503" s="80" t="s">
        <v>2261</v>
      </c>
      <c r="AN503" s="80" t="s">
        <v>4486</v>
      </c>
      <c r="AP503" s="80" t="s">
        <v>2574</v>
      </c>
      <c r="AQ503" s="80" t="s">
        <v>4502</v>
      </c>
      <c r="AU503" s="80" t="s">
        <v>4503</v>
      </c>
      <c r="AW503" s="80" t="s">
        <v>2265</v>
      </c>
    </row>
    <row r="504" spans="1:49">
      <c r="A504" s="80" t="s">
        <v>2241</v>
      </c>
      <c r="B504" s="80" t="s">
        <v>4504</v>
      </c>
      <c r="C504" s="80" t="s">
        <v>2149</v>
      </c>
      <c r="D504" s="80" t="s">
        <v>2579</v>
      </c>
      <c r="E504" s="80" t="s">
        <v>2244</v>
      </c>
      <c r="F504" s="80" t="s">
        <v>4505</v>
      </c>
      <c r="J504" s="80" t="s">
        <v>4506</v>
      </c>
      <c r="M504" s="80" t="s">
        <v>2247</v>
      </c>
      <c r="N504" s="80" t="s">
        <v>4507</v>
      </c>
      <c r="O504" s="80" t="s">
        <v>2149</v>
      </c>
      <c r="P504" s="80" t="s">
        <v>2583</v>
      </c>
      <c r="Q504" s="80" t="s">
        <v>2579</v>
      </c>
      <c r="R504" s="80" t="s">
        <v>4508</v>
      </c>
      <c r="S504" s="80" t="s">
        <v>2244</v>
      </c>
      <c r="T504" s="80" t="s">
        <v>2251</v>
      </c>
      <c r="U504" s="80" t="s">
        <v>2241</v>
      </c>
      <c r="V504" s="80" t="s">
        <v>4509</v>
      </c>
      <c r="W504" s="80" t="s">
        <v>2270</v>
      </c>
      <c r="X504" s="80" t="s">
        <v>2283</v>
      </c>
      <c r="AA504" s="80" t="s">
        <v>2256</v>
      </c>
      <c r="AC504" s="80" t="s">
        <v>2393</v>
      </c>
      <c r="AE504" s="80" t="s">
        <v>2258</v>
      </c>
      <c r="AF504" s="80" t="s">
        <v>2272</v>
      </c>
      <c r="AJ504" s="80" t="s">
        <v>4510</v>
      </c>
      <c r="AL504" s="80" t="s">
        <v>2261</v>
      </c>
      <c r="AN504" s="80" t="s">
        <v>4505</v>
      </c>
      <c r="AP504" s="80" t="s">
        <v>2327</v>
      </c>
      <c r="AQ504" s="80" t="s">
        <v>4511</v>
      </c>
      <c r="AU504" s="80" t="s">
        <v>4512</v>
      </c>
      <c r="AW504" s="80" t="s">
        <v>2265</v>
      </c>
    </row>
    <row r="505" spans="1:49">
      <c r="A505" s="80" t="s">
        <v>2241</v>
      </c>
      <c r="B505" s="80" t="s">
        <v>4510</v>
      </c>
      <c r="C505" s="80" t="s">
        <v>2149</v>
      </c>
      <c r="D505" s="80" t="s">
        <v>4513</v>
      </c>
      <c r="E505" s="80" t="s">
        <v>2244</v>
      </c>
      <c r="F505" s="80" t="s">
        <v>4514</v>
      </c>
      <c r="J505" s="80" t="s">
        <v>4506</v>
      </c>
      <c r="M505" s="80" t="s">
        <v>2268</v>
      </c>
      <c r="N505" s="80" t="s">
        <v>4507</v>
      </c>
      <c r="O505" s="80" t="s">
        <v>2149</v>
      </c>
      <c r="P505" s="80" t="s">
        <v>2583</v>
      </c>
      <c r="Q505" s="80" t="s">
        <v>4513</v>
      </c>
      <c r="R505" s="80" t="s">
        <v>4515</v>
      </c>
      <c r="S505" s="80" t="s">
        <v>2244</v>
      </c>
      <c r="T505" s="80" t="s">
        <v>2251</v>
      </c>
      <c r="U505" s="80" t="s">
        <v>2234</v>
      </c>
      <c r="W505" s="80" t="s">
        <v>2270</v>
      </c>
      <c r="X505" s="80" t="s">
        <v>2283</v>
      </c>
      <c r="AA505" s="80" t="s">
        <v>2256</v>
      </c>
      <c r="AC505" s="80" t="s">
        <v>2393</v>
      </c>
      <c r="AE505" s="80" t="s">
        <v>2258</v>
      </c>
      <c r="AF505" s="80" t="s">
        <v>2272</v>
      </c>
      <c r="AK505" s="80" t="s">
        <v>4504</v>
      </c>
      <c r="AL505" s="80" t="s">
        <v>2261</v>
      </c>
      <c r="AN505" s="80" t="s">
        <v>4514</v>
      </c>
      <c r="AP505" s="80" t="s">
        <v>2574</v>
      </c>
      <c r="AQ505" s="80" t="s">
        <v>4516</v>
      </c>
      <c r="AU505" s="80" t="s">
        <v>4517</v>
      </c>
      <c r="AW505" s="80" t="s">
        <v>2642</v>
      </c>
    </row>
    <row r="506" spans="1:49">
      <c r="A506" s="80" t="s">
        <v>2241</v>
      </c>
      <c r="B506" s="80" t="s">
        <v>4518</v>
      </c>
      <c r="C506" s="80" t="s">
        <v>2149</v>
      </c>
      <c r="D506" s="80" t="s">
        <v>4519</v>
      </c>
      <c r="E506" s="80" t="s">
        <v>2244</v>
      </c>
      <c r="F506" s="80" t="s">
        <v>4520</v>
      </c>
      <c r="J506" s="80" t="s">
        <v>4521</v>
      </c>
      <c r="M506" s="80" t="s">
        <v>2268</v>
      </c>
      <c r="N506" s="80" t="s">
        <v>4522</v>
      </c>
      <c r="O506" s="80" t="s">
        <v>2149</v>
      </c>
      <c r="P506" s="80" t="s">
        <v>2583</v>
      </c>
      <c r="Q506" s="80" t="s">
        <v>4519</v>
      </c>
      <c r="R506" s="80" t="s">
        <v>4523</v>
      </c>
      <c r="S506" s="80" t="s">
        <v>2244</v>
      </c>
      <c r="T506" s="80" t="s">
        <v>2251</v>
      </c>
      <c r="U506" s="80" t="s">
        <v>2234</v>
      </c>
      <c r="W506" s="80" t="s">
        <v>2354</v>
      </c>
      <c r="X506" s="80" t="s">
        <v>2283</v>
      </c>
      <c r="AA506" s="80" t="s">
        <v>2256</v>
      </c>
      <c r="AC506" s="80" t="s">
        <v>2393</v>
      </c>
      <c r="AE506" s="80" t="s">
        <v>2258</v>
      </c>
      <c r="AF506" s="80" t="s">
        <v>2272</v>
      </c>
      <c r="AK506" s="80" t="s">
        <v>4524</v>
      </c>
      <c r="AL506" s="80" t="s">
        <v>2261</v>
      </c>
      <c r="AN506" s="80" t="s">
        <v>4520</v>
      </c>
      <c r="AP506" s="80" t="s">
        <v>2553</v>
      </c>
      <c r="AQ506" s="80" t="s">
        <v>4525</v>
      </c>
      <c r="AT506" s="80" t="s">
        <v>2256</v>
      </c>
      <c r="AU506" s="80" t="s">
        <v>4526</v>
      </c>
      <c r="AW506" s="80" t="s">
        <v>2265</v>
      </c>
    </row>
    <row r="507" spans="1:49">
      <c r="A507" s="80" t="s">
        <v>2241</v>
      </c>
      <c r="B507" s="80" t="s">
        <v>4524</v>
      </c>
      <c r="C507" s="80" t="s">
        <v>2149</v>
      </c>
      <c r="D507" s="80" t="s">
        <v>4527</v>
      </c>
      <c r="E507" s="80" t="s">
        <v>2418</v>
      </c>
      <c r="F507" s="80" t="s">
        <v>4528</v>
      </c>
      <c r="J507" s="80" t="s">
        <v>4521</v>
      </c>
      <c r="M507" s="80" t="s">
        <v>2247</v>
      </c>
      <c r="N507" s="80" t="s">
        <v>4522</v>
      </c>
      <c r="O507" s="80" t="s">
        <v>2149</v>
      </c>
      <c r="P507" s="80" t="s">
        <v>2583</v>
      </c>
      <c r="Q507" s="80" t="s">
        <v>4527</v>
      </c>
      <c r="R507" s="80" t="s">
        <v>4529</v>
      </c>
      <c r="S507" s="80" t="s">
        <v>2418</v>
      </c>
      <c r="T507" s="80" t="s">
        <v>2251</v>
      </c>
      <c r="U507" s="80" t="s">
        <v>4530</v>
      </c>
      <c r="V507" s="80" t="s">
        <v>4531</v>
      </c>
      <c r="W507" s="80" t="s">
        <v>2512</v>
      </c>
      <c r="X507" s="80" t="s">
        <v>2602</v>
      </c>
      <c r="AA507" s="80" t="s">
        <v>2256</v>
      </c>
      <c r="AC507" s="80" t="s">
        <v>2393</v>
      </c>
      <c r="AE507" s="80" t="s">
        <v>2258</v>
      </c>
      <c r="AF507" s="80" t="s">
        <v>2259</v>
      </c>
      <c r="AJ507" s="80" t="s">
        <v>4518</v>
      </c>
      <c r="AL507" s="80" t="s">
        <v>2261</v>
      </c>
      <c r="AN507" s="80" t="s">
        <v>4528</v>
      </c>
      <c r="AP507" s="80" t="s">
        <v>2574</v>
      </c>
      <c r="AQ507" s="80" t="s">
        <v>4532</v>
      </c>
      <c r="AT507" s="80" t="s">
        <v>2256</v>
      </c>
      <c r="AU507" s="80" t="s">
        <v>4533</v>
      </c>
      <c r="AW507" s="80" t="s">
        <v>2642</v>
      </c>
    </row>
    <row r="508" spans="1:49">
      <c r="A508" s="80" t="s">
        <v>2241</v>
      </c>
      <c r="B508" s="80" t="s">
        <v>4534</v>
      </c>
      <c r="C508" s="80" t="s">
        <v>2615</v>
      </c>
      <c r="D508" s="80" t="s">
        <v>4535</v>
      </c>
      <c r="E508" s="80" t="s">
        <v>2244</v>
      </c>
      <c r="F508" s="80" t="s">
        <v>4536</v>
      </c>
      <c r="J508" s="80" t="s">
        <v>4537</v>
      </c>
      <c r="M508" s="80" t="s">
        <v>2247</v>
      </c>
      <c r="N508" s="80" t="s">
        <v>4538</v>
      </c>
      <c r="O508" s="80" t="s">
        <v>2615</v>
      </c>
      <c r="P508" s="80" t="s">
        <v>2583</v>
      </c>
      <c r="Q508" s="80" t="s">
        <v>4535</v>
      </c>
      <c r="R508" s="80" t="s">
        <v>4539</v>
      </c>
      <c r="S508" s="80" t="s">
        <v>2244</v>
      </c>
      <c r="T508" s="80" t="s">
        <v>2251</v>
      </c>
      <c r="U508" s="80" t="s">
        <v>2550</v>
      </c>
      <c r="V508" s="80" t="s">
        <v>4540</v>
      </c>
      <c r="W508" s="80" t="s">
        <v>2270</v>
      </c>
      <c r="X508" s="80" t="s">
        <v>2283</v>
      </c>
      <c r="AA508" s="80" t="s">
        <v>2256</v>
      </c>
      <c r="AC508" s="80" t="s">
        <v>2393</v>
      </c>
      <c r="AE508" s="80" t="s">
        <v>2258</v>
      </c>
      <c r="AF508" s="80" t="s">
        <v>2259</v>
      </c>
      <c r="AJ508" s="80" t="s">
        <v>4541</v>
      </c>
      <c r="AL508" s="80" t="s">
        <v>2261</v>
      </c>
      <c r="AN508" s="80" t="s">
        <v>4536</v>
      </c>
      <c r="AP508" s="80" t="s">
        <v>2553</v>
      </c>
      <c r="AQ508" s="80" t="s">
        <v>4542</v>
      </c>
      <c r="AU508" s="80" t="s">
        <v>4543</v>
      </c>
      <c r="AW508" s="80" t="s">
        <v>2265</v>
      </c>
    </row>
    <row r="509" spans="1:49">
      <c r="A509" s="80" t="s">
        <v>2241</v>
      </c>
      <c r="B509" s="80" t="s">
        <v>4541</v>
      </c>
      <c r="C509" s="80" t="s">
        <v>2615</v>
      </c>
      <c r="D509" s="80" t="s">
        <v>4544</v>
      </c>
      <c r="E509" s="80" t="s">
        <v>2418</v>
      </c>
      <c r="F509" s="80" t="s">
        <v>4545</v>
      </c>
      <c r="J509" s="80" t="s">
        <v>4537</v>
      </c>
      <c r="M509" s="80" t="s">
        <v>2268</v>
      </c>
      <c r="N509" s="80" t="s">
        <v>4538</v>
      </c>
      <c r="O509" s="80" t="s">
        <v>2615</v>
      </c>
      <c r="P509" s="80" t="s">
        <v>2583</v>
      </c>
      <c r="Q509" s="80" t="s">
        <v>4544</v>
      </c>
      <c r="R509" s="80" t="s">
        <v>4546</v>
      </c>
      <c r="S509" s="80" t="s">
        <v>2418</v>
      </c>
      <c r="T509" s="80" t="s">
        <v>2251</v>
      </c>
      <c r="U509" s="80" t="s">
        <v>2234</v>
      </c>
      <c r="W509" s="80" t="s">
        <v>4547</v>
      </c>
      <c r="X509" s="80" t="s">
        <v>2255</v>
      </c>
      <c r="AA509" s="80" t="s">
        <v>2256</v>
      </c>
      <c r="AC509" s="80" t="s">
        <v>2393</v>
      </c>
      <c r="AE509" s="80" t="s">
        <v>2258</v>
      </c>
      <c r="AF509" s="80" t="s">
        <v>2259</v>
      </c>
      <c r="AI509" s="80" t="s">
        <v>4548</v>
      </c>
      <c r="AK509" s="80" t="s">
        <v>4534</v>
      </c>
      <c r="AL509" s="80" t="s">
        <v>2261</v>
      </c>
      <c r="AN509" s="80" t="s">
        <v>4545</v>
      </c>
      <c r="AP509" s="80" t="s">
        <v>4549</v>
      </c>
      <c r="AQ509" s="80" t="s">
        <v>4550</v>
      </c>
      <c r="AU509" s="80" t="s">
        <v>4551</v>
      </c>
      <c r="AW509" s="80" t="s">
        <v>2265</v>
      </c>
    </row>
    <row r="510" spans="1:49">
      <c r="A510" s="80" t="s">
        <v>2241</v>
      </c>
      <c r="B510" s="80" t="s">
        <v>4552</v>
      </c>
      <c r="C510" s="80" t="s">
        <v>4553</v>
      </c>
      <c r="D510" s="80" t="s">
        <v>4554</v>
      </c>
      <c r="E510" s="80" t="s">
        <v>2238</v>
      </c>
      <c r="F510" s="80" t="s">
        <v>4555</v>
      </c>
      <c r="J510" s="80" t="s">
        <v>4556</v>
      </c>
      <c r="M510" s="80" t="s">
        <v>2247</v>
      </c>
      <c r="O510" s="80" t="s">
        <v>4553</v>
      </c>
      <c r="P510" s="80" t="s">
        <v>4557</v>
      </c>
      <c r="Q510" s="80" t="s">
        <v>4554</v>
      </c>
      <c r="R510" s="80" t="s">
        <v>4558</v>
      </c>
      <c r="S510" s="80" t="s">
        <v>2238</v>
      </c>
      <c r="T510" s="80" t="s">
        <v>2251</v>
      </c>
      <c r="U510" s="80" t="s">
        <v>2241</v>
      </c>
      <c r="W510" s="80" t="s">
        <v>2270</v>
      </c>
      <c r="X510" s="80" t="s">
        <v>2283</v>
      </c>
      <c r="Y510" s="80" t="s">
        <v>2283</v>
      </c>
      <c r="AA510" s="80" t="s">
        <v>2256</v>
      </c>
      <c r="AE510" s="80" t="s">
        <v>4559</v>
      </c>
      <c r="AF510" s="80" t="s">
        <v>4560</v>
      </c>
      <c r="AH510" s="80" t="s">
        <v>4561</v>
      </c>
      <c r="AL510" s="80" t="s">
        <v>4562</v>
      </c>
      <c r="AN510" s="80" t="s">
        <v>4555</v>
      </c>
    </row>
    <row r="511" spans="1:49">
      <c r="A511" s="80" t="s">
        <v>2252</v>
      </c>
      <c r="B511" s="80" t="s">
        <v>4563</v>
      </c>
      <c r="C511" s="80" t="s">
        <v>2180</v>
      </c>
      <c r="D511" s="80" t="s">
        <v>4564</v>
      </c>
      <c r="E511" s="80" t="s">
        <v>2244</v>
      </c>
      <c r="F511" s="80" t="s">
        <v>4565</v>
      </c>
      <c r="J511" s="80" t="s">
        <v>2246</v>
      </c>
      <c r="M511" s="80" t="s">
        <v>2247</v>
      </c>
      <c r="O511" s="80" t="s">
        <v>2180</v>
      </c>
      <c r="P511" s="80" t="s">
        <v>4566</v>
      </c>
      <c r="Q511" s="80" t="s">
        <v>4564</v>
      </c>
      <c r="R511" s="80" t="s">
        <v>4567</v>
      </c>
      <c r="S511" s="80" t="s">
        <v>2244</v>
      </c>
      <c r="T511" s="80" t="s">
        <v>2251</v>
      </c>
      <c r="U511" s="80" t="s">
        <v>4568</v>
      </c>
      <c r="V511" s="80" t="s">
        <v>4569</v>
      </c>
      <c r="W511" s="80" t="s">
        <v>2311</v>
      </c>
      <c r="X511" s="80" t="s">
        <v>2255</v>
      </c>
      <c r="AA511" s="80" t="s">
        <v>2256</v>
      </c>
      <c r="AC511" s="80" t="s">
        <v>4570</v>
      </c>
      <c r="AE511" s="80" t="s">
        <v>2258</v>
      </c>
      <c r="AF511" s="80" t="s">
        <v>2272</v>
      </c>
      <c r="AI511" s="80" t="s">
        <v>4571</v>
      </c>
      <c r="AL511" s="80" t="s">
        <v>4572</v>
      </c>
      <c r="AN511" s="80" t="s">
        <v>4565</v>
      </c>
      <c r="AP511" s="80" t="s">
        <v>4573</v>
      </c>
      <c r="AQ511" s="80" t="s">
        <v>4574</v>
      </c>
      <c r="AT511" s="80" t="s">
        <v>2256</v>
      </c>
      <c r="AU511" s="80" t="s">
        <v>4575</v>
      </c>
      <c r="AW511" s="80" t="s">
        <v>2577</v>
      </c>
    </row>
    <row r="512" spans="1:49">
      <c r="A512" s="80" t="s">
        <v>2252</v>
      </c>
      <c r="B512" s="80" t="s">
        <v>4576</v>
      </c>
      <c r="C512" s="80" t="s">
        <v>2153</v>
      </c>
      <c r="D512" s="80" t="s">
        <v>4577</v>
      </c>
      <c r="E512" s="80" t="s">
        <v>2244</v>
      </c>
      <c r="F512" s="80" t="s">
        <v>4578</v>
      </c>
      <c r="J512" s="80" t="s">
        <v>2280</v>
      </c>
      <c r="M512" s="80" t="s">
        <v>2247</v>
      </c>
      <c r="N512" s="80" t="s">
        <v>2241</v>
      </c>
      <c r="O512" s="80" t="s">
        <v>2153</v>
      </c>
      <c r="P512" s="80" t="s">
        <v>4566</v>
      </c>
      <c r="Q512" s="80" t="s">
        <v>4577</v>
      </c>
      <c r="R512" s="80" t="s">
        <v>4579</v>
      </c>
      <c r="S512" s="80" t="s">
        <v>2244</v>
      </c>
      <c r="T512" s="80" t="s">
        <v>2251</v>
      </c>
      <c r="U512" s="80" t="s">
        <v>2241</v>
      </c>
      <c r="V512" s="80" t="s">
        <v>4580</v>
      </c>
      <c r="W512" s="80" t="s">
        <v>2270</v>
      </c>
      <c r="X512" s="80" t="s">
        <v>2255</v>
      </c>
      <c r="AA512" s="80" t="s">
        <v>2256</v>
      </c>
      <c r="AC512" s="80" t="s">
        <v>4570</v>
      </c>
      <c r="AE512" s="80" t="s">
        <v>2258</v>
      </c>
      <c r="AF512" s="80" t="s">
        <v>2272</v>
      </c>
      <c r="AJ512" s="80" t="s">
        <v>4581</v>
      </c>
      <c r="AL512" s="80" t="s">
        <v>4572</v>
      </c>
      <c r="AN512" s="80" t="s">
        <v>4578</v>
      </c>
      <c r="AP512" s="80" t="s">
        <v>4582</v>
      </c>
      <c r="AQ512" s="80" t="s">
        <v>4583</v>
      </c>
      <c r="AU512" s="80" t="s">
        <v>4584</v>
      </c>
    </row>
    <row r="513" spans="1:49">
      <c r="A513" s="80" t="s">
        <v>2252</v>
      </c>
      <c r="B513" s="80" t="s">
        <v>4581</v>
      </c>
      <c r="C513" s="80" t="s">
        <v>2153</v>
      </c>
      <c r="D513" s="80" t="s">
        <v>4585</v>
      </c>
      <c r="E513" s="80" t="s">
        <v>2244</v>
      </c>
      <c r="F513" s="80" t="s">
        <v>4586</v>
      </c>
      <c r="J513" s="80" t="s">
        <v>2280</v>
      </c>
      <c r="M513" s="80" t="s">
        <v>2268</v>
      </c>
      <c r="N513" s="80" t="s">
        <v>2241</v>
      </c>
      <c r="O513" s="80" t="s">
        <v>2153</v>
      </c>
      <c r="P513" s="80" t="s">
        <v>4566</v>
      </c>
      <c r="Q513" s="80" t="s">
        <v>4585</v>
      </c>
      <c r="R513" s="80" t="s">
        <v>4587</v>
      </c>
      <c r="S513" s="80" t="s">
        <v>2244</v>
      </c>
      <c r="T513" s="80" t="s">
        <v>2251</v>
      </c>
      <c r="U513" s="80" t="s">
        <v>2234</v>
      </c>
      <c r="W513" s="80" t="s">
        <v>2270</v>
      </c>
      <c r="X513" s="80" t="s">
        <v>2283</v>
      </c>
      <c r="AA513" s="80" t="s">
        <v>2256</v>
      </c>
      <c r="AC513" s="80" t="s">
        <v>4570</v>
      </c>
      <c r="AE513" s="80" t="s">
        <v>2258</v>
      </c>
      <c r="AF513" s="80" t="s">
        <v>2272</v>
      </c>
      <c r="AK513" s="80" t="s">
        <v>4576</v>
      </c>
      <c r="AL513" s="80" t="s">
        <v>4572</v>
      </c>
      <c r="AN513" s="80" t="s">
        <v>4586</v>
      </c>
      <c r="AP513" s="80" t="s">
        <v>4588</v>
      </c>
      <c r="AQ513" s="80" t="s">
        <v>4589</v>
      </c>
      <c r="AU513" s="80" t="s">
        <v>4590</v>
      </c>
    </row>
    <row r="514" spans="1:49">
      <c r="A514" s="80" t="s">
        <v>2241</v>
      </c>
      <c r="B514" s="80" t="s">
        <v>4591</v>
      </c>
      <c r="C514" s="80" t="s">
        <v>2145</v>
      </c>
      <c r="D514" s="80" t="s">
        <v>4592</v>
      </c>
      <c r="E514" s="80" t="s">
        <v>2244</v>
      </c>
      <c r="F514" s="80" t="s">
        <v>4593</v>
      </c>
      <c r="J514" s="80" t="s">
        <v>4594</v>
      </c>
      <c r="M514" s="80" t="s">
        <v>2247</v>
      </c>
      <c r="O514" s="80" t="s">
        <v>2145</v>
      </c>
      <c r="P514" s="80" t="s">
        <v>2378</v>
      </c>
      <c r="Q514" s="80" t="s">
        <v>4592</v>
      </c>
      <c r="R514" s="80" t="s">
        <v>4595</v>
      </c>
      <c r="S514" s="80" t="s">
        <v>2244</v>
      </c>
      <c r="T514" s="80" t="s">
        <v>2251</v>
      </c>
      <c r="U514" s="80" t="s">
        <v>2241</v>
      </c>
      <c r="V514" s="80" t="s">
        <v>4596</v>
      </c>
      <c r="W514" s="80" t="s">
        <v>2270</v>
      </c>
      <c r="X514" s="80" t="s">
        <v>2283</v>
      </c>
      <c r="AA514" s="80" t="s">
        <v>2256</v>
      </c>
      <c r="AC514" s="80" t="s">
        <v>2382</v>
      </c>
      <c r="AE514" s="80" t="s">
        <v>2258</v>
      </c>
      <c r="AF514" s="80" t="s">
        <v>2272</v>
      </c>
      <c r="AL514" s="80" t="s">
        <v>2261</v>
      </c>
      <c r="AN514" s="80" t="s">
        <v>4593</v>
      </c>
      <c r="AP514" s="80" t="s">
        <v>2448</v>
      </c>
      <c r="AQ514" s="80" t="s">
        <v>4597</v>
      </c>
      <c r="AU514" s="80" t="s">
        <v>4598</v>
      </c>
    </row>
    <row r="515" spans="1:49">
      <c r="A515" s="80" t="s">
        <v>2241</v>
      </c>
      <c r="B515" s="80" t="s">
        <v>4599</v>
      </c>
      <c r="C515" s="80" t="s">
        <v>2143</v>
      </c>
      <c r="D515" s="80" t="s">
        <v>4600</v>
      </c>
      <c r="E515" s="80" t="s">
        <v>2244</v>
      </c>
      <c r="F515" s="80" t="s">
        <v>4601</v>
      </c>
      <c r="J515" s="80" t="s">
        <v>4602</v>
      </c>
      <c r="M515" s="80" t="s">
        <v>2247</v>
      </c>
      <c r="O515" s="80" t="s">
        <v>2143</v>
      </c>
      <c r="P515" s="80" t="s">
        <v>2674</v>
      </c>
      <c r="Q515" s="80" t="s">
        <v>4600</v>
      </c>
      <c r="R515" s="80" t="s">
        <v>4603</v>
      </c>
      <c r="S515" s="80" t="s">
        <v>2244</v>
      </c>
      <c r="T515" s="80" t="s">
        <v>2251</v>
      </c>
      <c r="U515" s="80" t="s">
        <v>2241</v>
      </c>
      <c r="V515" s="80" t="s">
        <v>4604</v>
      </c>
      <c r="W515" s="80" t="s">
        <v>3445</v>
      </c>
      <c r="X515" s="80" t="s">
        <v>2291</v>
      </c>
      <c r="AA515" s="80" t="s">
        <v>2256</v>
      </c>
      <c r="AC515" s="80" t="s">
        <v>2325</v>
      </c>
      <c r="AE515" s="80" t="s">
        <v>2258</v>
      </c>
      <c r="AF515" s="80" t="s">
        <v>2259</v>
      </c>
      <c r="AL515" s="80" t="s">
        <v>2261</v>
      </c>
      <c r="AN515" s="80" t="s">
        <v>4601</v>
      </c>
      <c r="AP515" s="80" t="s">
        <v>2682</v>
      </c>
      <c r="AQ515" s="80" t="s">
        <v>4605</v>
      </c>
      <c r="AT515" s="80" t="s">
        <v>2256</v>
      </c>
      <c r="AU515" s="80" t="s">
        <v>4606</v>
      </c>
      <c r="AW515" s="80" t="s">
        <v>2350</v>
      </c>
    </row>
    <row r="516" spans="1:49">
      <c r="A516" s="80" t="s">
        <v>2241</v>
      </c>
      <c r="B516" s="80" t="s">
        <v>4607</v>
      </c>
      <c r="C516" s="80" t="s">
        <v>2145</v>
      </c>
      <c r="D516" s="80" t="s">
        <v>4608</v>
      </c>
      <c r="E516" s="80" t="s">
        <v>2418</v>
      </c>
      <c r="F516" s="80" t="s">
        <v>4609</v>
      </c>
      <c r="J516" s="80" t="s">
        <v>4610</v>
      </c>
      <c r="M516" s="80" t="s">
        <v>2247</v>
      </c>
      <c r="O516" s="80" t="s">
        <v>2145</v>
      </c>
      <c r="P516" s="80" t="s">
        <v>2378</v>
      </c>
      <c r="Q516" s="80" t="s">
        <v>4608</v>
      </c>
      <c r="R516" s="80" t="s">
        <v>4611</v>
      </c>
      <c r="S516" s="80" t="s">
        <v>2418</v>
      </c>
      <c r="T516" s="80" t="s">
        <v>2251</v>
      </c>
      <c r="U516" s="80" t="s">
        <v>2252</v>
      </c>
      <c r="V516" s="80" t="s">
        <v>4612</v>
      </c>
      <c r="W516" s="80" t="s">
        <v>2311</v>
      </c>
      <c r="X516" s="80" t="s">
        <v>2283</v>
      </c>
      <c r="AA516" s="80" t="s">
        <v>2256</v>
      </c>
      <c r="AC516" s="80" t="s">
        <v>2382</v>
      </c>
      <c r="AE516" s="80" t="s">
        <v>2258</v>
      </c>
      <c r="AF516" s="80" t="s">
        <v>2272</v>
      </c>
      <c r="AI516" s="80" t="s">
        <v>4613</v>
      </c>
      <c r="AL516" s="80" t="s">
        <v>2261</v>
      </c>
      <c r="AN516" s="80" t="s">
        <v>4609</v>
      </c>
      <c r="AP516" s="80" t="s">
        <v>3993</v>
      </c>
      <c r="AQ516" s="80" t="s">
        <v>4614</v>
      </c>
      <c r="AU516" s="80" t="s">
        <v>4615</v>
      </c>
    </row>
    <row r="517" spans="1:49">
      <c r="A517" s="80" t="s">
        <v>2241</v>
      </c>
      <c r="B517" s="80" t="s">
        <v>4616</v>
      </c>
      <c r="C517" s="80" t="s">
        <v>2145</v>
      </c>
      <c r="D517" s="80" t="s">
        <v>2375</v>
      </c>
      <c r="E517" s="80" t="s">
        <v>2244</v>
      </c>
      <c r="F517" s="80" t="s">
        <v>4617</v>
      </c>
      <c r="J517" s="80" t="s">
        <v>4618</v>
      </c>
      <c r="M517" s="80" t="s">
        <v>2247</v>
      </c>
      <c r="O517" s="80" t="s">
        <v>2145</v>
      </c>
      <c r="P517" s="80" t="s">
        <v>2378</v>
      </c>
      <c r="Q517" s="80" t="s">
        <v>2375</v>
      </c>
      <c r="R517" s="80" t="s">
        <v>4619</v>
      </c>
      <c r="S517" s="80" t="s">
        <v>2244</v>
      </c>
      <c r="T517" s="80" t="s">
        <v>2251</v>
      </c>
      <c r="U517" s="80" t="s">
        <v>2241</v>
      </c>
      <c r="V517" s="80" t="s">
        <v>4620</v>
      </c>
      <c r="W517" s="80" t="s">
        <v>2270</v>
      </c>
      <c r="X517" s="80" t="s">
        <v>2271</v>
      </c>
      <c r="AA517" s="80" t="s">
        <v>2256</v>
      </c>
      <c r="AC517" s="80" t="s">
        <v>2382</v>
      </c>
      <c r="AE517" s="80" t="s">
        <v>2258</v>
      </c>
      <c r="AF517" s="80" t="s">
        <v>2272</v>
      </c>
      <c r="AL517" s="80" t="s">
        <v>2261</v>
      </c>
      <c r="AN517" s="80" t="s">
        <v>4617</v>
      </c>
      <c r="AP517" s="80" t="s">
        <v>2383</v>
      </c>
      <c r="AQ517" s="80" t="s">
        <v>4621</v>
      </c>
      <c r="AT517" s="80" t="s">
        <v>2256</v>
      </c>
      <c r="AU517" s="80" t="s">
        <v>4622</v>
      </c>
      <c r="AW517" s="80" t="s">
        <v>2265</v>
      </c>
    </row>
  </sheetData>
  <phoneticPr fontId="3" type="noConversion"/>
  <pageMargins left="0.75" right="0.75" top="1" bottom="1" header="0.5" footer="0.5"/>
  <pageSetup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2689F-FD5D-4F0E-B1F2-2E0D60943B6A}">
  <sheetPr codeName="工作表10"/>
  <dimension ref="C1:H45"/>
  <sheetViews>
    <sheetView workbookViewId="0">
      <selection activeCell="K15" sqref="K15"/>
    </sheetView>
  </sheetViews>
  <sheetFormatPr defaultRowHeight="16.5"/>
  <cols>
    <col min="3" max="3" width="21" customWidth="1"/>
    <col min="6" max="6" width="22.5" customWidth="1"/>
    <col min="7" max="7" width="46.875" customWidth="1"/>
  </cols>
  <sheetData>
    <row r="1" spans="3:7">
      <c r="F1" s="20" t="s">
        <v>2112</v>
      </c>
      <c r="G1" s="37" t="s">
        <v>2139</v>
      </c>
    </row>
    <row r="2" spans="3:7">
      <c r="C2" s="20" t="s">
        <v>2104</v>
      </c>
      <c r="F2" s="20" t="s">
        <v>2104</v>
      </c>
      <c r="G2" s="37" t="s">
        <v>2140</v>
      </c>
    </row>
    <row r="3" spans="3:7">
      <c r="C3" s="20" t="s">
        <v>2105</v>
      </c>
      <c r="F3" s="20" t="s">
        <v>2104</v>
      </c>
      <c r="G3" s="37" t="s">
        <v>2141</v>
      </c>
    </row>
    <row r="4" spans="3:7">
      <c r="C4" s="20" t="s">
        <v>2106</v>
      </c>
      <c r="F4" s="20" t="s">
        <v>2105</v>
      </c>
      <c r="G4" s="37" t="s">
        <v>2142</v>
      </c>
    </row>
    <row r="5" spans="3:7">
      <c r="C5" s="20" t="s">
        <v>2107</v>
      </c>
      <c r="F5" s="20" t="s">
        <v>2113</v>
      </c>
      <c r="G5" s="37" t="s">
        <v>2143</v>
      </c>
    </row>
    <row r="6" spans="3:7">
      <c r="C6" s="20" t="s">
        <v>2108</v>
      </c>
      <c r="F6" s="20" t="s">
        <v>2113</v>
      </c>
      <c r="G6" s="37" t="s">
        <v>2144</v>
      </c>
    </row>
    <row r="7" spans="3:7">
      <c r="C7" s="20" t="s">
        <v>2109</v>
      </c>
      <c r="F7" s="20" t="s">
        <v>2113</v>
      </c>
      <c r="G7" s="37" t="s">
        <v>2145</v>
      </c>
    </row>
    <row r="8" spans="3:7">
      <c r="C8" s="20" t="s">
        <v>2110</v>
      </c>
      <c r="F8" s="20" t="s">
        <v>2113</v>
      </c>
      <c r="G8" s="37" t="s">
        <v>2146</v>
      </c>
    </row>
    <row r="9" spans="3:7">
      <c r="C9" s="20" t="s">
        <v>2111</v>
      </c>
      <c r="F9" s="20" t="s">
        <v>2106</v>
      </c>
      <c r="G9" s="37" t="s">
        <v>2147</v>
      </c>
    </row>
    <row r="10" spans="3:7">
      <c r="C10" s="20" t="s">
        <v>2112</v>
      </c>
      <c r="F10" s="20" t="s">
        <v>2108</v>
      </c>
      <c r="G10" s="37" t="s">
        <v>2148</v>
      </c>
    </row>
    <row r="11" spans="3:7">
      <c r="C11" s="20" t="s">
        <v>2113</v>
      </c>
      <c r="F11" s="20" t="s">
        <v>2110</v>
      </c>
      <c r="G11" s="37" t="s">
        <v>2149</v>
      </c>
    </row>
    <row r="12" spans="3:7">
      <c r="C12" s="20" t="s">
        <v>2114</v>
      </c>
      <c r="F12" s="20" t="s">
        <v>2113</v>
      </c>
      <c r="G12" s="37" t="s">
        <v>2150</v>
      </c>
    </row>
    <row r="13" spans="3:7">
      <c r="F13" s="20" t="s">
        <v>2105</v>
      </c>
      <c r="G13" s="37" t="s">
        <v>2151</v>
      </c>
    </row>
    <row r="14" spans="3:7">
      <c r="F14" s="20" t="s">
        <v>2106</v>
      </c>
      <c r="G14" s="37" t="s">
        <v>2152</v>
      </c>
    </row>
    <row r="15" spans="3:7">
      <c r="F15" s="20" t="s">
        <v>2114</v>
      </c>
      <c r="G15" s="37" t="s">
        <v>2153</v>
      </c>
    </row>
    <row r="16" spans="3:7">
      <c r="F16" s="20" t="s">
        <v>2112</v>
      </c>
      <c r="G16" s="37" t="s">
        <v>2154</v>
      </c>
    </row>
    <row r="17" spans="6:8">
      <c r="F17" s="20" t="s">
        <v>2112</v>
      </c>
      <c r="G17" s="20" t="s">
        <v>2182</v>
      </c>
      <c r="H17" s="37"/>
    </row>
    <row r="18" spans="6:8">
      <c r="F18" s="20" t="s">
        <v>2112</v>
      </c>
      <c r="G18" s="37" t="s">
        <v>2155</v>
      </c>
    </row>
    <row r="19" spans="6:8">
      <c r="F19" s="20" t="s">
        <v>2112</v>
      </c>
      <c r="G19" s="37" t="s">
        <v>2156</v>
      </c>
    </row>
    <row r="20" spans="6:8">
      <c r="F20" s="20" t="s">
        <v>2112</v>
      </c>
      <c r="G20" s="37" t="s">
        <v>2157</v>
      </c>
    </row>
    <row r="21" spans="6:8">
      <c r="F21" s="20" t="s">
        <v>2112</v>
      </c>
      <c r="G21" s="37" t="s">
        <v>2158</v>
      </c>
    </row>
    <row r="22" spans="6:8">
      <c r="F22" s="20" t="s">
        <v>2112</v>
      </c>
      <c r="G22" s="37" t="s">
        <v>2159</v>
      </c>
    </row>
    <row r="23" spans="6:8">
      <c r="F23" s="20" t="s">
        <v>2112</v>
      </c>
      <c r="G23" s="37" t="s">
        <v>2160</v>
      </c>
    </row>
    <row r="24" spans="6:8">
      <c r="F24" s="20" t="s">
        <v>2105</v>
      </c>
      <c r="G24" s="37" t="s">
        <v>2161</v>
      </c>
    </row>
    <row r="25" spans="6:8">
      <c r="F25" s="20" t="s">
        <v>2105</v>
      </c>
      <c r="G25" s="37" t="s">
        <v>2162</v>
      </c>
    </row>
    <row r="26" spans="6:8">
      <c r="F26" s="20" t="s">
        <v>2113</v>
      </c>
      <c r="G26" s="37" t="s">
        <v>2163</v>
      </c>
    </row>
    <row r="27" spans="6:8">
      <c r="F27" s="20" t="s">
        <v>2113</v>
      </c>
      <c r="G27" s="37" t="s">
        <v>2164</v>
      </c>
    </row>
    <row r="28" spans="6:8">
      <c r="F28" s="20" t="s">
        <v>2113</v>
      </c>
      <c r="G28" s="37" t="s">
        <v>2165</v>
      </c>
    </row>
    <row r="29" spans="6:8">
      <c r="F29" s="20" t="s">
        <v>2113</v>
      </c>
      <c r="G29" s="37" t="s">
        <v>2166</v>
      </c>
    </row>
    <row r="30" spans="6:8">
      <c r="F30" s="20" t="s">
        <v>2108</v>
      </c>
      <c r="G30" s="37" t="s">
        <v>2167</v>
      </c>
    </row>
    <row r="31" spans="6:8">
      <c r="F31" s="20" t="s">
        <v>2110</v>
      </c>
      <c r="G31" s="37" t="s">
        <v>2168</v>
      </c>
    </row>
    <row r="32" spans="6:8">
      <c r="F32" s="20" t="s">
        <v>2106</v>
      </c>
      <c r="G32" s="37" t="s">
        <v>2169</v>
      </c>
    </row>
    <row r="33" spans="6:7">
      <c r="F33" s="20" t="s">
        <v>2111</v>
      </c>
      <c r="G33" s="37" t="s">
        <v>2170</v>
      </c>
    </row>
    <row r="34" spans="6:7">
      <c r="F34" s="20" t="s">
        <v>2111</v>
      </c>
      <c r="G34" s="37" t="s">
        <v>2171</v>
      </c>
    </row>
    <row r="35" spans="6:7">
      <c r="F35" s="20" t="s">
        <v>2113</v>
      </c>
      <c r="G35" s="37" t="s">
        <v>2172</v>
      </c>
    </row>
    <row r="36" spans="6:7">
      <c r="F36" s="20" t="s">
        <v>2113</v>
      </c>
      <c r="G36" s="37" t="s">
        <v>2173</v>
      </c>
    </row>
    <row r="37" spans="6:7">
      <c r="F37" s="20" t="s">
        <v>2112</v>
      </c>
      <c r="G37" s="37" t="s">
        <v>2174</v>
      </c>
    </row>
    <row r="38" spans="6:7">
      <c r="F38" s="20" t="s">
        <v>2112</v>
      </c>
      <c r="G38" s="37" t="s">
        <v>2175</v>
      </c>
    </row>
    <row r="39" spans="6:7">
      <c r="F39" s="20" t="s">
        <v>2104</v>
      </c>
      <c r="G39" s="37" t="s">
        <v>2176</v>
      </c>
    </row>
    <row r="40" spans="6:7">
      <c r="F40" s="20" t="s">
        <v>2113</v>
      </c>
      <c r="G40" s="37" t="s">
        <v>2177</v>
      </c>
    </row>
    <row r="41" spans="6:7">
      <c r="F41" s="20" t="s">
        <v>2108</v>
      </c>
      <c r="G41" s="37" t="s">
        <v>2178</v>
      </c>
    </row>
    <row r="42" spans="6:7">
      <c r="F42" s="20" t="s">
        <v>2108</v>
      </c>
      <c r="G42" s="37" t="s">
        <v>2179</v>
      </c>
    </row>
    <row r="43" spans="6:7">
      <c r="F43" s="20" t="s">
        <v>2114</v>
      </c>
      <c r="G43" s="37" t="s">
        <v>2180</v>
      </c>
    </row>
    <row r="44" spans="6:7">
      <c r="F44" s="20" t="s">
        <v>2114</v>
      </c>
      <c r="G44" s="37" t="s">
        <v>2181</v>
      </c>
    </row>
    <row r="45" spans="6:7">
      <c r="G45" s="75"/>
    </row>
  </sheetData>
  <phoneticPr fontId="3" type="noConversion"/>
  <conditionalFormatting sqref="G45">
    <cfRule type="duplicateValues" dxfId="0" priority="7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B03C7-F9BB-446B-A5DF-29A4FEC27C06}">
  <sheetPr codeName="工作表4"/>
  <dimension ref="A1:F41"/>
  <sheetViews>
    <sheetView showGridLines="0" topLeftCell="A19" zoomScale="80" zoomScaleNormal="80" workbookViewId="0">
      <selection activeCell="D18" sqref="D18"/>
    </sheetView>
  </sheetViews>
  <sheetFormatPr defaultRowHeight="15.75"/>
  <cols>
    <col min="1" max="1" width="45.5" style="6" customWidth="1"/>
    <col min="2" max="2" width="19" style="6" customWidth="1"/>
    <col min="3" max="3" width="17.125" style="6" customWidth="1"/>
    <col min="4" max="4" width="13.5" style="6" bestFit="1" customWidth="1"/>
    <col min="5" max="6" width="19" style="6" customWidth="1"/>
    <col min="7" max="16384" width="9" style="6"/>
  </cols>
  <sheetData>
    <row r="1" spans="1:6" ht="18.75">
      <c r="A1" s="76" t="s">
        <v>2057</v>
      </c>
      <c r="B1" s="77"/>
      <c r="C1" s="77"/>
      <c r="D1" s="77"/>
      <c r="E1" s="5"/>
      <c r="F1" s="5"/>
    </row>
    <row r="2" spans="1:6">
      <c r="A2" s="48" t="s">
        <v>2183</v>
      </c>
      <c r="B2" s="49"/>
      <c r="C2" s="49"/>
      <c r="D2" s="49"/>
      <c r="E2" s="5"/>
      <c r="F2" s="5"/>
    </row>
    <row r="3" spans="1:6" ht="16.5" thickBot="1">
      <c r="A3" s="50" t="s">
        <v>2058</v>
      </c>
      <c r="B3" s="48"/>
      <c r="C3" s="48"/>
      <c r="D3" s="48"/>
      <c r="E3" s="5"/>
      <c r="F3" s="5"/>
    </row>
    <row r="4" spans="1:6" ht="16.5" thickBot="1">
      <c r="A4" s="51" t="s">
        <v>2059</v>
      </c>
      <c r="B4" s="52" t="s">
        <v>2060</v>
      </c>
      <c r="C4" s="53" t="s">
        <v>2061</v>
      </c>
      <c r="D4" s="54" t="s">
        <v>2062</v>
      </c>
      <c r="E4" s="5"/>
      <c r="F4" s="5"/>
    </row>
    <row r="5" spans="1:6">
      <c r="A5" s="55" t="s">
        <v>2063</v>
      </c>
      <c r="B5" s="56"/>
      <c r="C5" s="57"/>
      <c r="D5" s="58"/>
      <c r="E5" s="5"/>
      <c r="F5" s="5"/>
    </row>
    <row r="6" spans="1:6">
      <c r="A6" s="59" t="s">
        <v>2064</v>
      </c>
      <c r="B6" s="56"/>
      <c r="C6" s="57"/>
      <c r="D6" s="58"/>
      <c r="E6" s="5"/>
      <c r="F6" s="5"/>
    </row>
    <row r="7" spans="1:6">
      <c r="A7" s="60" t="s">
        <v>2065</v>
      </c>
      <c r="B7" s="56"/>
      <c r="C7" s="57"/>
      <c r="D7" s="58"/>
      <c r="E7" s="5"/>
      <c r="F7" s="5"/>
    </row>
    <row r="8" spans="1:6">
      <c r="A8" s="60" t="s">
        <v>2066</v>
      </c>
      <c r="B8" s="56"/>
      <c r="C8" s="57"/>
      <c r="D8" s="58"/>
      <c r="E8" s="5"/>
      <c r="F8" s="5"/>
    </row>
    <row r="9" spans="1:6">
      <c r="A9" s="60" t="s">
        <v>2067</v>
      </c>
      <c r="B9" s="56"/>
      <c r="C9" s="57"/>
      <c r="D9" s="58"/>
      <c r="E9" s="5"/>
      <c r="F9" s="5"/>
    </row>
    <row r="10" spans="1:6">
      <c r="A10" s="60" t="s">
        <v>2068</v>
      </c>
      <c r="B10" s="56"/>
      <c r="C10" s="57"/>
      <c r="D10" s="58"/>
      <c r="E10" s="5"/>
      <c r="F10" s="5"/>
    </row>
    <row r="11" spans="1:6">
      <c r="A11" s="60" t="s">
        <v>2069</v>
      </c>
      <c r="B11" s="56"/>
      <c r="C11" s="57"/>
      <c r="D11" s="58"/>
      <c r="F11" s="5"/>
    </row>
    <row r="12" spans="1:6">
      <c r="A12" s="60" t="s">
        <v>2070</v>
      </c>
      <c r="B12" s="56"/>
      <c r="C12" s="57"/>
      <c r="D12" s="58"/>
      <c r="E12" s="5"/>
      <c r="F12" s="5"/>
    </row>
    <row r="13" spans="1:6" ht="16.5" thickBot="1">
      <c r="A13" s="61" t="s">
        <v>2071</v>
      </c>
      <c r="B13" s="62"/>
      <c r="C13" s="63"/>
      <c r="D13" s="64"/>
      <c r="E13" s="5"/>
      <c r="F13" s="5"/>
    </row>
    <row r="14" spans="1:6">
      <c r="A14" s="9"/>
      <c r="B14" s="5"/>
      <c r="C14" s="5"/>
      <c r="D14" s="5"/>
      <c r="E14" s="5"/>
      <c r="F14" s="5"/>
    </row>
    <row r="15" spans="1:6">
      <c r="A15" s="7"/>
      <c r="B15" s="5"/>
      <c r="C15" s="5"/>
      <c r="D15" s="5"/>
      <c r="E15" s="5"/>
      <c r="F15" s="5"/>
    </row>
    <row r="16" spans="1:6" ht="18" thickBot="1">
      <c r="A16" s="78" t="s">
        <v>2072</v>
      </c>
      <c r="B16" s="78"/>
      <c r="C16" s="78"/>
      <c r="D16" s="78"/>
      <c r="E16" s="5"/>
      <c r="F16" s="5"/>
    </row>
    <row r="17" spans="1:6">
      <c r="A17" s="65"/>
      <c r="B17" s="52" t="s">
        <v>2073</v>
      </c>
      <c r="C17" s="53" t="s">
        <v>2074</v>
      </c>
      <c r="D17" s="66" t="s">
        <v>2075</v>
      </c>
      <c r="E17" s="5"/>
      <c r="F17" s="5"/>
    </row>
    <row r="18" spans="1:6">
      <c r="A18" s="59" t="s">
        <v>2076</v>
      </c>
      <c r="B18" s="67"/>
      <c r="C18" s="68"/>
      <c r="D18" s="69"/>
      <c r="E18" s="5"/>
      <c r="F18" s="5"/>
    </row>
    <row r="19" spans="1:6">
      <c r="A19" s="59" t="s">
        <v>2077</v>
      </c>
      <c r="B19" s="67"/>
      <c r="C19" s="68"/>
      <c r="D19" s="69"/>
      <c r="E19" s="5"/>
      <c r="F19" s="5"/>
    </row>
    <row r="20" spans="1:6">
      <c r="A20" s="59" t="s">
        <v>2078</v>
      </c>
      <c r="B20" s="67"/>
      <c r="C20" s="68"/>
      <c r="D20" s="69"/>
      <c r="E20" s="5"/>
      <c r="F20" s="5"/>
    </row>
    <row r="21" spans="1:6">
      <c r="A21" s="59" t="s">
        <v>2079</v>
      </c>
      <c r="B21" s="67"/>
      <c r="C21" s="68"/>
      <c r="D21" s="69"/>
      <c r="E21" s="5"/>
      <c r="F21" s="5"/>
    </row>
    <row r="22" spans="1:6">
      <c r="A22" s="59" t="s">
        <v>2080</v>
      </c>
      <c r="B22" s="70"/>
      <c r="C22" s="70"/>
      <c r="D22" s="71"/>
      <c r="E22" s="5"/>
      <c r="F22" s="5"/>
    </row>
    <row r="23" spans="1:6" ht="16.5" thickBot="1">
      <c r="A23" s="72" t="s">
        <v>2081</v>
      </c>
      <c r="B23" s="73"/>
      <c r="C23" s="73"/>
      <c r="D23" s="74"/>
      <c r="E23" s="5"/>
      <c r="F23" s="5"/>
    </row>
    <row r="24" spans="1:6">
      <c r="A24" s="9"/>
      <c r="B24" s="5"/>
      <c r="C24" s="5"/>
      <c r="D24" s="5"/>
      <c r="E24" s="5"/>
      <c r="F24" s="5"/>
    </row>
    <row r="25" spans="1:6">
      <c r="A25" s="7"/>
      <c r="B25" s="5"/>
      <c r="C25" s="5"/>
      <c r="D25" s="5"/>
      <c r="E25" s="5"/>
      <c r="F25" s="5"/>
    </row>
    <row r="26" spans="1:6">
      <c r="A26" s="7"/>
      <c r="B26" s="5"/>
      <c r="C26" s="5"/>
      <c r="D26" s="5"/>
      <c r="E26" s="5"/>
      <c r="F26" s="5"/>
    </row>
    <row r="27" spans="1:6" ht="16.5" thickBot="1">
      <c r="A27" s="8" t="s">
        <v>2136</v>
      </c>
      <c r="B27" s="7"/>
      <c r="C27" s="7"/>
      <c r="D27" s="7"/>
      <c r="E27" s="5"/>
      <c r="F27" s="5"/>
    </row>
    <row r="28" spans="1:6" ht="31.5">
      <c r="A28" s="12" t="s">
        <v>2082</v>
      </c>
      <c r="B28" s="13" t="s">
        <v>2083</v>
      </c>
      <c r="C28" s="14" t="s">
        <v>2084</v>
      </c>
      <c r="D28" s="14" t="s">
        <v>2138</v>
      </c>
      <c r="E28" s="14" t="s">
        <v>2085</v>
      </c>
      <c r="F28" s="15" t="s">
        <v>2086</v>
      </c>
    </row>
    <row r="29" spans="1:6">
      <c r="A29" s="10" t="s">
        <v>2087</v>
      </c>
      <c r="B29" s="44">
        <f>'MDA Component coverage summary'!C14</f>
        <v>87</v>
      </c>
      <c r="C29" s="44" t="s">
        <v>2137</v>
      </c>
      <c r="D29" s="44">
        <f>'MDA Component coverage summary'!E14</f>
        <v>0</v>
      </c>
      <c r="E29" s="44">
        <f>'MDA Component coverage summary'!D5</f>
        <v>0</v>
      </c>
      <c r="F29" s="45">
        <f>$D29/$B29</f>
        <v>0</v>
      </c>
    </row>
    <row r="30" spans="1:6">
      <c r="A30" s="10" t="s">
        <v>2088</v>
      </c>
      <c r="B30" s="44">
        <f>'MDA Component coverage summary'!C10</f>
        <v>0</v>
      </c>
      <c r="C30" s="44" t="s">
        <v>2137</v>
      </c>
      <c r="D30" s="44">
        <f>'MDA Component coverage summary'!E10</f>
        <v>0</v>
      </c>
      <c r="E30" s="44">
        <f>'MDA Component coverage summary'!D10</f>
        <v>0</v>
      </c>
      <c r="F30" s="45" t="e">
        <f t="shared" ref="F30:F41" si="0">$D30/$B30</f>
        <v>#DIV/0!</v>
      </c>
    </row>
    <row r="31" spans="1:6">
      <c r="A31" s="10" t="s">
        <v>2089</v>
      </c>
      <c r="B31" s="44">
        <f>'MDA Component coverage summary'!C9</f>
        <v>28</v>
      </c>
      <c r="C31" s="44" t="s">
        <v>2137</v>
      </c>
      <c r="D31" s="44">
        <f>'MDA Component coverage summary'!E9</f>
        <v>0</v>
      </c>
      <c r="E31" s="44">
        <f>'MDA Component coverage summary'!D9</f>
        <v>0</v>
      </c>
      <c r="F31" s="45">
        <f t="shared" si="0"/>
        <v>0</v>
      </c>
    </row>
    <row r="32" spans="1:6">
      <c r="A32" s="10" t="s">
        <v>2090</v>
      </c>
      <c r="B32" s="44">
        <f>'MDA Component coverage summary'!C7</f>
        <v>391</v>
      </c>
      <c r="C32" s="44" t="s">
        <v>2137</v>
      </c>
      <c r="D32" s="44">
        <f>'MDA Component coverage summary'!E7</f>
        <v>0</v>
      </c>
      <c r="E32" s="44">
        <f>'MDA Component coverage summary'!D7</f>
        <v>0</v>
      </c>
      <c r="F32" s="45">
        <f t="shared" si="0"/>
        <v>0</v>
      </c>
    </row>
    <row r="33" spans="1:6">
      <c r="A33" s="10" t="s">
        <v>2091</v>
      </c>
      <c r="B33" s="44">
        <f>SUMIF</f>
        <v>902</v>
      </c>
      <c r="C33" s="44" t="s">
        <v>2137</v>
      </c>
      <c r="D33" s="44">
        <f>'MDA Component coverage summary'!E5</f>
        <v>0</v>
      </c>
      <c r="E33" s="44">
        <f>'MDA Component coverage summary'!D5</f>
        <v>0</v>
      </c>
      <c r="F33" s="45">
        <f t="shared" si="0"/>
        <v>0</v>
      </c>
    </row>
    <row r="34" spans="1:6">
      <c r="A34" s="10" t="s">
        <v>2092</v>
      </c>
      <c r="B34" s="44">
        <f>'MDA Component coverage summary'!C8</f>
        <v>0</v>
      </c>
      <c r="C34" s="44" t="s">
        <v>2137</v>
      </c>
      <c r="D34" s="44">
        <f>'MDA Component coverage summary'!E8</f>
        <v>0</v>
      </c>
      <c r="E34" s="44">
        <f>'MDA Component coverage summary'!D8</f>
        <v>0</v>
      </c>
      <c r="F34" s="45" t="e">
        <f t="shared" si="0"/>
        <v>#DIV/0!</v>
      </c>
    </row>
    <row r="35" spans="1:6">
      <c r="A35" s="10" t="s">
        <v>2093</v>
      </c>
      <c r="B35" s="44">
        <f>'MDA Component coverage summary'!C6</f>
        <v>4</v>
      </c>
      <c r="C35" s="44" t="s">
        <v>2137</v>
      </c>
      <c r="D35" s="44">
        <f>'MDA Component coverage summary'!E6</f>
        <v>0</v>
      </c>
      <c r="E35" s="44">
        <f>'MDA Component coverage summary'!D6</f>
        <v>0</v>
      </c>
      <c r="F35" s="45">
        <f t="shared" si="0"/>
        <v>0</v>
      </c>
    </row>
    <row r="36" spans="1:6">
      <c r="A36" s="10" t="s">
        <v>2094</v>
      </c>
      <c r="B36" s="44">
        <f>'MDA Component coverage summary'!C12</f>
        <v>0</v>
      </c>
      <c r="C36" s="44" t="s">
        <v>2137</v>
      </c>
      <c r="D36" s="44">
        <f>'MDA Component coverage summary'!E12</f>
        <v>0</v>
      </c>
      <c r="E36" s="44">
        <f>'MDA Component coverage summary'!D12</f>
        <v>0</v>
      </c>
      <c r="F36" s="45" t="e">
        <f t="shared" si="0"/>
        <v>#DIV/0!</v>
      </c>
    </row>
    <row r="37" spans="1:6">
      <c r="A37" s="10" t="s">
        <v>2095</v>
      </c>
      <c r="B37" s="44">
        <v>0</v>
      </c>
      <c r="C37" s="44" t="s">
        <v>2137</v>
      </c>
      <c r="D37" s="44">
        <v>0</v>
      </c>
      <c r="E37" s="44">
        <v>0</v>
      </c>
      <c r="F37" s="45" t="e">
        <f t="shared" si="0"/>
        <v>#DIV/0!</v>
      </c>
    </row>
    <row r="38" spans="1:6">
      <c r="A38" s="10" t="s">
        <v>2096</v>
      </c>
      <c r="B38" s="44">
        <v>0</v>
      </c>
      <c r="C38" s="44" t="s">
        <v>2137</v>
      </c>
      <c r="D38" s="44">
        <v>0</v>
      </c>
      <c r="E38" s="44">
        <v>0</v>
      </c>
      <c r="F38" s="45" t="e">
        <f t="shared" si="0"/>
        <v>#DIV/0!</v>
      </c>
    </row>
    <row r="39" spans="1:6">
      <c r="A39" s="10" t="s">
        <v>2097</v>
      </c>
      <c r="B39" s="44">
        <f>'MDA Component coverage summary'!C13</f>
        <v>1</v>
      </c>
      <c r="C39" s="44" t="s">
        <v>2137</v>
      </c>
      <c r="D39" s="44">
        <f>'MDA Component coverage summary'!E13</f>
        <v>0</v>
      </c>
      <c r="E39" s="44">
        <f>'MDA Component coverage summary'!D13</f>
        <v>0</v>
      </c>
      <c r="F39" s="45">
        <f t="shared" si="0"/>
        <v>0</v>
      </c>
    </row>
    <row r="40" spans="1:6">
      <c r="A40" s="10" t="s">
        <v>2098</v>
      </c>
      <c r="B40" s="44">
        <f>'MDA Component coverage summary'!C15</f>
        <v>23</v>
      </c>
      <c r="C40" s="44" t="s">
        <v>2137</v>
      </c>
      <c r="D40" s="44">
        <f>'MDA Component coverage summary'!E15</f>
        <v>0</v>
      </c>
      <c r="E40" s="44">
        <f>'MDA Component coverage summary'!D15</f>
        <v>0</v>
      </c>
      <c r="F40" s="45">
        <f t="shared" si="0"/>
        <v>0</v>
      </c>
    </row>
    <row r="41" spans="1:6" ht="16.5" thickBot="1">
      <c r="A41" s="11" t="s">
        <v>2075</v>
      </c>
      <c r="B41" s="46">
        <f>'MDA Component coverage summary'!C16</f>
        <v>1480</v>
      </c>
      <c r="C41" s="46" t="s">
        <v>2137</v>
      </c>
      <c r="D41" s="46">
        <f>'MDA Component coverage summary'!E16</f>
        <v>0</v>
      </c>
      <c r="E41" s="46">
        <f>'MDA Component coverage summary'!D16</f>
        <v>0</v>
      </c>
      <c r="F41" s="47">
        <f t="shared" si="0"/>
        <v>0</v>
      </c>
    </row>
  </sheetData>
  <mergeCells count="2">
    <mergeCell ref="A1:D1"/>
    <mergeCell ref="A16:D16"/>
  </mergeCells>
  <phoneticPr fontId="3" type="noConversion"/>
  <hyperlinks>
    <hyperlink ref="A37" location="BOI_Switch!A1" display="Switch" xr:uid="{2343FA67-A598-4A37-816D-EB239D5A9DC3}"/>
    <hyperlink ref="A38" location="BOI_Jumper!A1" display="Jumper" xr:uid="{327DB749-BDEF-4B89-BA01-DDA2F8283062}"/>
    <hyperlink ref="A36" location="BOI_Crystal!A1" display="Crystal" xr:uid="{F7064E26-469D-45DF-9B83-DA437AED6DAD}"/>
    <hyperlink ref="A35" location="BOI_Inductor!A1" display="Inductor" xr:uid="{B6B95A03-C339-4D03-9B6F-15367A7F1E1C}"/>
    <hyperlink ref="A33" location="BOI_Resistor!A1" display="Resistor" xr:uid="{E2C4A0E2-2B13-4A2D-A581-E643D80B2300}"/>
    <hyperlink ref="A32" location="BOI_Capacitor!A1" display="Capacitor" xr:uid="{AEA0706C-0FB7-4450-AF37-F0E15D0D63BE}"/>
    <hyperlink ref="A31" location="'BOI_Diode+LED'!A1" display="Diode" xr:uid="{86D58876-080F-4539-9126-7EB229AEB54B}"/>
    <hyperlink ref="A30" location="BOI_Transistor!A1" display="Transistor" xr:uid="{CDFF3865-2409-4D65-B108-0547ABDDCFDA}"/>
    <hyperlink ref="A29" location="'BOI_Integrated circuit'!A1" display="Integrated Circuit" xr:uid="{787E56E9-2D9D-422E-8B55-E675F69DB239}"/>
    <hyperlink ref="A39" location="BOI_Connector!A1" display="Connector" xr:uid="{2022E862-B190-4BD0-8F1B-CA517840186F}"/>
    <hyperlink ref="A40" location="BOI_Other!A1" display="Other" xr:uid="{5C63C3F1-A3FC-4A91-B6C3-42B566342EA4}"/>
    <hyperlink ref="A34" location="BOI_Fuse!A1" display="Fuse" xr:uid="{0182A00E-4E50-4A57-A334-2DCF2E90876A}"/>
  </hyperlinks>
  <pageMargins left="0.7" right="0.7" top="0.75" bottom="0.75" header="0.3" footer="0.3"/>
  <pageSetup orientation="portrait" r:id="rId1"/>
  <headerFooter>
    <oddFooter>&amp;C_x000D_&amp;1#&amp;"Calibri"&amp;9&amp;KFFFF00 Wiwynn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4C7CA-3EE5-4FC9-A3A9-63A4AF7F5166}">
  <sheetPr codeName="工作表5"/>
  <dimension ref="B1:H29"/>
  <sheetViews>
    <sheetView showGridLines="0" zoomScaleNormal="75" workbookViewId="0">
      <selection activeCell="I13" sqref="I13"/>
    </sheetView>
  </sheetViews>
  <sheetFormatPr defaultColWidth="9" defaultRowHeight="12.75"/>
  <cols>
    <col min="1" max="1" width="4.625" style="17" customWidth="1"/>
    <col min="2" max="2" width="33.75" style="17" customWidth="1"/>
    <col min="3" max="6" width="13.875" style="17" customWidth="1"/>
    <col min="7" max="7" width="8" style="17" customWidth="1"/>
    <col min="8" max="8" width="7.375" style="17" customWidth="1"/>
    <col min="9" max="9" width="8.125" style="17" customWidth="1"/>
    <col min="10" max="10" width="9.125" style="17" bestFit="1" customWidth="1"/>
    <col min="11" max="11" width="8.375" style="17" bestFit="1" customWidth="1"/>
    <col min="12" max="12" width="22.625" style="17" bestFit="1" customWidth="1"/>
    <col min="13" max="13" width="16.625" style="17" bestFit="1" customWidth="1"/>
    <col min="14" max="17" width="7.5" style="17" customWidth="1"/>
    <col min="18" max="16384" width="9" style="17"/>
  </cols>
  <sheetData>
    <row r="1" spans="2:8" ht="22.5">
      <c r="B1" s="79" t="s">
        <v>2134</v>
      </c>
      <c r="C1" s="79"/>
      <c r="D1" s="79"/>
      <c r="E1" s="79"/>
      <c r="F1" s="79"/>
      <c r="G1" s="16"/>
      <c r="H1" s="16"/>
    </row>
    <row r="4" spans="2:8" ht="25.5">
      <c r="B4" s="18" t="s">
        <v>2099</v>
      </c>
      <c r="C4" s="18" t="s">
        <v>2100</v>
      </c>
      <c r="D4" s="19" t="s">
        <v>2101</v>
      </c>
      <c r="E4" s="19" t="s">
        <v>2102</v>
      </c>
      <c r="F4" s="18" t="s">
        <v>2103</v>
      </c>
    </row>
    <row r="5" spans="2:8">
      <c r="B5" s="20" t="s">
        <v>2104</v>
      </c>
      <c r="C5" s="21">
        <f>COUNTIF('MDA Location test summary'!E:E,$B5)</f>
        <v>902</v>
      </c>
      <c r="D5" s="21">
        <f>COUNTIFS('MDA Location test summary'!E:E,$B5,'MDA Location test summary'!F:F,"Untested")</f>
        <v>0</v>
      </c>
      <c r="E5" s="21">
        <f>COUNTIFS('MDA Location test summary'!E:E,$B5,'MDA Location test summary'!F:F,"Tested")</f>
        <v>0</v>
      </c>
      <c r="F5" s="22">
        <f>(C5-D5)/C5</f>
        <v>1</v>
      </c>
    </row>
    <row r="6" spans="2:8">
      <c r="B6" s="20" t="s">
        <v>2105</v>
      </c>
      <c r="C6" s="21">
        <f>COUNTIF('MDA Location test summary'!E:E,$B6)</f>
        <v>4</v>
      </c>
      <c r="D6" s="21">
        <f>COUNTIFS('MDA Location test summary'!E:E,$B6,'MDA Location test summary'!F:F,"Untested")</f>
        <v>0</v>
      </c>
      <c r="E6" s="21">
        <f>COUNTIFS('MDA Location test summary'!E:E,$B6,'MDA Location test summary'!F:F,"Tested")</f>
        <v>0</v>
      </c>
      <c r="F6" s="22">
        <f t="shared" ref="F6:F16" si="0">(C6-D6)/C6</f>
        <v>1</v>
      </c>
    </row>
    <row r="7" spans="2:8">
      <c r="B7" s="20" t="s">
        <v>2106</v>
      </c>
      <c r="C7" s="21">
        <f>COUNTIF('MDA Location test summary'!E:E,$B7)</f>
        <v>391</v>
      </c>
      <c r="D7" s="21">
        <f>COUNTIFS('MDA Location test summary'!E:E,$B7,'MDA Location test summary'!F:F,"Untested")+COUNTIFS('MDA Location test summary'!E:E,$B7,'MDA Location test summary'!F:F,"Limited Test")</f>
        <v>0</v>
      </c>
      <c r="E7" s="21">
        <f>COUNTIFS('MDA Location test summary'!E:E,$B7,'MDA Location test summary'!F:F,"Tested")</f>
        <v>0</v>
      </c>
      <c r="F7" s="22">
        <f t="shared" si="0"/>
        <v>1</v>
      </c>
    </row>
    <row r="8" spans="2:8">
      <c r="B8" s="20" t="s">
        <v>2107</v>
      </c>
      <c r="C8" s="21">
        <f>COUNTIF('MDA Location test summary'!E:E,$B8)</f>
        <v>0</v>
      </c>
      <c r="D8" s="21">
        <f>COUNTIFS('MDA Location test summary'!E:E,$B8,'MDA Location test summary'!F:F,"Untested")</f>
        <v>0</v>
      </c>
      <c r="E8" s="21">
        <f>COUNTIFS('MDA Location test summary'!E:E,$B8,'MDA Location test summary'!F:F,"Tested")</f>
        <v>0</v>
      </c>
      <c r="F8" s="22" t="e">
        <f t="shared" si="0"/>
        <v>#DIV/0!</v>
      </c>
    </row>
    <row r="9" spans="2:8">
      <c r="B9" s="20" t="s">
        <v>2108</v>
      </c>
      <c r="C9" s="21">
        <f>COUNTIF('MDA Location test summary'!E:E,$B9)</f>
        <v>28</v>
      </c>
      <c r="D9" s="21">
        <f>COUNTIFS('MDA Location test summary'!E:E,$B9,'MDA Location test summary'!F:F,"Untested")</f>
        <v>0</v>
      </c>
      <c r="E9" s="21">
        <f>COUNTIFS('MDA Location test summary'!E:E,$B9,'MDA Location test summary'!F:F,"Tested")</f>
        <v>0</v>
      </c>
      <c r="F9" s="22">
        <f t="shared" si="0"/>
        <v>1</v>
      </c>
    </row>
    <row r="10" spans="2:8">
      <c r="B10" s="20" t="s">
        <v>2109</v>
      </c>
      <c r="C10" s="21">
        <f>COUNTIF('MDA Location test summary'!E:E,$B10)</f>
        <v>0</v>
      </c>
      <c r="D10" s="21">
        <f>COUNTIFS('MDA Location test summary'!E:E,$B10,'MDA Location test summary'!F:F,"Untested")</f>
        <v>0</v>
      </c>
      <c r="E10" s="21">
        <f>COUNTIFS('MDA Location test summary'!E:E,$B10,'MDA Location test summary'!F:F,"Tested")</f>
        <v>0</v>
      </c>
      <c r="F10" s="22" t="e">
        <f t="shared" si="0"/>
        <v>#DIV/0!</v>
      </c>
    </row>
    <row r="11" spans="2:8">
      <c r="B11" s="20" t="s">
        <v>2110</v>
      </c>
      <c r="C11" s="21">
        <f>COUNTIF('MDA Location test summary'!E:E,$B11)</f>
        <v>44</v>
      </c>
      <c r="D11" s="21">
        <f>COUNTIFS('MDA Location test summary'!E:E,$B11,'MDA Location test summary'!F:F,"Untested")</f>
        <v>0</v>
      </c>
      <c r="E11" s="21">
        <f>COUNTIFS('MDA Location test summary'!E:E,$B11,'MDA Location test summary'!F:F,"Tested")</f>
        <v>0</v>
      </c>
      <c r="F11" s="22">
        <f t="shared" si="0"/>
        <v>1</v>
      </c>
    </row>
    <row r="12" spans="2:8">
      <c r="B12" s="20" t="s">
        <v>2111</v>
      </c>
      <c r="C12" s="21">
        <f>COUNTIF('MDA Location test summary'!E:E,$B12)</f>
        <v>0</v>
      </c>
      <c r="D12" s="21">
        <f>COUNTIFS('MDA Location test summary'!E:E,$B12,'MDA Location test summary'!F:F,"Untested")</f>
        <v>0</v>
      </c>
      <c r="E12" s="21">
        <f>COUNTIFS('MDA Location test summary'!E:E,$B12,'MDA Location test summary'!F:F,"Tested")</f>
        <v>0</v>
      </c>
      <c r="F12" s="22" t="e">
        <f t="shared" si="0"/>
        <v>#DIV/0!</v>
      </c>
    </row>
    <row r="13" spans="2:8">
      <c r="B13" s="20" t="s">
        <v>2112</v>
      </c>
      <c r="C13" s="21">
        <f>COUNTIF('MDA Location test summary'!E:E,$B13)</f>
        <v>1</v>
      </c>
      <c r="D13" s="21">
        <f>COUNTIFS('MDA Location test summary'!E:E,$B13,'MDA Location test summary'!F:F,"Untested")</f>
        <v>0</v>
      </c>
      <c r="E13" s="21">
        <f>COUNTIFS('MDA Location test summary'!E:E,$B13,'MDA Location test summary'!F:F,"Tested")</f>
        <v>0</v>
      </c>
      <c r="F13" s="22">
        <f t="shared" si="0"/>
        <v>1</v>
      </c>
    </row>
    <row r="14" spans="2:8">
      <c r="B14" s="20" t="s">
        <v>2113</v>
      </c>
      <c r="C14" s="21">
        <f>COUNTIF('MDA Location test summary'!E:E,$B14)</f>
        <v>87</v>
      </c>
      <c r="D14" s="21">
        <f>COUNTIFS('MDA Location test summary'!E:E,$B14,'MDA Location test summary'!F:F,"Untested")</f>
        <v>0</v>
      </c>
      <c r="E14" s="21">
        <f>COUNTIFS('MDA Location test summary'!E:E,$B14,'MDA Location test summary'!F:F,"Tested")</f>
        <v>0</v>
      </c>
      <c r="F14" s="22">
        <f t="shared" si="0"/>
        <v>1</v>
      </c>
    </row>
    <row r="15" spans="2:8">
      <c r="B15" s="20" t="s">
        <v>2114</v>
      </c>
      <c r="C15" s="21">
        <f>COUNTIF('MDA Location test summary'!E:E,$B15)</f>
        <v>23</v>
      </c>
      <c r="D15" s="21">
        <f>COUNTIFS('MDA Location test summary'!E:E,$B15,'MDA Location test summary'!F:F,"Untested")</f>
        <v>0</v>
      </c>
      <c r="E15" s="21">
        <f>COUNTIFS('MDA Location test summary'!E:E,$B15,'MDA Location test summary'!F:F,"Tested")</f>
        <v>0</v>
      </c>
      <c r="F15" s="22">
        <f t="shared" si="0"/>
        <v>1</v>
      </c>
    </row>
    <row r="16" spans="2:8">
      <c r="B16" s="23" t="s">
        <v>2115</v>
      </c>
      <c r="C16" s="18">
        <f>SUM(C5:C15)</f>
        <v>1480</v>
      </c>
      <c r="D16" s="18">
        <f>SUM(D5:D15)</f>
        <v>0</v>
      </c>
      <c r="E16" s="18">
        <f>SUM(E5:E15)</f>
        <v>0</v>
      </c>
      <c r="F16" s="24">
        <f t="shared" si="0"/>
        <v>1</v>
      </c>
    </row>
    <row r="17" spans="2:6">
      <c r="B17" s="20" t="s">
        <v>2116</v>
      </c>
      <c r="C17" s="21">
        <f>COUNTIFS('MDA Location test summary'!E:E,$B7,'MDA Location test summary'!F:F,"Limited Test")</f>
        <v>0</v>
      </c>
      <c r="D17" s="21" t="s">
        <v>2117</v>
      </c>
      <c r="E17" s="21" t="s">
        <v>2117</v>
      </c>
      <c r="F17" s="21" t="s">
        <v>2117</v>
      </c>
    </row>
    <row r="18" spans="2:6">
      <c r="B18" s="23" t="s">
        <v>2118</v>
      </c>
      <c r="C18" s="18">
        <f>C16-C17</f>
        <v>1480</v>
      </c>
      <c r="D18" s="18">
        <f>D16-C17</f>
        <v>0</v>
      </c>
      <c r="E18" s="18">
        <f>C18-D18</f>
        <v>1480</v>
      </c>
      <c r="F18" s="24">
        <f>(C18-D18)/C18</f>
        <v>1</v>
      </c>
    </row>
    <row r="21" spans="2:6" s="28" customFormat="1" ht="12.75" customHeight="1">
      <c r="B21" s="25"/>
      <c r="C21" s="26"/>
      <c r="D21" s="26"/>
      <c r="E21" s="26"/>
      <c r="F21" s="27"/>
    </row>
    <row r="22" spans="2:6" s="28" customFormat="1" ht="12.75" customHeight="1">
      <c r="B22" s="29" t="s">
        <v>2119</v>
      </c>
      <c r="C22" s="30"/>
      <c r="D22" s="30"/>
      <c r="E22" s="30"/>
      <c r="F22" s="27"/>
    </row>
    <row r="23" spans="2:6" s="28" customFormat="1" ht="12.75" customHeight="1">
      <c r="B23" s="31" t="s">
        <v>2120</v>
      </c>
      <c r="C23" s="30"/>
      <c r="D23" s="30"/>
      <c r="E23" s="30"/>
      <c r="F23" s="27"/>
    </row>
    <row r="24" spans="2:6" s="28" customFormat="1" ht="12.75" customHeight="1">
      <c r="B24" s="31" t="s">
        <v>2121</v>
      </c>
      <c r="C24" s="30"/>
      <c r="D24" s="30"/>
      <c r="E24" s="30"/>
      <c r="F24" s="27"/>
    </row>
    <row r="25" spans="2:6" ht="12.75" customHeight="1">
      <c r="B25" s="32" t="s">
        <v>2122</v>
      </c>
    </row>
    <row r="26" spans="2:6" ht="12.75" customHeight="1">
      <c r="B26" s="32" t="s">
        <v>2123</v>
      </c>
    </row>
    <row r="27" spans="2:6" ht="12.75" customHeight="1">
      <c r="B27" s="32" t="s">
        <v>2124</v>
      </c>
    </row>
    <row r="28" spans="2:6" ht="12.75" customHeight="1">
      <c r="B28" s="32" t="s">
        <v>2125</v>
      </c>
    </row>
    <row r="29" spans="2:6" ht="12.75" customHeight="1"/>
  </sheetData>
  <mergeCells count="1">
    <mergeCell ref="B1:F1"/>
  </mergeCells>
  <phoneticPr fontId="3" type="noConversion"/>
  <printOptions horizontalCentered="1"/>
  <pageMargins left="0" right="0" top="0.39370078740157483" bottom="0" header="0" footer="0"/>
  <pageSetup paperSize="9" scale="93" orientation="portrait" r:id="rId1"/>
  <headerFooter alignWithMargins="0">
    <oddFooter>&amp;C_x000D_&amp;1#&amp;"Calibri"&amp;9&amp;KFFFF00 Wiwynn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E9B8CA-46DA-445B-98A0-921BCBB04522}">
  <sheetPr codeName="工作表6"/>
  <dimension ref="A1:G3314"/>
  <sheetViews>
    <sheetView showGridLines="0" tabSelected="1" topLeftCell="A1497" zoomScaleNormal="100" workbookViewId="0">
      <selection activeCell="K1514" sqref="K1514"/>
    </sheetView>
  </sheetViews>
  <sheetFormatPr defaultColWidth="8" defaultRowHeight="16.5"/>
  <cols>
    <col min="1" max="1" width="4.875" style="38" bestFit="1" customWidth="1"/>
    <col min="2" max="2" width="8.125" style="38" bestFit="1" customWidth="1"/>
    <col min="3" max="3" width="15.75" style="38" customWidth="1"/>
    <col min="4" max="4" width="37.375" style="38" customWidth="1"/>
    <col min="5" max="5" width="18.25" style="38" customWidth="1"/>
    <col min="6" max="6" width="15.375" style="38" customWidth="1"/>
    <col min="7" max="7" width="22.125" style="36" customWidth="1"/>
    <col min="8" max="16384" width="8" style="36"/>
  </cols>
  <sheetData>
    <row r="1" spans="1:7">
      <c r="A1" s="33" t="s">
        <v>0</v>
      </c>
      <c r="B1" s="34" t="s">
        <v>2126</v>
      </c>
      <c r="C1" s="34" t="s">
        <v>2127</v>
      </c>
      <c r="D1" s="34" t="s">
        <v>2128</v>
      </c>
      <c r="E1" s="34" t="s">
        <v>2099</v>
      </c>
      <c r="F1" s="34" t="s">
        <v>2135</v>
      </c>
      <c r="G1" s="35" t="s">
        <v>2129</v>
      </c>
    </row>
    <row r="2" spans="1:7">
      <c r="A2" s="37">
        <v>1</v>
      </c>
      <c r="B2" s="37" t="s">
        <v>4623</v>
      </c>
      <c r="C2" s="37" t="s">
        <v>2242</v>
      </c>
      <c r="D2" s="37" t="s">
        <v>2243</v>
      </c>
      <c r="E2" s="37" t="s">
        <v>4624</v>
      </c>
      <c r="F2" s="37"/>
      <c r="G2" s="37"/>
    </row>
    <row r="3" spans="1:7">
      <c r="A3" s="37">
        <v>2</v>
      </c>
      <c r="B3" s="37" t="s">
        <v>4625</v>
      </c>
      <c r="C3" s="37" t="s">
        <v>2242</v>
      </c>
      <c r="D3" s="37" t="s">
        <v>2243</v>
      </c>
      <c r="E3" s="37" t="s">
        <v>4624</v>
      </c>
      <c r="F3" s="37"/>
      <c r="G3" s="37"/>
    </row>
    <row r="4" spans="1:7">
      <c r="A4" s="37"/>
      <c r="B4" s="37" t="s">
        <v>2290</v>
      </c>
      <c r="C4" s="37" t="s">
        <v>2284</v>
      </c>
      <c r="D4" s="37" t="s">
        <v>2278</v>
      </c>
      <c r="E4" s="37" t="s">
        <v>4624</v>
      </c>
      <c r="F4" s="37"/>
      <c r="G4" s="37"/>
    </row>
    <row r="5" spans="1:7">
      <c r="A5" s="37"/>
      <c r="B5" s="37" t="s">
        <v>4626</v>
      </c>
      <c r="C5" s="37" t="s">
        <v>2295</v>
      </c>
      <c r="D5" s="37" t="s">
        <v>2297</v>
      </c>
      <c r="E5" s="37" t="s">
        <v>4627</v>
      </c>
      <c r="F5" s="37"/>
      <c r="G5" s="37"/>
    </row>
    <row r="6" spans="1:7">
      <c r="A6" s="37"/>
      <c r="B6" s="37" t="s">
        <v>4628</v>
      </c>
      <c r="C6" s="37" t="s">
        <v>2295</v>
      </c>
      <c r="D6" s="37" t="s">
        <v>2297</v>
      </c>
      <c r="E6" s="37" t="s">
        <v>4627</v>
      </c>
      <c r="F6" s="37"/>
      <c r="G6" s="37"/>
    </row>
    <row r="7" spans="1:7">
      <c r="A7" s="37"/>
      <c r="B7" s="37" t="s">
        <v>4629</v>
      </c>
      <c r="C7" s="37" t="s">
        <v>2315</v>
      </c>
      <c r="D7" s="37" t="s">
        <v>2316</v>
      </c>
      <c r="E7" s="37" t="s">
        <v>2674</v>
      </c>
      <c r="F7" s="37"/>
      <c r="G7" s="37"/>
    </row>
    <row r="8" spans="1:7">
      <c r="A8" s="37"/>
      <c r="B8" s="37" t="s">
        <v>4630</v>
      </c>
      <c r="C8" s="37" t="s">
        <v>2315</v>
      </c>
      <c r="D8" s="37" t="s">
        <v>2316</v>
      </c>
      <c r="E8" s="37" t="s">
        <v>2674</v>
      </c>
      <c r="F8" s="37"/>
      <c r="G8" s="37"/>
    </row>
    <row r="9" spans="1:7">
      <c r="A9" s="37"/>
      <c r="B9" s="37" t="s">
        <v>4631</v>
      </c>
      <c r="C9" s="37" t="s">
        <v>2315</v>
      </c>
      <c r="D9" s="37" t="s">
        <v>2316</v>
      </c>
      <c r="E9" s="37" t="s">
        <v>2674</v>
      </c>
      <c r="F9" s="37"/>
      <c r="G9" s="37"/>
    </row>
    <row r="10" spans="1:7">
      <c r="A10" s="37"/>
      <c r="B10" s="37" t="s">
        <v>4632</v>
      </c>
      <c r="C10" s="37" t="s">
        <v>2315</v>
      </c>
      <c r="D10" s="37" t="s">
        <v>2316</v>
      </c>
      <c r="E10" s="37" t="s">
        <v>2674</v>
      </c>
      <c r="F10" s="37"/>
      <c r="G10" s="37"/>
    </row>
    <row r="11" spans="1:7">
      <c r="A11" s="37"/>
      <c r="B11" s="37" t="s">
        <v>4633</v>
      </c>
      <c r="C11" s="37" t="s">
        <v>2315</v>
      </c>
      <c r="D11" s="37" t="s">
        <v>2316</v>
      </c>
      <c r="E11" s="37" t="s">
        <v>2674</v>
      </c>
      <c r="F11" s="37"/>
      <c r="G11" s="37"/>
    </row>
    <row r="12" spans="1:7">
      <c r="A12" s="37"/>
      <c r="B12" s="37" t="s">
        <v>4634</v>
      </c>
      <c r="C12" s="37" t="s">
        <v>2315</v>
      </c>
      <c r="D12" s="37" t="s">
        <v>2316</v>
      </c>
      <c r="E12" s="37" t="s">
        <v>2674</v>
      </c>
      <c r="F12" s="37"/>
      <c r="G12" s="37"/>
    </row>
    <row r="13" spans="1:7">
      <c r="A13" s="37"/>
      <c r="B13" s="37" t="s">
        <v>4635</v>
      </c>
      <c r="C13" s="37" t="s">
        <v>2315</v>
      </c>
      <c r="D13" s="37" t="s">
        <v>2316</v>
      </c>
      <c r="E13" s="37" t="s">
        <v>2674</v>
      </c>
      <c r="F13" s="37"/>
      <c r="G13" s="37"/>
    </row>
    <row r="14" spans="1:7">
      <c r="A14" s="37"/>
      <c r="B14" s="37" t="s">
        <v>4636</v>
      </c>
      <c r="C14" s="37" t="s">
        <v>2315</v>
      </c>
      <c r="D14" s="37" t="s">
        <v>2316</v>
      </c>
      <c r="E14" s="37" t="s">
        <v>2674</v>
      </c>
      <c r="F14" s="37"/>
      <c r="G14" s="37"/>
    </row>
    <row r="15" spans="1:7">
      <c r="A15" s="37"/>
      <c r="B15" s="37" t="s">
        <v>4637</v>
      </c>
      <c r="C15" s="37" t="s">
        <v>2315</v>
      </c>
      <c r="D15" s="37" t="s">
        <v>2316</v>
      </c>
      <c r="E15" s="37" t="s">
        <v>2674</v>
      </c>
      <c r="F15" s="37"/>
      <c r="G15" s="37"/>
    </row>
    <row r="16" spans="1:7">
      <c r="A16" s="37"/>
      <c r="B16" s="37" t="s">
        <v>4638</v>
      </c>
      <c r="C16" s="37" t="s">
        <v>2315</v>
      </c>
      <c r="D16" s="37" t="s">
        <v>2316</v>
      </c>
      <c r="E16" s="37" t="s">
        <v>2674</v>
      </c>
      <c r="F16" s="37"/>
      <c r="G16" s="37"/>
    </row>
    <row r="17" spans="1:7">
      <c r="A17" s="37"/>
      <c r="B17" s="37" t="s">
        <v>4639</v>
      </c>
      <c r="C17" s="37" t="s">
        <v>2315</v>
      </c>
      <c r="D17" s="37" t="s">
        <v>2316</v>
      </c>
      <c r="E17" s="37" t="s">
        <v>2674</v>
      </c>
      <c r="F17" s="37"/>
      <c r="G17" s="37"/>
    </row>
    <row r="18" spans="1:7">
      <c r="A18" s="37"/>
      <c r="B18" s="37" t="s">
        <v>4640</v>
      </c>
      <c r="C18" s="37" t="s">
        <v>2315</v>
      </c>
      <c r="D18" s="37" t="s">
        <v>2316</v>
      </c>
      <c r="E18" s="37" t="s">
        <v>2674</v>
      </c>
      <c r="F18" s="37"/>
      <c r="G18" s="37"/>
    </row>
    <row r="19" spans="1:7">
      <c r="A19" s="37"/>
      <c r="B19" s="37" t="s">
        <v>4641</v>
      </c>
      <c r="C19" s="37" t="s">
        <v>2315</v>
      </c>
      <c r="D19" s="37" t="s">
        <v>2316</v>
      </c>
      <c r="E19" s="37" t="s">
        <v>2674</v>
      </c>
      <c r="F19" s="37"/>
      <c r="G19" s="37"/>
    </row>
    <row r="20" spans="1:7">
      <c r="A20" s="37"/>
      <c r="B20" s="37" t="s">
        <v>4642</v>
      </c>
      <c r="C20" s="37" t="s">
        <v>2315</v>
      </c>
      <c r="D20" s="37" t="s">
        <v>2316</v>
      </c>
      <c r="E20" s="37" t="s">
        <v>2674</v>
      </c>
      <c r="F20" s="37"/>
      <c r="G20" s="37"/>
    </row>
    <row r="21" spans="1:7">
      <c r="A21" s="37"/>
      <c r="B21" s="37" t="s">
        <v>4643</v>
      </c>
      <c r="C21" s="37" t="s">
        <v>2315</v>
      </c>
      <c r="D21" s="37" t="s">
        <v>2316</v>
      </c>
      <c r="E21" s="37" t="s">
        <v>2674</v>
      </c>
      <c r="F21" s="37"/>
      <c r="G21" s="37"/>
    </row>
    <row r="22" spans="1:7">
      <c r="A22" s="37"/>
      <c r="B22" s="37" t="s">
        <v>4644</v>
      </c>
      <c r="C22" s="37" t="s">
        <v>2315</v>
      </c>
      <c r="D22" s="37" t="s">
        <v>2316</v>
      </c>
      <c r="E22" s="37" t="s">
        <v>2674</v>
      </c>
      <c r="F22" s="37"/>
      <c r="G22" s="37"/>
    </row>
    <row r="23" spans="1:7">
      <c r="A23" s="37"/>
      <c r="B23" s="37" t="s">
        <v>2344</v>
      </c>
      <c r="C23" s="37" t="s">
        <v>2338</v>
      </c>
      <c r="D23" s="37" t="s">
        <v>2339</v>
      </c>
      <c r="E23" s="37" t="s">
        <v>2674</v>
      </c>
      <c r="F23" s="37"/>
      <c r="G23" s="37"/>
    </row>
    <row r="24" spans="1:7">
      <c r="A24" s="37"/>
      <c r="B24" s="37" t="s">
        <v>4645</v>
      </c>
      <c r="C24" s="37" t="s">
        <v>2363</v>
      </c>
      <c r="D24" s="37" t="s">
        <v>2366</v>
      </c>
      <c r="E24" s="37" t="s">
        <v>2674</v>
      </c>
      <c r="F24" s="37"/>
      <c r="G24" s="37"/>
    </row>
    <row r="25" spans="1:7">
      <c r="A25" s="37"/>
      <c r="B25" s="37" t="s">
        <v>4646</v>
      </c>
      <c r="C25" s="37" t="s">
        <v>2363</v>
      </c>
      <c r="D25" s="37" t="s">
        <v>2366</v>
      </c>
      <c r="E25" s="37" t="s">
        <v>2674</v>
      </c>
      <c r="F25" s="37"/>
      <c r="G25" s="37"/>
    </row>
    <row r="26" spans="1:7">
      <c r="A26" s="37"/>
      <c r="B26" s="37" t="s">
        <v>4647</v>
      </c>
      <c r="C26" s="37" t="s">
        <v>2363</v>
      </c>
      <c r="D26" s="37" t="s">
        <v>2366</v>
      </c>
      <c r="E26" s="37" t="s">
        <v>2674</v>
      </c>
      <c r="F26" s="37"/>
      <c r="G26" s="37"/>
    </row>
    <row r="27" spans="1:7">
      <c r="A27" s="37"/>
      <c r="B27" s="37" t="s">
        <v>4648</v>
      </c>
      <c r="C27" s="37" t="s">
        <v>2363</v>
      </c>
      <c r="D27" s="37" t="s">
        <v>2366</v>
      </c>
      <c r="E27" s="37" t="s">
        <v>2674</v>
      </c>
      <c r="F27" s="37"/>
      <c r="G27" s="37"/>
    </row>
    <row r="28" spans="1:7">
      <c r="A28" s="37"/>
      <c r="B28" s="37" t="s">
        <v>4649</v>
      </c>
      <c r="C28" s="37" t="s">
        <v>2363</v>
      </c>
      <c r="D28" s="37" t="s">
        <v>2366</v>
      </c>
      <c r="E28" s="37" t="s">
        <v>2674</v>
      </c>
      <c r="F28" s="37"/>
      <c r="G28" s="37"/>
    </row>
    <row r="29" spans="1:7">
      <c r="A29" s="37"/>
      <c r="B29" s="37" t="s">
        <v>4650</v>
      </c>
      <c r="C29" s="37" t="s">
        <v>2363</v>
      </c>
      <c r="D29" s="37" t="s">
        <v>2366</v>
      </c>
      <c r="E29" s="37" t="s">
        <v>2674</v>
      </c>
      <c r="F29" s="37"/>
      <c r="G29" s="37"/>
    </row>
    <row r="30" spans="1:7">
      <c r="A30" s="37"/>
      <c r="B30" s="37" t="s">
        <v>4651</v>
      </c>
      <c r="C30" s="37" t="s">
        <v>2363</v>
      </c>
      <c r="D30" s="37" t="s">
        <v>2366</v>
      </c>
      <c r="E30" s="37" t="s">
        <v>2674</v>
      </c>
      <c r="F30" s="37"/>
      <c r="G30" s="37"/>
    </row>
    <row r="31" spans="1:7">
      <c r="A31" s="37"/>
      <c r="B31" s="37" t="s">
        <v>4652</v>
      </c>
      <c r="C31" s="37" t="s">
        <v>2363</v>
      </c>
      <c r="D31" s="37" t="s">
        <v>2366</v>
      </c>
      <c r="E31" s="37" t="s">
        <v>2674</v>
      </c>
      <c r="F31" s="37"/>
      <c r="G31" s="37"/>
    </row>
    <row r="32" spans="1:7">
      <c r="A32" s="37"/>
      <c r="B32" s="37" t="s">
        <v>4653</v>
      </c>
      <c r="C32" s="37" t="s">
        <v>2363</v>
      </c>
      <c r="D32" s="37" t="s">
        <v>2366</v>
      </c>
      <c r="E32" s="37" t="s">
        <v>2674</v>
      </c>
      <c r="F32" s="37"/>
      <c r="G32" s="37"/>
    </row>
    <row r="33" spans="1:7">
      <c r="A33" s="37"/>
      <c r="B33" s="37" t="s">
        <v>4654</v>
      </c>
      <c r="C33" s="37" t="s">
        <v>2363</v>
      </c>
      <c r="D33" s="37" t="s">
        <v>2366</v>
      </c>
      <c r="E33" s="37" t="s">
        <v>2674</v>
      </c>
      <c r="F33" s="37"/>
      <c r="G33" s="37"/>
    </row>
    <row r="34" spans="1:7">
      <c r="A34" s="37"/>
      <c r="B34" s="37" t="s">
        <v>4655</v>
      </c>
      <c r="C34" s="37" t="s">
        <v>2363</v>
      </c>
      <c r="D34" s="37" t="s">
        <v>2366</v>
      </c>
      <c r="E34" s="37" t="s">
        <v>2674</v>
      </c>
      <c r="F34" s="37"/>
      <c r="G34" s="37"/>
    </row>
    <row r="35" spans="1:7">
      <c r="A35" s="37"/>
      <c r="B35" s="37" t="s">
        <v>4656</v>
      </c>
      <c r="C35" s="37" t="s">
        <v>2363</v>
      </c>
      <c r="D35" s="37" t="s">
        <v>2366</v>
      </c>
      <c r="E35" s="37" t="s">
        <v>2674</v>
      </c>
      <c r="F35" s="37"/>
      <c r="G35" s="37"/>
    </row>
    <row r="36" spans="1:7">
      <c r="A36" s="37"/>
      <c r="B36" s="37" t="s">
        <v>4657</v>
      </c>
      <c r="C36" s="37" t="s">
        <v>2363</v>
      </c>
      <c r="D36" s="37" t="s">
        <v>2366</v>
      </c>
      <c r="E36" s="37" t="s">
        <v>2674</v>
      </c>
      <c r="F36" s="37"/>
      <c r="G36" s="37"/>
    </row>
    <row r="37" spans="1:7">
      <c r="A37" s="37"/>
      <c r="B37" s="37" t="s">
        <v>4658</v>
      </c>
      <c r="C37" s="37" t="s">
        <v>2363</v>
      </c>
      <c r="D37" s="37" t="s">
        <v>2366</v>
      </c>
      <c r="E37" s="37" t="s">
        <v>2674</v>
      </c>
      <c r="F37" s="37"/>
      <c r="G37" s="37"/>
    </row>
    <row r="38" spans="1:7">
      <c r="A38" s="37"/>
      <c r="B38" s="37" t="s">
        <v>4659</v>
      </c>
      <c r="C38" s="37" t="s">
        <v>2363</v>
      </c>
      <c r="D38" s="37" t="s">
        <v>2366</v>
      </c>
      <c r="E38" s="37" t="s">
        <v>2674</v>
      </c>
      <c r="F38" s="37"/>
      <c r="G38" s="37"/>
    </row>
    <row r="39" spans="1:7">
      <c r="A39" s="37"/>
      <c r="B39" s="37" t="s">
        <v>4660</v>
      </c>
      <c r="C39" s="37" t="s">
        <v>2363</v>
      </c>
      <c r="D39" s="37" t="s">
        <v>2366</v>
      </c>
      <c r="E39" s="37" t="s">
        <v>2674</v>
      </c>
      <c r="F39" s="37"/>
      <c r="G39" s="37"/>
    </row>
    <row r="40" spans="1:7">
      <c r="A40" s="37"/>
      <c r="B40" s="37" t="s">
        <v>2380</v>
      </c>
      <c r="C40" s="37" t="s">
        <v>2374</v>
      </c>
      <c r="D40" s="37" t="s">
        <v>2375</v>
      </c>
      <c r="E40" s="37" t="s">
        <v>2674</v>
      </c>
      <c r="F40" s="37"/>
      <c r="G40" s="37"/>
    </row>
    <row r="41" spans="1:7">
      <c r="A41" s="37"/>
      <c r="B41" s="37" t="s">
        <v>2392</v>
      </c>
      <c r="C41" s="37" t="s">
        <v>2386</v>
      </c>
      <c r="D41" s="37" t="s">
        <v>2387</v>
      </c>
      <c r="E41" s="37" t="s">
        <v>2674</v>
      </c>
      <c r="F41" s="37"/>
      <c r="G41" s="37"/>
    </row>
    <row r="42" spans="1:7">
      <c r="A42" s="37"/>
      <c r="B42" s="37" t="s">
        <v>4661</v>
      </c>
      <c r="C42" s="37" t="s">
        <v>2404</v>
      </c>
      <c r="D42" s="37" t="s">
        <v>2405</v>
      </c>
      <c r="E42" s="37" t="s">
        <v>2674</v>
      </c>
      <c r="F42" s="37"/>
      <c r="G42" s="37"/>
    </row>
    <row r="43" spans="1:7">
      <c r="A43" s="37"/>
      <c r="B43" s="37" t="s">
        <v>4662</v>
      </c>
      <c r="C43" s="37" t="s">
        <v>2404</v>
      </c>
      <c r="D43" s="37" t="s">
        <v>2405</v>
      </c>
      <c r="E43" s="37" t="s">
        <v>2674</v>
      </c>
      <c r="F43" s="37"/>
      <c r="G43" s="37"/>
    </row>
    <row r="44" spans="1:7">
      <c r="A44" s="37"/>
      <c r="B44" s="37" t="s">
        <v>2437</v>
      </c>
      <c r="C44" s="37" t="s">
        <v>2431</v>
      </c>
      <c r="D44" s="37" t="s">
        <v>2434</v>
      </c>
      <c r="E44" s="37" t="s">
        <v>2674</v>
      </c>
      <c r="F44" s="37"/>
      <c r="G44" s="37"/>
    </row>
    <row r="45" spans="1:7">
      <c r="A45" s="37"/>
      <c r="B45" s="37" t="s">
        <v>4663</v>
      </c>
      <c r="C45" s="37" t="s">
        <v>2441</v>
      </c>
      <c r="D45" s="37" t="s">
        <v>2442</v>
      </c>
      <c r="E45" s="37" t="s">
        <v>2674</v>
      </c>
      <c r="F45" s="37"/>
      <c r="G45" s="37"/>
    </row>
    <row r="46" spans="1:7">
      <c r="A46" s="37"/>
      <c r="B46" s="37" t="s">
        <v>4664</v>
      </c>
      <c r="C46" s="37" t="s">
        <v>2441</v>
      </c>
      <c r="D46" s="37" t="s">
        <v>2442</v>
      </c>
      <c r="E46" s="37" t="s">
        <v>2674</v>
      </c>
      <c r="F46" s="37"/>
      <c r="G46" s="37"/>
    </row>
    <row r="47" spans="1:7">
      <c r="A47" s="37"/>
      <c r="B47" s="37" t="s">
        <v>4665</v>
      </c>
      <c r="C47" s="37" t="s">
        <v>2441</v>
      </c>
      <c r="D47" s="37" t="s">
        <v>2442</v>
      </c>
      <c r="E47" s="37" t="s">
        <v>2674</v>
      </c>
      <c r="F47" s="37"/>
      <c r="G47" s="37"/>
    </row>
    <row r="48" spans="1:7">
      <c r="A48" s="37"/>
      <c r="B48" s="37" t="s">
        <v>4666</v>
      </c>
      <c r="C48" s="37" t="s">
        <v>2441</v>
      </c>
      <c r="D48" s="37" t="s">
        <v>2442</v>
      </c>
      <c r="E48" s="37" t="s">
        <v>2674</v>
      </c>
      <c r="F48" s="37"/>
      <c r="G48" s="37"/>
    </row>
    <row r="49" spans="1:7">
      <c r="A49" s="37"/>
      <c r="B49" s="37" t="s">
        <v>4667</v>
      </c>
      <c r="C49" s="37" t="s">
        <v>2441</v>
      </c>
      <c r="D49" s="37" t="s">
        <v>2442</v>
      </c>
      <c r="E49" s="37" t="s">
        <v>2674</v>
      </c>
      <c r="F49" s="37"/>
      <c r="G49" s="37"/>
    </row>
    <row r="50" spans="1:7">
      <c r="A50" s="37"/>
      <c r="B50" s="37" t="s">
        <v>4668</v>
      </c>
      <c r="C50" s="37" t="s">
        <v>2441</v>
      </c>
      <c r="D50" s="37" t="s">
        <v>2442</v>
      </c>
      <c r="E50" s="37" t="s">
        <v>2674</v>
      </c>
      <c r="F50" s="37"/>
      <c r="G50" s="37"/>
    </row>
    <row r="51" spans="1:7">
      <c r="A51" s="37"/>
      <c r="B51" s="37" t="s">
        <v>4669</v>
      </c>
      <c r="C51" s="37" t="s">
        <v>2441</v>
      </c>
      <c r="D51" s="37" t="s">
        <v>2442</v>
      </c>
      <c r="E51" s="37" t="s">
        <v>2674</v>
      </c>
      <c r="F51" s="37"/>
      <c r="G51" s="37"/>
    </row>
    <row r="52" spans="1:7">
      <c r="A52" s="37"/>
      <c r="B52" s="37" t="s">
        <v>4670</v>
      </c>
      <c r="C52" s="37" t="s">
        <v>2441</v>
      </c>
      <c r="D52" s="37" t="s">
        <v>2442</v>
      </c>
      <c r="E52" s="37" t="s">
        <v>2674</v>
      </c>
      <c r="F52" s="37"/>
      <c r="G52" s="37"/>
    </row>
    <row r="53" spans="1:7">
      <c r="A53" s="37"/>
      <c r="B53" s="37" t="s">
        <v>4671</v>
      </c>
      <c r="C53" s="37" t="s">
        <v>2451</v>
      </c>
      <c r="D53" s="37" t="s">
        <v>2452</v>
      </c>
      <c r="E53" s="37" t="s">
        <v>2674</v>
      </c>
      <c r="F53" s="37"/>
      <c r="G53" s="37"/>
    </row>
    <row r="54" spans="1:7">
      <c r="A54" s="37"/>
      <c r="B54" s="37" t="s">
        <v>4672</v>
      </c>
      <c r="C54" s="37" t="s">
        <v>2451</v>
      </c>
      <c r="D54" s="37" t="s">
        <v>2452</v>
      </c>
      <c r="E54" s="37" t="s">
        <v>2674</v>
      </c>
      <c r="F54" s="37"/>
      <c r="G54" s="37"/>
    </row>
    <row r="55" spans="1:7">
      <c r="A55" s="37"/>
      <c r="B55" s="37" t="s">
        <v>4673</v>
      </c>
      <c r="C55" s="37" t="s">
        <v>2451</v>
      </c>
      <c r="D55" s="37" t="s">
        <v>2452</v>
      </c>
      <c r="E55" s="37" t="s">
        <v>2674</v>
      </c>
      <c r="F55" s="37"/>
      <c r="G55" s="37"/>
    </row>
    <row r="56" spans="1:7">
      <c r="A56" s="37"/>
      <c r="B56" s="37" t="s">
        <v>4674</v>
      </c>
      <c r="C56" s="37" t="s">
        <v>2451</v>
      </c>
      <c r="D56" s="37" t="s">
        <v>2452</v>
      </c>
      <c r="E56" s="37" t="s">
        <v>2674</v>
      </c>
      <c r="F56" s="37"/>
      <c r="G56" s="37"/>
    </row>
    <row r="57" spans="1:7">
      <c r="A57" s="37"/>
      <c r="B57" s="37" t="s">
        <v>4675</v>
      </c>
      <c r="C57" s="37" t="s">
        <v>2451</v>
      </c>
      <c r="D57" s="37" t="s">
        <v>2452</v>
      </c>
      <c r="E57" s="37" t="s">
        <v>2674</v>
      </c>
      <c r="F57" s="37"/>
      <c r="G57" s="37"/>
    </row>
    <row r="58" spans="1:7">
      <c r="A58" s="37"/>
      <c r="B58" s="37" t="s">
        <v>4676</v>
      </c>
      <c r="C58" s="37" t="s">
        <v>2451</v>
      </c>
      <c r="D58" s="37" t="s">
        <v>2452</v>
      </c>
      <c r="E58" s="37" t="s">
        <v>2674</v>
      </c>
      <c r="F58" s="37"/>
      <c r="G58" s="37"/>
    </row>
    <row r="59" spans="1:7">
      <c r="A59" s="37"/>
      <c r="B59" s="37" t="s">
        <v>4677</v>
      </c>
      <c r="C59" s="37" t="s">
        <v>2451</v>
      </c>
      <c r="D59" s="37" t="s">
        <v>2452</v>
      </c>
      <c r="E59" s="37" t="s">
        <v>2674</v>
      </c>
      <c r="F59" s="37"/>
      <c r="G59" s="37"/>
    </row>
    <row r="60" spans="1:7">
      <c r="A60" s="37"/>
      <c r="B60" s="37" t="s">
        <v>4678</v>
      </c>
      <c r="C60" s="37" t="s">
        <v>2451</v>
      </c>
      <c r="D60" s="37" t="s">
        <v>2452</v>
      </c>
      <c r="E60" s="37" t="s">
        <v>2674</v>
      </c>
      <c r="F60" s="37"/>
      <c r="G60" s="37"/>
    </row>
    <row r="61" spans="1:7">
      <c r="A61" s="37"/>
      <c r="B61" s="37" t="s">
        <v>4679</v>
      </c>
      <c r="C61" s="37" t="s">
        <v>2451</v>
      </c>
      <c r="D61" s="37" t="s">
        <v>2452</v>
      </c>
      <c r="E61" s="37" t="s">
        <v>2674</v>
      </c>
      <c r="F61" s="37"/>
      <c r="G61" s="37"/>
    </row>
    <row r="62" spans="1:7">
      <c r="A62" s="37"/>
      <c r="B62" s="37" t="s">
        <v>4680</v>
      </c>
      <c r="C62" s="37" t="s">
        <v>2451</v>
      </c>
      <c r="D62" s="37" t="s">
        <v>2452</v>
      </c>
      <c r="E62" s="37" t="s">
        <v>2674</v>
      </c>
      <c r="F62" s="37"/>
      <c r="G62" s="37"/>
    </row>
    <row r="63" spans="1:7">
      <c r="A63" s="37"/>
      <c r="B63" s="37" t="s">
        <v>2477</v>
      </c>
      <c r="C63" s="37" t="s">
        <v>2471</v>
      </c>
      <c r="D63" s="37" t="s">
        <v>2472</v>
      </c>
      <c r="E63" s="37" t="s">
        <v>2674</v>
      </c>
      <c r="F63" s="37"/>
      <c r="G63" s="37"/>
    </row>
    <row r="64" spans="1:7">
      <c r="A64" s="37"/>
      <c r="B64" s="37" t="s">
        <v>4681</v>
      </c>
      <c r="C64" s="37" t="s">
        <v>2496</v>
      </c>
      <c r="D64" s="37" t="s">
        <v>2490</v>
      </c>
      <c r="E64" s="37" t="s">
        <v>4682</v>
      </c>
      <c r="F64" s="37"/>
      <c r="G64" s="37"/>
    </row>
    <row r="65" spans="1:7">
      <c r="A65" s="37"/>
      <c r="B65" s="37" t="s">
        <v>4683</v>
      </c>
      <c r="C65" s="37" t="s">
        <v>2496</v>
      </c>
      <c r="D65" s="37" t="s">
        <v>2490</v>
      </c>
      <c r="E65" s="37" t="s">
        <v>4682</v>
      </c>
      <c r="F65" s="37"/>
      <c r="G65" s="37"/>
    </row>
    <row r="66" spans="1:7">
      <c r="A66" s="37"/>
      <c r="B66" s="37" t="s">
        <v>4684</v>
      </c>
      <c r="C66" s="37" t="s">
        <v>2496</v>
      </c>
      <c r="D66" s="37" t="s">
        <v>2490</v>
      </c>
      <c r="E66" s="37" t="s">
        <v>4682</v>
      </c>
      <c r="F66" s="37"/>
      <c r="G66" s="37"/>
    </row>
    <row r="67" spans="1:7">
      <c r="A67" s="37"/>
      <c r="B67" s="37" t="s">
        <v>4685</v>
      </c>
      <c r="C67" s="37" t="s">
        <v>2496</v>
      </c>
      <c r="D67" s="37" t="s">
        <v>2490</v>
      </c>
      <c r="E67" s="37" t="s">
        <v>4682</v>
      </c>
      <c r="F67" s="37"/>
      <c r="G67" s="37"/>
    </row>
    <row r="68" spans="1:7">
      <c r="A68" s="37"/>
      <c r="B68" s="37" t="s">
        <v>4686</v>
      </c>
      <c r="C68" s="37" t="s">
        <v>2496</v>
      </c>
      <c r="D68" s="37" t="s">
        <v>2490</v>
      </c>
      <c r="E68" s="37" t="s">
        <v>4682</v>
      </c>
      <c r="F68" s="37"/>
      <c r="G68" s="37"/>
    </row>
    <row r="69" spans="1:7">
      <c r="A69" s="37"/>
      <c r="B69" s="37" t="s">
        <v>4687</v>
      </c>
      <c r="C69" s="37" t="s">
        <v>2496</v>
      </c>
      <c r="D69" s="37" t="s">
        <v>2490</v>
      </c>
      <c r="E69" s="37" t="s">
        <v>4682</v>
      </c>
      <c r="F69" s="37"/>
      <c r="G69" s="37"/>
    </row>
    <row r="70" spans="1:7">
      <c r="A70" s="37"/>
      <c r="B70" s="37" t="s">
        <v>4688</v>
      </c>
      <c r="C70" s="37" t="s">
        <v>2496</v>
      </c>
      <c r="D70" s="37" t="s">
        <v>2490</v>
      </c>
      <c r="E70" s="37" t="s">
        <v>4682</v>
      </c>
      <c r="F70" s="37"/>
      <c r="G70" s="37"/>
    </row>
    <row r="71" spans="1:7">
      <c r="A71" s="37"/>
      <c r="B71" s="37" t="s">
        <v>4689</v>
      </c>
      <c r="C71" s="37" t="s">
        <v>2496</v>
      </c>
      <c r="D71" s="37" t="s">
        <v>2490</v>
      </c>
      <c r="E71" s="37" t="s">
        <v>4682</v>
      </c>
      <c r="F71" s="37"/>
      <c r="G71" s="37"/>
    </row>
    <row r="72" spans="1:7">
      <c r="A72" s="37"/>
      <c r="B72" s="37" t="s">
        <v>4690</v>
      </c>
      <c r="C72" s="37" t="s">
        <v>2496</v>
      </c>
      <c r="D72" s="37" t="s">
        <v>2490</v>
      </c>
      <c r="E72" s="37" t="s">
        <v>4682</v>
      </c>
      <c r="F72" s="37"/>
      <c r="G72" s="37"/>
    </row>
    <row r="73" spans="1:7">
      <c r="A73" s="37"/>
      <c r="B73" s="37" t="s">
        <v>4691</v>
      </c>
      <c r="C73" s="37" t="s">
        <v>2496</v>
      </c>
      <c r="D73" s="37" t="s">
        <v>2490</v>
      </c>
      <c r="E73" s="37" t="s">
        <v>4682</v>
      </c>
      <c r="F73" s="37"/>
      <c r="G73" s="37"/>
    </row>
    <row r="74" spans="1:7">
      <c r="A74" s="37"/>
      <c r="B74" s="37" t="s">
        <v>4692</v>
      </c>
      <c r="C74" s="37" t="s">
        <v>2496</v>
      </c>
      <c r="D74" s="37" t="s">
        <v>2490</v>
      </c>
      <c r="E74" s="37" t="s">
        <v>4682</v>
      </c>
      <c r="F74" s="37"/>
      <c r="G74" s="37"/>
    </row>
    <row r="75" spans="1:7">
      <c r="A75" s="37"/>
      <c r="B75" s="37" t="s">
        <v>4693</v>
      </c>
      <c r="C75" s="37" t="s">
        <v>2496</v>
      </c>
      <c r="D75" s="37" t="s">
        <v>2490</v>
      </c>
      <c r="E75" s="37" t="s">
        <v>4682</v>
      </c>
      <c r="F75" s="37"/>
      <c r="G75" s="37"/>
    </row>
    <row r="76" spans="1:7">
      <c r="A76" s="37"/>
      <c r="B76" s="37" t="s">
        <v>4694</v>
      </c>
      <c r="C76" s="37" t="s">
        <v>2496</v>
      </c>
      <c r="D76" s="37" t="s">
        <v>2490</v>
      </c>
      <c r="E76" s="37" t="s">
        <v>4682</v>
      </c>
      <c r="F76" s="37"/>
      <c r="G76" s="37"/>
    </row>
    <row r="77" spans="1:7">
      <c r="A77" s="37"/>
      <c r="B77" s="37" t="s">
        <v>4695</v>
      </c>
      <c r="C77" s="37" t="s">
        <v>2496</v>
      </c>
      <c r="D77" s="37" t="s">
        <v>2490</v>
      </c>
      <c r="E77" s="37" t="s">
        <v>4682</v>
      </c>
      <c r="F77" s="37"/>
      <c r="G77" s="37"/>
    </row>
    <row r="78" spans="1:7">
      <c r="A78" s="37"/>
      <c r="B78" s="37" t="s">
        <v>4696</v>
      </c>
      <c r="C78" s="37" t="s">
        <v>2496</v>
      </c>
      <c r="D78" s="37" t="s">
        <v>2490</v>
      </c>
      <c r="E78" s="37" t="s">
        <v>4682</v>
      </c>
      <c r="F78" s="37"/>
      <c r="G78" s="37"/>
    </row>
    <row r="79" spans="1:7">
      <c r="A79" s="37"/>
      <c r="B79" s="37" t="s">
        <v>4697</v>
      </c>
      <c r="C79" s="37" t="s">
        <v>2496</v>
      </c>
      <c r="D79" s="37" t="s">
        <v>2490</v>
      </c>
      <c r="E79" s="37" t="s">
        <v>4682</v>
      </c>
      <c r="F79" s="37"/>
      <c r="G79" s="37"/>
    </row>
    <row r="80" spans="1:7">
      <c r="A80" s="37"/>
      <c r="B80" s="37" t="s">
        <v>4698</v>
      </c>
      <c r="C80" s="37" t="s">
        <v>2496</v>
      </c>
      <c r="D80" s="37" t="s">
        <v>2490</v>
      </c>
      <c r="E80" s="37" t="s">
        <v>4682</v>
      </c>
      <c r="F80" s="37"/>
      <c r="G80" s="37"/>
    </row>
    <row r="81" spans="1:7">
      <c r="A81" s="37"/>
      <c r="B81" s="37" t="s">
        <v>4699</v>
      </c>
      <c r="C81" s="37" t="s">
        <v>2496</v>
      </c>
      <c r="D81" s="37" t="s">
        <v>2490</v>
      </c>
      <c r="E81" s="37" t="s">
        <v>4682</v>
      </c>
      <c r="F81" s="37"/>
      <c r="G81" s="37"/>
    </row>
    <row r="82" spans="1:7">
      <c r="A82" s="37"/>
      <c r="B82" s="37" t="s">
        <v>4700</v>
      </c>
      <c r="C82" s="37" t="s">
        <v>2514</v>
      </c>
      <c r="D82" s="37" t="s">
        <v>2518</v>
      </c>
      <c r="E82" s="37" t="s">
        <v>4701</v>
      </c>
      <c r="F82" s="37"/>
      <c r="G82" s="37"/>
    </row>
    <row r="83" spans="1:7">
      <c r="A83" s="37"/>
      <c r="B83" s="37" t="s">
        <v>4702</v>
      </c>
      <c r="C83" s="37" t="s">
        <v>2514</v>
      </c>
      <c r="D83" s="37" t="s">
        <v>2518</v>
      </c>
      <c r="E83" s="37" t="s">
        <v>4701</v>
      </c>
      <c r="F83" s="37"/>
      <c r="G83" s="37"/>
    </row>
    <row r="84" spans="1:7">
      <c r="A84" s="37"/>
      <c r="B84" s="37" t="s">
        <v>4703</v>
      </c>
      <c r="C84" s="37" t="s">
        <v>2514</v>
      </c>
      <c r="D84" s="37" t="s">
        <v>2518</v>
      </c>
      <c r="E84" s="37" t="s">
        <v>4701</v>
      </c>
      <c r="F84" s="37"/>
      <c r="G84" s="37"/>
    </row>
    <row r="85" spans="1:7">
      <c r="A85" s="37"/>
      <c r="B85" s="37" t="s">
        <v>4704</v>
      </c>
      <c r="C85" s="37" t="s">
        <v>2514</v>
      </c>
      <c r="D85" s="37" t="s">
        <v>2518</v>
      </c>
      <c r="E85" s="37" t="s">
        <v>4701</v>
      </c>
      <c r="F85" s="37"/>
      <c r="G85" s="37"/>
    </row>
    <row r="86" spans="1:7">
      <c r="A86" s="37"/>
      <c r="B86" s="37" t="s">
        <v>4705</v>
      </c>
      <c r="C86" s="37" t="s">
        <v>2514</v>
      </c>
      <c r="D86" s="37" t="s">
        <v>2518</v>
      </c>
      <c r="E86" s="37" t="s">
        <v>4701</v>
      </c>
      <c r="F86" s="37"/>
      <c r="G86" s="37"/>
    </row>
    <row r="87" spans="1:7">
      <c r="A87" s="37"/>
      <c r="B87" s="37" t="s">
        <v>4706</v>
      </c>
      <c r="C87" s="37" t="s">
        <v>2514</v>
      </c>
      <c r="D87" s="37" t="s">
        <v>2518</v>
      </c>
      <c r="E87" s="37" t="s">
        <v>4701</v>
      </c>
      <c r="F87" s="37"/>
      <c r="G87" s="37"/>
    </row>
    <row r="88" spans="1:7">
      <c r="A88" s="37"/>
      <c r="B88" s="37" t="s">
        <v>4707</v>
      </c>
      <c r="C88" s="37" t="s">
        <v>2514</v>
      </c>
      <c r="D88" s="37" t="s">
        <v>2518</v>
      </c>
      <c r="E88" s="37" t="s">
        <v>4701</v>
      </c>
      <c r="F88" s="37"/>
      <c r="G88" s="37"/>
    </row>
    <row r="89" spans="1:7">
      <c r="A89" s="37"/>
      <c r="B89" s="37" t="s">
        <v>4708</v>
      </c>
      <c r="C89" s="37" t="s">
        <v>2514</v>
      </c>
      <c r="D89" s="37" t="s">
        <v>2518</v>
      </c>
      <c r="E89" s="37" t="s">
        <v>4701</v>
      </c>
      <c r="F89" s="37"/>
      <c r="G89" s="37"/>
    </row>
    <row r="90" spans="1:7">
      <c r="A90" s="37"/>
      <c r="B90" s="37" t="s">
        <v>4709</v>
      </c>
      <c r="C90" s="37" t="s">
        <v>2514</v>
      </c>
      <c r="D90" s="37" t="s">
        <v>2518</v>
      </c>
      <c r="E90" s="37" t="s">
        <v>4701</v>
      </c>
      <c r="F90" s="37"/>
      <c r="G90" s="37"/>
    </row>
    <row r="91" spans="1:7">
      <c r="A91" s="37"/>
      <c r="B91" s="37" t="s">
        <v>4710</v>
      </c>
      <c r="C91" s="37" t="s">
        <v>2514</v>
      </c>
      <c r="D91" s="37" t="s">
        <v>2518</v>
      </c>
      <c r="E91" s="37" t="s">
        <v>4701</v>
      </c>
      <c r="F91" s="37"/>
      <c r="G91" s="37"/>
    </row>
    <row r="92" spans="1:7">
      <c r="A92" s="37"/>
      <c r="B92" s="37" t="s">
        <v>4711</v>
      </c>
      <c r="C92" s="37" t="s">
        <v>2514</v>
      </c>
      <c r="D92" s="37" t="s">
        <v>2518</v>
      </c>
      <c r="E92" s="37" t="s">
        <v>4701</v>
      </c>
      <c r="F92" s="37"/>
      <c r="G92" s="37"/>
    </row>
    <row r="93" spans="1:7">
      <c r="A93" s="37"/>
      <c r="B93" s="37" t="s">
        <v>4712</v>
      </c>
      <c r="C93" s="37" t="s">
        <v>2514</v>
      </c>
      <c r="D93" s="37" t="s">
        <v>2518</v>
      </c>
      <c r="E93" s="37" t="s">
        <v>4701</v>
      </c>
      <c r="F93" s="37"/>
      <c r="G93" s="37"/>
    </row>
    <row r="94" spans="1:7">
      <c r="A94" s="37"/>
      <c r="B94" s="37" t="s">
        <v>4713</v>
      </c>
      <c r="C94" s="37" t="s">
        <v>2514</v>
      </c>
      <c r="D94" s="37" t="s">
        <v>2518</v>
      </c>
      <c r="E94" s="37" t="s">
        <v>4701</v>
      </c>
      <c r="F94" s="37"/>
      <c r="G94" s="37"/>
    </row>
    <row r="95" spans="1:7">
      <c r="A95" s="37"/>
      <c r="B95" s="37" t="s">
        <v>4714</v>
      </c>
      <c r="C95" s="37" t="s">
        <v>2514</v>
      </c>
      <c r="D95" s="37" t="s">
        <v>2518</v>
      </c>
      <c r="E95" s="37" t="s">
        <v>4701</v>
      </c>
      <c r="F95" s="37"/>
      <c r="G95" s="37"/>
    </row>
    <row r="96" spans="1:7">
      <c r="A96" s="37"/>
      <c r="B96" s="37" t="s">
        <v>4715</v>
      </c>
      <c r="C96" s="37" t="s">
        <v>2514</v>
      </c>
      <c r="D96" s="37" t="s">
        <v>2518</v>
      </c>
      <c r="E96" s="37" t="s">
        <v>4701</v>
      </c>
      <c r="F96" s="37"/>
      <c r="G96" s="37"/>
    </row>
    <row r="97" spans="1:7">
      <c r="A97" s="37"/>
      <c r="B97" s="37" t="s">
        <v>4716</v>
      </c>
      <c r="C97" s="37" t="s">
        <v>2514</v>
      </c>
      <c r="D97" s="37" t="s">
        <v>2518</v>
      </c>
      <c r="E97" s="37" t="s">
        <v>4701</v>
      </c>
      <c r="F97" s="37"/>
      <c r="G97" s="37"/>
    </row>
    <row r="98" spans="1:7">
      <c r="A98" s="37"/>
      <c r="B98" s="37" t="s">
        <v>4717</v>
      </c>
      <c r="C98" s="37" t="s">
        <v>2533</v>
      </c>
      <c r="D98" s="37" t="s">
        <v>2536</v>
      </c>
      <c r="E98" s="37" t="s">
        <v>4701</v>
      </c>
      <c r="F98" s="37"/>
      <c r="G98" s="37"/>
    </row>
    <row r="99" spans="1:7">
      <c r="A99" s="37"/>
      <c r="B99" s="37" t="s">
        <v>4718</v>
      </c>
      <c r="C99" s="37" t="s">
        <v>2533</v>
      </c>
      <c r="D99" s="37" t="s">
        <v>2536</v>
      </c>
      <c r="E99" s="37" t="s">
        <v>4701</v>
      </c>
      <c r="F99" s="37"/>
      <c r="G99" s="37"/>
    </row>
    <row r="100" spans="1:7">
      <c r="A100" s="37"/>
      <c r="B100" s="37" t="s">
        <v>4719</v>
      </c>
      <c r="C100" s="37" t="s">
        <v>2533</v>
      </c>
      <c r="D100" s="37" t="s">
        <v>2536</v>
      </c>
      <c r="E100" s="37" t="s">
        <v>4701</v>
      </c>
      <c r="F100" s="37"/>
      <c r="G100" s="37"/>
    </row>
    <row r="101" spans="1:7">
      <c r="A101" s="37"/>
      <c r="B101" s="37" t="s">
        <v>4720</v>
      </c>
      <c r="C101" s="37" t="s">
        <v>2533</v>
      </c>
      <c r="D101" s="37" t="s">
        <v>2536</v>
      </c>
      <c r="E101" s="37" t="s">
        <v>4701</v>
      </c>
      <c r="F101" s="37"/>
      <c r="G101" s="37"/>
    </row>
    <row r="102" spans="1:7">
      <c r="A102" s="37"/>
      <c r="B102" s="37" t="s">
        <v>4721</v>
      </c>
      <c r="C102" s="37" t="s">
        <v>2533</v>
      </c>
      <c r="D102" s="37" t="s">
        <v>2536</v>
      </c>
      <c r="E102" s="37" t="s">
        <v>4701</v>
      </c>
      <c r="F102" s="37"/>
      <c r="G102" s="37"/>
    </row>
    <row r="103" spans="1:7">
      <c r="A103" s="37"/>
      <c r="B103" s="37" t="s">
        <v>4722</v>
      </c>
      <c r="C103" s="37" t="s">
        <v>2533</v>
      </c>
      <c r="D103" s="37" t="s">
        <v>2536</v>
      </c>
      <c r="E103" s="37" t="s">
        <v>4701</v>
      </c>
      <c r="F103" s="37"/>
      <c r="G103" s="37"/>
    </row>
    <row r="104" spans="1:7">
      <c r="A104" s="37"/>
      <c r="B104" s="37" t="s">
        <v>4723</v>
      </c>
      <c r="C104" s="37" t="s">
        <v>2533</v>
      </c>
      <c r="D104" s="37" t="s">
        <v>2536</v>
      </c>
      <c r="E104" s="37" t="s">
        <v>4701</v>
      </c>
      <c r="F104" s="37"/>
      <c r="G104" s="37"/>
    </row>
    <row r="105" spans="1:7">
      <c r="A105" s="37"/>
      <c r="B105" s="37" t="s">
        <v>4724</v>
      </c>
      <c r="C105" s="37" t="s">
        <v>2533</v>
      </c>
      <c r="D105" s="37" t="s">
        <v>2536</v>
      </c>
      <c r="E105" s="37" t="s">
        <v>4701</v>
      </c>
      <c r="F105" s="37"/>
      <c r="G105" s="37"/>
    </row>
    <row r="106" spans="1:7">
      <c r="A106" s="37"/>
      <c r="B106" s="37" t="s">
        <v>4725</v>
      </c>
      <c r="C106" s="37" t="s">
        <v>2533</v>
      </c>
      <c r="D106" s="37" t="s">
        <v>2536</v>
      </c>
      <c r="E106" s="37" t="s">
        <v>4701</v>
      </c>
      <c r="F106" s="37"/>
      <c r="G106" s="37"/>
    </row>
    <row r="107" spans="1:7">
      <c r="A107" s="37"/>
      <c r="B107" s="37" t="s">
        <v>4726</v>
      </c>
      <c r="C107" s="37" t="s">
        <v>2533</v>
      </c>
      <c r="D107" s="37" t="s">
        <v>2536</v>
      </c>
      <c r="E107" s="37" t="s">
        <v>4701</v>
      </c>
      <c r="F107" s="37"/>
      <c r="G107" s="37"/>
    </row>
    <row r="108" spans="1:7">
      <c r="A108" s="37"/>
      <c r="B108" s="37" t="s">
        <v>4727</v>
      </c>
      <c r="C108" s="37" t="s">
        <v>2533</v>
      </c>
      <c r="D108" s="37" t="s">
        <v>2536</v>
      </c>
      <c r="E108" s="37" t="s">
        <v>4701</v>
      </c>
      <c r="F108" s="37"/>
      <c r="G108" s="37"/>
    </row>
    <row r="109" spans="1:7">
      <c r="A109" s="37"/>
      <c r="B109" s="37" t="s">
        <v>4728</v>
      </c>
      <c r="C109" s="37" t="s">
        <v>2533</v>
      </c>
      <c r="D109" s="37" t="s">
        <v>2536</v>
      </c>
      <c r="E109" s="37" t="s">
        <v>4701</v>
      </c>
      <c r="F109" s="37"/>
      <c r="G109" s="37"/>
    </row>
    <row r="110" spans="1:7">
      <c r="A110" s="37"/>
      <c r="B110" s="37" t="s">
        <v>4729</v>
      </c>
      <c r="C110" s="37" t="s">
        <v>2533</v>
      </c>
      <c r="D110" s="37" t="s">
        <v>2536</v>
      </c>
      <c r="E110" s="37" t="s">
        <v>4701</v>
      </c>
      <c r="F110" s="37"/>
      <c r="G110" s="37"/>
    </row>
    <row r="111" spans="1:7">
      <c r="A111" s="37"/>
      <c r="B111" s="37" t="s">
        <v>4730</v>
      </c>
      <c r="C111" s="37" t="s">
        <v>2533</v>
      </c>
      <c r="D111" s="37" t="s">
        <v>2536</v>
      </c>
      <c r="E111" s="37" t="s">
        <v>4701</v>
      </c>
      <c r="F111" s="37"/>
      <c r="G111" s="37"/>
    </row>
    <row r="112" spans="1:7">
      <c r="A112" s="37"/>
      <c r="B112" s="37" t="s">
        <v>4731</v>
      </c>
      <c r="C112" s="37" t="s">
        <v>2533</v>
      </c>
      <c r="D112" s="37" t="s">
        <v>2536</v>
      </c>
      <c r="E112" s="37" t="s">
        <v>4701</v>
      </c>
      <c r="F112" s="37"/>
      <c r="G112" s="37"/>
    </row>
    <row r="113" spans="1:7">
      <c r="A113" s="37"/>
      <c r="B113" s="37" t="s">
        <v>4732</v>
      </c>
      <c r="C113" s="37" t="s">
        <v>2533</v>
      </c>
      <c r="D113" s="37" t="s">
        <v>2536</v>
      </c>
      <c r="E113" s="37" t="s">
        <v>4701</v>
      </c>
      <c r="F113" s="37"/>
      <c r="G113" s="37"/>
    </row>
    <row r="114" spans="1:7">
      <c r="A114" s="37"/>
      <c r="B114" s="37" t="s">
        <v>4733</v>
      </c>
      <c r="C114" s="37" t="s">
        <v>2533</v>
      </c>
      <c r="D114" s="37" t="s">
        <v>2536</v>
      </c>
      <c r="E114" s="37" t="s">
        <v>4701</v>
      </c>
      <c r="F114" s="37"/>
      <c r="G114" s="37"/>
    </row>
    <row r="115" spans="1:7">
      <c r="A115" s="37"/>
      <c r="B115" s="37" t="s">
        <v>4734</v>
      </c>
      <c r="C115" s="37" t="s">
        <v>2533</v>
      </c>
      <c r="D115" s="37" t="s">
        <v>2536</v>
      </c>
      <c r="E115" s="37" t="s">
        <v>4701</v>
      </c>
      <c r="F115" s="37"/>
      <c r="G115" s="37"/>
    </row>
    <row r="116" spans="1:7">
      <c r="A116" s="37"/>
      <c r="B116" s="37" t="s">
        <v>4735</v>
      </c>
      <c r="C116" s="37" t="s">
        <v>2533</v>
      </c>
      <c r="D116" s="37" t="s">
        <v>2536</v>
      </c>
      <c r="E116" s="37" t="s">
        <v>4701</v>
      </c>
      <c r="F116" s="37"/>
      <c r="G116" s="37"/>
    </row>
    <row r="117" spans="1:7">
      <c r="A117" s="37"/>
      <c r="B117" s="37" t="s">
        <v>4736</v>
      </c>
      <c r="C117" s="37" t="s">
        <v>2533</v>
      </c>
      <c r="D117" s="37" t="s">
        <v>2536</v>
      </c>
      <c r="E117" s="37" t="s">
        <v>4701</v>
      </c>
      <c r="F117" s="37"/>
      <c r="G117" s="37"/>
    </row>
    <row r="118" spans="1:7">
      <c r="A118" s="37"/>
      <c r="B118" s="37" t="s">
        <v>4737</v>
      </c>
      <c r="C118" s="37" t="s">
        <v>2543</v>
      </c>
      <c r="D118" s="37" t="s">
        <v>2544</v>
      </c>
      <c r="E118" s="37" t="s">
        <v>4738</v>
      </c>
      <c r="F118" s="37"/>
      <c r="G118" s="37"/>
    </row>
    <row r="119" spans="1:7">
      <c r="A119" s="37"/>
      <c r="B119" s="37" t="s">
        <v>4739</v>
      </c>
      <c r="C119" s="37" t="s">
        <v>2543</v>
      </c>
      <c r="D119" s="37" t="s">
        <v>2544</v>
      </c>
      <c r="E119" s="37" t="s">
        <v>4738</v>
      </c>
      <c r="F119" s="37"/>
      <c r="G119" s="37"/>
    </row>
    <row r="120" spans="1:7">
      <c r="A120" s="37"/>
      <c r="B120" s="37" t="s">
        <v>4740</v>
      </c>
      <c r="C120" s="37" t="s">
        <v>2543</v>
      </c>
      <c r="D120" s="37" t="s">
        <v>2544</v>
      </c>
      <c r="E120" s="37" t="s">
        <v>4738</v>
      </c>
      <c r="F120" s="37"/>
      <c r="G120" s="37"/>
    </row>
    <row r="121" spans="1:7">
      <c r="A121" s="37"/>
      <c r="B121" s="37" t="s">
        <v>4741</v>
      </c>
      <c r="C121" s="37" t="s">
        <v>2543</v>
      </c>
      <c r="D121" s="37" t="s">
        <v>2544</v>
      </c>
      <c r="E121" s="37" t="s">
        <v>4738</v>
      </c>
      <c r="F121" s="37"/>
      <c r="G121" s="37"/>
    </row>
    <row r="122" spans="1:7">
      <c r="A122" s="37"/>
      <c r="B122" s="37" t="s">
        <v>4742</v>
      </c>
      <c r="C122" s="37" t="s">
        <v>2560</v>
      </c>
      <c r="D122" s="37" t="s">
        <v>2561</v>
      </c>
      <c r="E122" s="37" t="s">
        <v>4738</v>
      </c>
      <c r="F122" s="37"/>
      <c r="G122" s="37"/>
    </row>
    <row r="123" spans="1:7">
      <c r="A123" s="37"/>
      <c r="B123" s="37" t="s">
        <v>4743</v>
      </c>
      <c r="C123" s="37" t="s">
        <v>2560</v>
      </c>
      <c r="D123" s="37" t="s">
        <v>2561</v>
      </c>
      <c r="E123" s="37" t="s">
        <v>4738</v>
      </c>
      <c r="F123" s="37"/>
      <c r="G123" s="37"/>
    </row>
    <row r="124" spans="1:7">
      <c r="A124" s="37"/>
      <c r="B124" s="37" t="s">
        <v>4744</v>
      </c>
      <c r="C124" s="37" t="s">
        <v>2560</v>
      </c>
      <c r="D124" s="37" t="s">
        <v>2561</v>
      </c>
      <c r="E124" s="37" t="s">
        <v>4738</v>
      </c>
      <c r="F124" s="37"/>
      <c r="G124" s="37"/>
    </row>
    <row r="125" spans="1:7">
      <c r="A125" s="37"/>
      <c r="B125" s="37" t="s">
        <v>4745</v>
      </c>
      <c r="C125" s="37" t="s">
        <v>2560</v>
      </c>
      <c r="D125" s="37" t="s">
        <v>2561</v>
      </c>
      <c r="E125" s="37" t="s">
        <v>4738</v>
      </c>
      <c r="F125" s="37"/>
      <c r="G125" s="37"/>
    </row>
    <row r="126" spans="1:7">
      <c r="A126" s="37"/>
      <c r="B126" s="37" t="s">
        <v>4746</v>
      </c>
      <c r="C126" s="37" t="s">
        <v>2560</v>
      </c>
      <c r="D126" s="37" t="s">
        <v>2561</v>
      </c>
      <c r="E126" s="37" t="s">
        <v>4738</v>
      </c>
      <c r="F126" s="37"/>
      <c r="G126" s="37"/>
    </row>
    <row r="127" spans="1:7">
      <c r="A127" s="37"/>
      <c r="B127" s="37" t="s">
        <v>4747</v>
      </c>
      <c r="C127" s="37" t="s">
        <v>2560</v>
      </c>
      <c r="D127" s="37" t="s">
        <v>2561</v>
      </c>
      <c r="E127" s="37" t="s">
        <v>4738</v>
      </c>
      <c r="F127" s="37"/>
      <c r="G127" s="37"/>
    </row>
    <row r="128" spans="1:7">
      <c r="A128" s="37"/>
      <c r="B128" s="37" t="s">
        <v>4748</v>
      </c>
      <c r="C128" s="37" t="s">
        <v>2578</v>
      </c>
      <c r="D128" s="37" t="s">
        <v>2579</v>
      </c>
      <c r="E128" s="37" t="s">
        <v>4682</v>
      </c>
      <c r="F128" s="37"/>
      <c r="G128" s="37"/>
    </row>
    <row r="129" spans="1:7">
      <c r="A129" s="37"/>
      <c r="B129" s="37" t="s">
        <v>4749</v>
      </c>
      <c r="C129" s="37" t="s">
        <v>2578</v>
      </c>
      <c r="D129" s="37" t="s">
        <v>2579</v>
      </c>
      <c r="E129" s="37" t="s">
        <v>4682</v>
      </c>
      <c r="F129" s="37"/>
      <c r="G129" s="37"/>
    </row>
    <row r="130" spans="1:7">
      <c r="A130" s="37"/>
      <c r="B130" s="37" t="s">
        <v>4750</v>
      </c>
      <c r="C130" s="37" t="s">
        <v>2578</v>
      </c>
      <c r="D130" s="37" t="s">
        <v>2579</v>
      </c>
      <c r="E130" s="37" t="s">
        <v>4682</v>
      </c>
      <c r="F130" s="37"/>
      <c r="G130" s="37"/>
    </row>
    <row r="131" spans="1:7">
      <c r="A131" s="37"/>
      <c r="B131" s="37" t="s">
        <v>4751</v>
      </c>
      <c r="C131" s="37" t="s">
        <v>2578</v>
      </c>
      <c r="D131" s="37" t="s">
        <v>2579</v>
      </c>
      <c r="E131" s="37" t="s">
        <v>4682</v>
      </c>
      <c r="F131" s="37"/>
      <c r="G131" s="37"/>
    </row>
    <row r="132" spans="1:7">
      <c r="A132" s="37"/>
      <c r="B132" s="37" t="s">
        <v>4752</v>
      </c>
      <c r="C132" s="37" t="s">
        <v>2578</v>
      </c>
      <c r="D132" s="37" t="s">
        <v>2579</v>
      </c>
      <c r="E132" s="37" t="s">
        <v>4682</v>
      </c>
      <c r="F132" s="37"/>
      <c r="G132" s="37"/>
    </row>
    <row r="133" spans="1:7">
      <c r="A133" s="37"/>
      <c r="B133" s="37" t="s">
        <v>4753</v>
      </c>
      <c r="C133" s="37" t="s">
        <v>2578</v>
      </c>
      <c r="D133" s="37" t="s">
        <v>2579</v>
      </c>
      <c r="E133" s="37" t="s">
        <v>4682</v>
      </c>
      <c r="F133" s="37"/>
      <c r="G133" s="37"/>
    </row>
    <row r="134" spans="1:7">
      <c r="A134" s="37"/>
      <c r="B134" s="37" t="s">
        <v>4754</v>
      </c>
      <c r="C134" s="37" t="s">
        <v>2603</v>
      </c>
      <c r="D134" s="37" t="s">
        <v>2606</v>
      </c>
      <c r="E134" s="37" t="s">
        <v>4627</v>
      </c>
      <c r="F134" s="37"/>
      <c r="G134" s="37"/>
    </row>
    <row r="135" spans="1:7">
      <c r="A135" s="37"/>
      <c r="B135" s="37" t="s">
        <v>4755</v>
      </c>
      <c r="C135" s="37" t="s">
        <v>2603</v>
      </c>
      <c r="D135" s="37" t="s">
        <v>2606</v>
      </c>
      <c r="E135" s="37" t="s">
        <v>4627</v>
      </c>
      <c r="F135" s="37"/>
      <c r="G135" s="37"/>
    </row>
    <row r="136" spans="1:7">
      <c r="A136" s="37"/>
      <c r="B136" s="37" t="s">
        <v>4756</v>
      </c>
      <c r="C136" s="37" t="s">
        <v>2621</v>
      </c>
      <c r="D136" s="37" t="s">
        <v>2624</v>
      </c>
      <c r="E136" s="37" t="s">
        <v>4627</v>
      </c>
      <c r="F136" s="37"/>
      <c r="G136" s="37"/>
    </row>
    <row r="137" spans="1:7">
      <c r="A137" s="37"/>
      <c r="B137" s="37" t="s">
        <v>4757</v>
      </c>
      <c r="C137" s="37" t="s">
        <v>2621</v>
      </c>
      <c r="D137" s="37" t="s">
        <v>2624</v>
      </c>
      <c r="E137" s="37" t="s">
        <v>4627</v>
      </c>
      <c r="F137" s="37"/>
      <c r="G137" s="37"/>
    </row>
    <row r="138" spans="1:7">
      <c r="A138" s="37"/>
      <c r="B138" s="37" t="s">
        <v>4758</v>
      </c>
      <c r="C138" s="37" t="s">
        <v>2621</v>
      </c>
      <c r="D138" s="37" t="s">
        <v>2624</v>
      </c>
      <c r="E138" s="37" t="s">
        <v>4627</v>
      </c>
      <c r="F138" s="37"/>
      <c r="G138" s="37"/>
    </row>
    <row r="139" spans="1:7">
      <c r="A139" s="37"/>
      <c r="B139" s="37" t="s">
        <v>4759</v>
      </c>
      <c r="C139" s="37" t="s">
        <v>2621</v>
      </c>
      <c r="D139" s="37" t="s">
        <v>2624</v>
      </c>
      <c r="E139" s="37" t="s">
        <v>4627</v>
      </c>
      <c r="F139" s="37"/>
      <c r="G139" s="37"/>
    </row>
    <row r="140" spans="1:7">
      <c r="A140" s="37"/>
      <c r="B140" s="37" t="s">
        <v>4760</v>
      </c>
      <c r="C140" s="37" t="s">
        <v>2621</v>
      </c>
      <c r="D140" s="37" t="s">
        <v>2624</v>
      </c>
      <c r="E140" s="37" t="s">
        <v>4627</v>
      </c>
      <c r="F140" s="37"/>
      <c r="G140" s="37"/>
    </row>
    <row r="141" spans="1:7">
      <c r="A141" s="37"/>
      <c r="B141" s="37" t="s">
        <v>4761</v>
      </c>
      <c r="C141" s="37" t="s">
        <v>2621</v>
      </c>
      <c r="D141" s="37" t="s">
        <v>2624</v>
      </c>
      <c r="E141" s="37" t="s">
        <v>4627</v>
      </c>
      <c r="F141" s="37"/>
      <c r="G141" s="37"/>
    </row>
    <row r="142" spans="1:7">
      <c r="A142" s="37"/>
      <c r="B142" s="37" t="s">
        <v>4762</v>
      </c>
      <c r="C142" s="37" t="s">
        <v>2621</v>
      </c>
      <c r="D142" s="37" t="s">
        <v>2624</v>
      </c>
      <c r="E142" s="37" t="s">
        <v>4627</v>
      </c>
      <c r="F142" s="37"/>
      <c r="G142" s="37"/>
    </row>
    <row r="143" spans="1:7">
      <c r="A143" s="37"/>
      <c r="B143" s="37" t="s">
        <v>4763</v>
      </c>
      <c r="C143" s="37" t="s">
        <v>2621</v>
      </c>
      <c r="D143" s="37" t="s">
        <v>2624</v>
      </c>
      <c r="E143" s="37" t="s">
        <v>4627</v>
      </c>
      <c r="F143" s="37"/>
      <c r="G143" s="37"/>
    </row>
    <row r="144" spans="1:7">
      <c r="A144" s="37"/>
      <c r="B144" s="37" t="s">
        <v>4764</v>
      </c>
      <c r="C144" s="37" t="s">
        <v>2621</v>
      </c>
      <c r="D144" s="37" t="s">
        <v>2624</v>
      </c>
      <c r="E144" s="37" t="s">
        <v>4627</v>
      </c>
      <c r="F144" s="37"/>
      <c r="G144" s="37"/>
    </row>
    <row r="145" spans="1:7">
      <c r="A145" s="37"/>
      <c r="B145" s="37" t="s">
        <v>4765</v>
      </c>
      <c r="C145" s="37" t="s">
        <v>2621</v>
      </c>
      <c r="D145" s="37" t="s">
        <v>2624</v>
      </c>
      <c r="E145" s="37" t="s">
        <v>4627</v>
      </c>
      <c r="F145" s="37"/>
      <c r="G145" s="37"/>
    </row>
    <row r="146" spans="1:7">
      <c r="A146" s="37"/>
      <c r="B146" s="37" t="s">
        <v>4766</v>
      </c>
      <c r="C146" s="37" t="s">
        <v>2621</v>
      </c>
      <c r="D146" s="37" t="s">
        <v>2624</v>
      </c>
      <c r="E146" s="37" t="s">
        <v>4627</v>
      </c>
      <c r="F146" s="37"/>
      <c r="G146" s="37"/>
    </row>
    <row r="147" spans="1:7">
      <c r="A147" s="37"/>
      <c r="B147" s="37" t="s">
        <v>4767</v>
      </c>
      <c r="C147" s="37" t="s">
        <v>2621</v>
      </c>
      <c r="D147" s="37" t="s">
        <v>2624</v>
      </c>
      <c r="E147" s="37" t="s">
        <v>4627</v>
      </c>
      <c r="F147" s="37"/>
      <c r="G147" s="37"/>
    </row>
    <row r="148" spans="1:7">
      <c r="A148" s="37"/>
      <c r="B148" s="37" t="s">
        <v>4768</v>
      </c>
      <c r="C148" s="37" t="s">
        <v>2632</v>
      </c>
      <c r="D148" s="37" t="s">
        <v>2633</v>
      </c>
      <c r="E148" s="37" t="s">
        <v>4682</v>
      </c>
      <c r="F148" s="37"/>
      <c r="G148" s="37"/>
    </row>
    <row r="149" spans="1:7">
      <c r="A149" s="37"/>
      <c r="B149" s="37" t="s">
        <v>4769</v>
      </c>
      <c r="C149" s="37" t="s">
        <v>2632</v>
      </c>
      <c r="D149" s="37" t="s">
        <v>2633</v>
      </c>
      <c r="E149" s="37" t="s">
        <v>4682</v>
      </c>
      <c r="F149" s="37"/>
      <c r="G149" s="37"/>
    </row>
    <row r="150" spans="1:7">
      <c r="A150" s="37"/>
      <c r="B150" s="37" t="s">
        <v>4770</v>
      </c>
      <c r="C150" s="37" t="s">
        <v>2649</v>
      </c>
      <c r="D150" s="37" t="s">
        <v>2650</v>
      </c>
      <c r="E150" s="37" t="s">
        <v>4771</v>
      </c>
      <c r="F150" s="37"/>
      <c r="G150" s="37"/>
    </row>
    <row r="151" spans="1:7">
      <c r="A151" s="37"/>
      <c r="B151" s="37" t="s">
        <v>4772</v>
      </c>
      <c r="C151" s="37" t="s">
        <v>2649</v>
      </c>
      <c r="D151" s="37" t="s">
        <v>2650</v>
      </c>
      <c r="E151" s="37" t="s">
        <v>4771</v>
      </c>
      <c r="F151" s="37"/>
      <c r="G151" s="37"/>
    </row>
    <row r="152" spans="1:7">
      <c r="A152" s="37"/>
      <c r="B152" s="37" t="s">
        <v>4773</v>
      </c>
      <c r="C152" s="37" t="s">
        <v>2669</v>
      </c>
      <c r="D152" s="37" t="s">
        <v>2670</v>
      </c>
      <c r="E152" s="37" t="s">
        <v>2674</v>
      </c>
      <c r="F152" s="37"/>
      <c r="G152" s="37"/>
    </row>
    <row r="153" spans="1:7">
      <c r="A153" s="37"/>
      <c r="B153" s="37" t="s">
        <v>4774</v>
      </c>
      <c r="C153" s="37" t="s">
        <v>2669</v>
      </c>
      <c r="D153" s="37" t="s">
        <v>2670</v>
      </c>
      <c r="E153" s="37" t="s">
        <v>2674</v>
      </c>
      <c r="F153" s="37"/>
      <c r="G153" s="37"/>
    </row>
    <row r="154" spans="1:7">
      <c r="A154" s="37"/>
      <c r="B154" s="37" t="s">
        <v>4775</v>
      </c>
      <c r="C154" s="37" t="s">
        <v>2669</v>
      </c>
      <c r="D154" s="37" t="s">
        <v>2670</v>
      </c>
      <c r="E154" s="37" t="s">
        <v>2674</v>
      </c>
      <c r="F154" s="37"/>
      <c r="G154" s="37"/>
    </row>
    <row r="155" spans="1:7">
      <c r="A155" s="37"/>
      <c r="B155" s="37" t="s">
        <v>4776</v>
      </c>
      <c r="C155" s="37" t="s">
        <v>2669</v>
      </c>
      <c r="D155" s="37" t="s">
        <v>2670</v>
      </c>
      <c r="E155" s="37" t="s">
        <v>2674</v>
      </c>
      <c r="F155" s="37"/>
      <c r="G155" s="37"/>
    </row>
    <row r="156" spans="1:7">
      <c r="A156" s="37"/>
      <c r="B156" s="37" t="s">
        <v>2698</v>
      </c>
      <c r="C156" s="37" t="s">
        <v>2692</v>
      </c>
      <c r="D156" s="37" t="s">
        <v>2696</v>
      </c>
      <c r="E156" s="37" t="s">
        <v>2674</v>
      </c>
      <c r="F156" s="37"/>
      <c r="G156" s="37"/>
    </row>
    <row r="157" spans="1:7">
      <c r="A157" s="37"/>
      <c r="B157" s="37" t="s">
        <v>2707</v>
      </c>
      <c r="C157" s="37" t="s">
        <v>2702</v>
      </c>
      <c r="D157" s="37" t="s">
        <v>2703</v>
      </c>
      <c r="E157" s="37" t="s">
        <v>2674</v>
      </c>
      <c r="F157" s="37"/>
      <c r="G157" s="37"/>
    </row>
    <row r="158" spans="1:7">
      <c r="A158" s="37"/>
      <c r="B158" s="37" t="s">
        <v>4777</v>
      </c>
      <c r="C158" s="37" t="s">
        <v>2721</v>
      </c>
      <c r="D158" s="37" t="s">
        <v>2724</v>
      </c>
      <c r="E158" s="37" t="s">
        <v>2674</v>
      </c>
      <c r="F158" s="37"/>
      <c r="G158" s="37"/>
    </row>
    <row r="159" spans="1:7">
      <c r="A159" s="37"/>
      <c r="B159" s="37" t="s">
        <v>4778</v>
      </c>
      <c r="C159" s="37" t="s">
        <v>2721</v>
      </c>
      <c r="D159" s="37" t="s">
        <v>2724</v>
      </c>
      <c r="E159" s="37" t="s">
        <v>2674</v>
      </c>
      <c r="F159" s="37"/>
      <c r="G159" s="37"/>
    </row>
    <row r="160" spans="1:7">
      <c r="A160" s="37"/>
      <c r="B160" s="37" t="s">
        <v>4779</v>
      </c>
      <c r="C160" s="37" t="s">
        <v>2730</v>
      </c>
      <c r="D160" s="37" t="s">
        <v>2731</v>
      </c>
      <c r="E160" s="37" t="s">
        <v>2674</v>
      </c>
      <c r="F160" s="37"/>
      <c r="G160" s="37"/>
    </row>
    <row r="161" spans="1:7">
      <c r="A161" s="37"/>
      <c r="B161" s="37" t="s">
        <v>4780</v>
      </c>
      <c r="C161" s="37" t="s">
        <v>2730</v>
      </c>
      <c r="D161" s="37" t="s">
        <v>2731</v>
      </c>
      <c r="E161" s="37" t="s">
        <v>2674</v>
      </c>
      <c r="F161" s="37"/>
      <c r="G161" s="37"/>
    </row>
    <row r="162" spans="1:7">
      <c r="A162" s="37"/>
      <c r="B162" s="37" t="s">
        <v>4781</v>
      </c>
      <c r="C162" s="37" t="s">
        <v>2730</v>
      </c>
      <c r="D162" s="37" t="s">
        <v>2731</v>
      </c>
      <c r="E162" s="37" t="s">
        <v>2674</v>
      </c>
      <c r="F162" s="37"/>
      <c r="G162" s="37"/>
    </row>
    <row r="163" spans="1:7">
      <c r="A163" s="37"/>
      <c r="B163" s="37" t="s">
        <v>4782</v>
      </c>
      <c r="C163" s="37" t="s">
        <v>2730</v>
      </c>
      <c r="D163" s="37" t="s">
        <v>2731</v>
      </c>
      <c r="E163" s="37" t="s">
        <v>2674</v>
      </c>
      <c r="F163" s="37"/>
      <c r="G163" s="37"/>
    </row>
    <row r="164" spans="1:7">
      <c r="A164" s="37"/>
      <c r="B164" s="37" t="s">
        <v>4783</v>
      </c>
      <c r="C164" s="37" t="s">
        <v>2745</v>
      </c>
      <c r="D164" s="37" t="s">
        <v>2571</v>
      </c>
      <c r="E164" s="37" t="s">
        <v>4738</v>
      </c>
      <c r="F164" s="37"/>
      <c r="G164" s="37"/>
    </row>
    <row r="165" spans="1:7">
      <c r="A165" s="37"/>
      <c r="B165" s="37" t="s">
        <v>4784</v>
      </c>
      <c r="C165" s="37" t="s">
        <v>2745</v>
      </c>
      <c r="D165" s="37" t="s">
        <v>2571</v>
      </c>
      <c r="E165" s="37" t="s">
        <v>4738</v>
      </c>
      <c r="F165" s="37"/>
      <c r="G165" s="37"/>
    </row>
    <row r="166" spans="1:7">
      <c r="A166" s="37"/>
      <c r="B166" s="37" t="s">
        <v>4785</v>
      </c>
      <c r="C166" s="37" t="s">
        <v>2758</v>
      </c>
      <c r="D166" s="37" t="s">
        <v>2760</v>
      </c>
      <c r="E166" s="37" t="s">
        <v>4627</v>
      </c>
      <c r="F166" s="37"/>
      <c r="G166" s="37"/>
    </row>
    <row r="167" spans="1:7">
      <c r="A167" s="37"/>
      <c r="B167" s="37" t="s">
        <v>4786</v>
      </c>
      <c r="C167" s="37" t="s">
        <v>2758</v>
      </c>
      <c r="D167" s="37" t="s">
        <v>2760</v>
      </c>
      <c r="E167" s="37" t="s">
        <v>4627</v>
      </c>
      <c r="F167" s="37"/>
      <c r="G167" s="37"/>
    </row>
    <row r="168" spans="1:7">
      <c r="A168" s="37"/>
      <c r="B168" s="37" t="s">
        <v>4787</v>
      </c>
      <c r="C168" s="37" t="s">
        <v>2758</v>
      </c>
      <c r="D168" s="37" t="s">
        <v>2760</v>
      </c>
      <c r="E168" s="37" t="s">
        <v>4627</v>
      </c>
      <c r="F168" s="37"/>
      <c r="G168" s="37"/>
    </row>
    <row r="169" spans="1:7">
      <c r="A169" s="37"/>
      <c r="B169" s="37" t="s">
        <v>4788</v>
      </c>
      <c r="C169" s="37" t="s">
        <v>2758</v>
      </c>
      <c r="D169" s="37" t="s">
        <v>2760</v>
      </c>
      <c r="E169" s="37" t="s">
        <v>4627</v>
      </c>
      <c r="F169" s="37"/>
      <c r="G169" s="37"/>
    </row>
    <row r="170" spans="1:7">
      <c r="A170" s="37"/>
      <c r="B170" s="37" t="s">
        <v>2803</v>
      </c>
      <c r="C170" s="37" t="s">
        <v>2795</v>
      </c>
      <c r="D170" s="37" t="s">
        <v>2797</v>
      </c>
      <c r="E170" s="37" t="s">
        <v>4789</v>
      </c>
      <c r="F170" s="37"/>
      <c r="G170" s="37"/>
    </row>
    <row r="171" spans="1:7">
      <c r="A171" s="37"/>
      <c r="B171" s="37" t="s">
        <v>2820</v>
      </c>
      <c r="C171" s="37" t="s">
        <v>2815</v>
      </c>
      <c r="D171" s="37" t="s">
        <v>2816</v>
      </c>
      <c r="E171" s="37" t="s">
        <v>4771</v>
      </c>
      <c r="F171" s="37"/>
      <c r="G171" s="37"/>
    </row>
    <row r="172" spans="1:7">
      <c r="A172" s="37"/>
      <c r="B172" s="37" t="s">
        <v>4790</v>
      </c>
      <c r="C172" s="37" t="s">
        <v>2829</v>
      </c>
      <c r="D172" s="37" t="s">
        <v>2830</v>
      </c>
      <c r="E172" s="37" t="s">
        <v>4771</v>
      </c>
      <c r="F172" s="37"/>
      <c r="G172" s="37"/>
    </row>
    <row r="173" spans="1:7">
      <c r="A173" s="37"/>
      <c r="B173" s="37" t="s">
        <v>4791</v>
      </c>
      <c r="C173" s="37" t="s">
        <v>2829</v>
      </c>
      <c r="D173" s="37" t="s">
        <v>2830</v>
      </c>
      <c r="E173" s="37" t="s">
        <v>4771</v>
      </c>
      <c r="F173" s="37"/>
      <c r="G173" s="37"/>
    </row>
    <row r="174" spans="1:7">
      <c r="A174" s="37"/>
      <c r="B174" s="37" t="s">
        <v>4792</v>
      </c>
      <c r="C174" s="37" t="s">
        <v>2843</v>
      </c>
      <c r="D174" s="37" t="s">
        <v>2844</v>
      </c>
      <c r="E174" s="37" t="s">
        <v>4771</v>
      </c>
      <c r="F174" s="37"/>
      <c r="G174" s="37"/>
    </row>
    <row r="175" spans="1:7">
      <c r="A175" s="37"/>
      <c r="B175" s="37" t="s">
        <v>4793</v>
      </c>
      <c r="C175" s="37" t="s">
        <v>2843</v>
      </c>
      <c r="D175" s="37" t="s">
        <v>2844</v>
      </c>
      <c r="E175" s="37" t="s">
        <v>4771</v>
      </c>
      <c r="F175" s="37"/>
      <c r="G175" s="37"/>
    </row>
    <row r="176" spans="1:7">
      <c r="A176" s="37"/>
      <c r="B176" s="37" t="s">
        <v>4794</v>
      </c>
      <c r="C176" s="37" t="s">
        <v>2843</v>
      </c>
      <c r="D176" s="37" t="s">
        <v>2844</v>
      </c>
      <c r="E176" s="37" t="s">
        <v>4771</v>
      </c>
      <c r="F176" s="37"/>
      <c r="G176" s="37"/>
    </row>
    <row r="177" spans="1:7">
      <c r="A177" s="37"/>
      <c r="B177" s="37" t="s">
        <v>4795</v>
      </c>
      <c r="C177" s="37" t="s">
        <v>2843</v>
      </c>
      <c r="D177" s="37" t="s">
        <v>2844</v>
      </c>
      <c r="E177" s="37" t="s">
        <v>4771</v>
      </c>
      <c r="F177" s="37"/>
      <c r="G177" s="37"/>
    </row>
    <row r="178" spans="1:7">
      <c r="A178" s="37"/>
      <c r="B178" s="37" t="s">
        <v>4796</v>
      </c>
      <c r="C178" s="37" t="s">
        <v>2843</v>
      </c>
      <c r="D178" s="37" t="s">
        <v>2844</v>
      </c>
      <c r="E178" s="37" t="s">
        <v>4771</v>
      </c>
      <c r="F178" s="37"/>
      <c r="G178" s="37"/>
    </row>
    <row r="179" spans="1:7">
      <c r="A179" s="37"/>
      <c r="B179" s="37" t="s">
        <v>4797</v>
      </c>
      <c r="C179" s="37" t="s">
        <v>2843</v>
      </c>
      <c r="D179" s="37" t="s">
        <v>2844</v>
      </c>
      <c r="E179" s="37" t="s">
        <v>4771</v>
      </c>
      <c r="F179" s="37"/>
      <c r="G179" s="37"/>
    </row>
    <row r="180" spans="1:7">
      <c r="A180" s="37"/>
      <c r="B180" s="37" t="s">
        <v>4798</v>
      </c>
      <c r="C180" s="37" t="s">
        <v>2843</v>
      </c>
      <c r="D180" s="37" t="s">
        <v>2844</v>
      </c>
      <c r="E180" s="37" t="s">
        <v>4771</v>
      </c>
      <c r="F180" s="37"/>
      <c r="G180" s="37"/>
    </row>
    <row r="181" spans="1:7">
      <c r="A181" s="37"/>
      <c r="B181" s="37" t="s">
        <v>4799</v>
      </c>
      <c r="C181" s="37" t="s">
        <v>2843</v>
      </c>
      <c r="D181" s="37" t="s">
        <v>2844</v>
      </c>
      <c r="E181" s="37" t="s">
        <v>4771</v>
      </c>
      <c r="F181" s="37"/>
      <c r="G181" s="37"/>
    </row>
    <row r="182" spans="1:7">
      <c r="A182" s="37"/>
      <c r="B182" s="37" t="s">
        <v>4800</v>
      </c>
      <c r="C182" s="37" t="s">
        <v>2843</v>
      </c>
      <c r="D182" s="37" t="s">
        <v>2844</v>
      </c>
      <c r="E182" s="37" t="s">
        <v>4771</v>
      </c>
      <c r="F182" s="37"/>
      <c r="G182" s="37"/>
    </row>
    <row r="183" spans="1:7">
      <c r="A183" s="37"/>
      <c r="B183" s="37" t="s">
        <v>4801</v>
      </c>
      <c r="C183" s="37" t="s">
        <v>2843</v>
      </c>
      <c r="D183" s="37" t="s">
        <v>2844</v>
      </c>
      <c r="E183" s="37" t="s">
        <v>4771</v>
      </c>
      <c r="F183" s="37"/>
      <c r="G183" s="37"/>
    </row>
    <row r="184" spans="1:7">
      <c r="A184" s="37"/>
      <c r="B184" s="37" t="s">
        <v>4802</v>
      </c>
      <c r="C184" s="37" t="s">
        <v>2843</v>
      </c>
      <c r="D184" s="37" t="s">
        <v>2844</v>
      </c>
      <c r="E184" s="37" t="s">
        <v>4771</v>
      </c>
      <c r="F184" s="37"/>
      <c r="G184" s="37"/>
    </row>
    <row r="185" spans="1:7">
      <c r="A185" s="37"/>
      <c r="B185" s="37" t="s">
        <v>4803</v>
      </c>
      <c r="C185" s="37" t="s">
        <v>2843</v>
      </c>
      <c r="D185" s="37" t="s">
        <v>2844</v>
      </c>
      <c r="E185" s="37" t="s">
        <v>4771</v>
      </c>
      <c r="F185" s="37"/>
      <c r="G185" s="37"/>
    </row>
    <row r="186" spans="1:7">
      <c r="A186" s="37"/>
      <c r="B186" s="37" t="s">
        <v>4804</v>
      </c>
      <c r="C186" s="37" t="s">
        <v>2853</v>
      </c>
      <c r="D186" s="37" t="s">
        <v>2854</v>
      </c>
      <c r="E186" s="37" t="s">
        <v>4771</v>
      </c>
      <c r="F186" s="37"/>
      <c r="G186" s="37"/>
    </row>
    <row r="187" spans="1:7">
      <c r="A187" s="37"/>
      <c r="B187" s="37" t="s">
        <v>4805</v>
      </c>
      <c r="C187" s="37" t="s">
        <v>2853</v>
      </c>
      <c r="D187" s="37" t="s">
        <v>2854</v>
      </c>
      <c r="E187" s="37" t="s">
        <v>4771</v>
      </c>
      <c r="F187" s="37"/>
      <c r="G187" s="37"/>
    </row>
    <row r="188" spans="1:7">
      <c r="A188" s="37"/>
      <c r="B188" s="37" t="s">
        <v>4806</v>
      </c>
      <c r="C188" s="37" t="s">
        <v>2853</v>
      </c>
      <c r="D188" s="37" t="s">
        <v>2854</v>
      </c>
      <c r="E188" s="37" t="s">
        <v>4771</v>
      </c>
      <c r="F188" s="37"/>
      <c r="G188" s="37"/>
    </row>
    <row r="189" spans="1:7">
      <c r="A189" s="37"/>
      <c r="B189" s="37" t="s">
        <v>4807</v>
      </c>
      <c r="C189" s="37" t="s">
        <v>2853</v>
      </c>
      <c r="D189" s="37" t="s">
        <v>2854</v>
      </c>
      <c r="E189" s="37" t="s">
        <v>4771</v>
      </c>
      <c r="F189" s="37"/>
      <c r="G189" s="37"/>
    </row>
    <row r="190" spans="1:7">
      <c r="A190" s="37"/>
      <c r="B190" s="37" t="s">
        <v>4808</v>
      </c>
      <c r="C190" s="37" t="s">
        <v>2853</v>
      </c>
      <c r="D190" s="37" t="s">
        <v>2854</v>
      </c>
      <c r="E190" s="37" t="s">
        <v>4771</v>
      </c>
      <c r="F190" s="37"/>
      <c r="G190" s="37"/>
    </row>
    <row r="191" spans="1:7">
      <c r="A191" s="37"/>
      <c r="B191" s="37" t="s">
        <v>4809</v>
      </c>
      <c r="C191" s="37" t="s">
        <v>2853</v>
      </c>
      <c r="D191" s="37" t="s">
        <v>2854</v>
      </c>
      <c r="E191" s="37" t="s">
        <v>4771</v>
      </c>
      <c r="F191" s="37"/>
      <c r="G191" s="37"/>
    </row>
    <row r="192" spans="1:7">
      <c r="A192" s="37"/>
      <c r="B192" s="37" t="s">
        <v>4810</v>
      </c>
      <c r="C192" s="37" t="s">
        <v>2853</v>
      </c>
      <c r="D192" s="37" t="s">
        <v>2854</v>
      </c>
      <c r="E192" s="37" t="s">
        <v>4771</v>
      </c>
      <c r="F192" s="37"/>
      <c r="G192" s="37"/>
    </row>
    <row r="193" spans="1:7">
      <c r="A193" s="37"/>
      <c r="B193" s="37" t="s">
        <v>4811</v>
      </c>
      <c r="C193" s="37" t="s">
        <v>2853</v>
      </c>
      <c r="D193" s="37" t="s">
        <v>2854</v>
      </c>
      <c r="E193" s="37" t="s">
        <v>4771</v>
      </c>
      <c r="F193" s="37"/>
      <c r="G193" s="37"/>
    </row>
    <row r="194" spans="1:7">
      <c r="A194" s="37"/>
      <c r="B194" s="37" t="s">
        <v>4812</v>
      </c>
      <c r="C194" s="37" t="s">
        <v>2853</v>
      </c>
      <c r="D194" s="37" t="s">
        <v>2854</v>
      </c>
      <c r="E194" s="37" t="s">
        <v>4771</v>
      </c>
      <c r="F194" s="37"/>
      <c r="G194" s="37"/>
    </row>
    <row r="195" spans="1:7">
      <c r="A195" s="37"/>
      <c r="B195" s="37" t="s">
        <v>4813</v>
      </c>
      <c r="C195" s="37" t="s">
        <v>2853</v>
      </c>
      <c r="D195" s="37" t="s">
        <v>2854</v>
      </c>
      <c r="E195" s="37" t="s">
        <v>4771</v>
      </c>
      <c r="F195" s="37"/>
      <c r="G195" s="37"/>
    </row>
    <row r="196" spans="1:7">
      <c r="A196" s="37"/>
      <c r="B196" s="37" t="s">
        <v>4814</v>
      </c>
      <c r="C196" s="37" t="s">
        <v>2853</v>
      </c>
      <c r="D196" s="37" t="s">
        <v>2854</v>
      </c>
      <c r="E196" s="37" t="s">
        <v>4771</v>
      </c>
      <c r="F196" s="37"/>
      <c r="G196" s="37"/>
    </row>
    <row r="197" spans="1:7">
      <c r="A197" s="37"/>
      <c r="B197" s="37" t="s">
        <v>4815</v>
      </c>
      <c r="C197" s="37" t="s">
        <v>2853</v>
      </c>
      <c r="D197" s="37" t="s">
        <v>2854</v>
      </c>
      <c r="E197" s="37" t="s">
        <v>4771</v>
      </c>
      <c r="F197" s="37"/>
      <c r="G197" s="37"/>
    </row>
    <row r="198" spans="1:7">
      <c r="A198" s="37"/>
      <c r="B198" s="37" t="s">
        <v>4816</v>
      </c>
      <c r="C198" s="37" t="s">
        <v>2853</v>
      </c>
      <c r="D198" s="37" t="s">
        <v>2854</v>
      </c>
      <c r="E198" s="37" t="s">
        <v>4771</v>
      </c>
      <c r="F198" s="37"/>
      <c r="G198" s="37"/>
    </row>
    <row r="199" spans="1:7">
      <c r="A199" s="37"/>
      <c r="B199" s="37" t="s">
        <v>4817</v>
      </c>
      <c r="C199" s="37" t="s">
        <v>2853</v>
      </c>
      <c r="D199" s="37" t="s">
        <v>2854</v>
      </c>
      <c r="E199" s="37" t="s">
        <v>4771</v>
      </c>
      <c r="F199" s="37"/>
      <c r="G199" s="37"/>
    </row>
    <row r="200" spans="1:7">
      <c r="A200" s="37"/>
      <c r="B200" s="37" t="s">
        <v>4818</v>
      </c>
      <c r="C200" s="37" t="s">
        <v>2853</v>
      </c>
      <c r="D200" s="37" t="s">
        <v>2854</v>
      </c>
      <c r="E200" s="37" t="s">
        <v>4771</v>
      </c>
      <c r="F200" s="37"/>
      <c r="G200" s="37"/>
    </row>
    <row r="201" spans="1:7">
      <c r="A201" s="37"/>
      <c r="B201" s="37" t="s">
        <v>4819</v>
      </c>
      <c r="C201" s="37" t="s">
        <v>2853</v>
      </c>
      <c r="D201" s="37" t="s">
        <v>2854</v>
      </c>
      <c r="E201" s="37" t="s">
        <v>4771</v>
      </c>
      <c r="F201" s="37"/>
      <c r="G201" s="37"/>
    </row>
    <row r="202" spans="1:7">
      <c r="A202" s="37"/>
      <c r="B202" s="37" t="s">
        <v>4820</v>
      </c>
      <c r="C202" s="37" t="s">
        <v>2853</v>
      </c>
      <c r="D202" s="37" t="s">
        <v>2854</v>
      </c>
      <c r="E202" s="37" t="s">
        <v>4771</v>
      </c>
      <c r="F202" s="37"/>
      <c r="G202" s="37"/>
    </row>
    <row r="203" spans="1:7">
      <c r="A203" s="37"/>
      <c r="B203" s="37" t="s">
        <v>4821</v>
      </c>
      <c r="C203" s="37" t="s">
        <v>2853</v>
      </c>
      <c r="D203" s="37" t="s">
        <v>2854</v>
      </c>
      <c r="E203" s="37" t="s">
        <v>4771</v>
      </c>
      <c r="F203" s="37"/>
      <c r="G203" s="37"/>
    </row>
    <row r="204" spans="1:7">
      <c r="A204" s="37"/>
      <c r="B204" s="37" t="s">
        <v>4822</v>
      </c>
      <c r="C204" s="37" t="s">
        <v>2853</v>
      </c>
      <c r="D204" s="37" t="s">
        <v>2854</v>
      </c>
      <c r="E204" s="37" t="s">
        <v>4771</v>
      </c>
      <c r="F204" s="37"/>
      <c r="G204" s="37"/>
    </row>
    <row r="205" spans="1:7">
      <c r="A205" s="37"/>
      <c r="B205" s="37" t="s">
        <v>4823</v>
      </c>
      <c r="C205" s="37" t="s">
        <v>2853</v>
      </c>
      <c r="D205" s="37" t="s">
        <v>2854</v>
      </c>
      <c r="E205" s="37" t="s">
        <v>4771</v>
      </c>
      <c r="F205" s="37"/>
      <c r="G205" s="37"/>
    </row>
    <row r="206" spans="1:7">
      <c r="A206" s="37"/>
      <c r="B206" s="37" t="s">
        <v>4824</v>
      </c>
      <c r="C206" s="37" t="s">
        <v>2853</v>
      </c>
      <c r="D206" s="37" t="s">
        <v>2854</v>
      </c>
      <c r="E206" s="37" t="s">
        <v>4771</v>
      </c>
      <c r="F206" s="37"/>
      <c r="G206" s="37"/>
    </row>
    <row r="207" spans="1:7">
      <c r="A207" s="37"/>
      <c r="B207" s="37" t="s">
        <v>4825</v>
      </c>
      <c r="C207" s="37" t="s">
        <v>2853</v>
      </c>
      <c r="D207" s="37" t="s">
        <v>2854</v>
      </c>
      <c r="E207" s="37" t="s">
        <v>4771</v>
      </c>
      <c r="F207" s="37"/>
      <c r="G207" s="37"/>
    </row>
    <row r="208" spans="1:7">
      <c r="A208" s="37"/>
      <c r="B208" s="37" t="s">
        <v>4826</v>
      </c>
      <c r="C208" s="37" t="s">
        <v>2853</v>
      </c>
      <c r="D208" s="37" t="s">
        <v>2854</v>
      </c>
      <c r="E208" s="37" t="s">
        <v>4771</v>
      </c>
      <c r="F208" s="37"/>
      <c r="G208" s="37"/>
    </row>
    <row r="209" spans="1:7">
      <c r="A209" s="37"/>
      <c r="B209" s="37" t="s">
        <v>4827</v>
      </c>
      <c r="C209" s="37" t="s">
        <v>2853</v>
      </c>
      <c r="D209" s="37" t="s">
        <v>2854</v>
      </c>
      <c r="E209" s="37" t="s">
        <v>4771</v>
      </c>
      <c r="F209" s="37"/>
      <c r="G209" s="37"/>
    </row>
    <row r="210" spans="1:7">
      <c r="A210" s="37"/>
      <c r="B210" s="37" t="s">
        <v>4828</v>
      </c>
      <c r="C210" s="37" t="s">
        <v>2853</v>
      </c>
      <c r="D210" s="37" t="s">
        <v>2854</v>
      </c>
      <c r="E210" s="37" t="s">
        <v>4771</v>
      </c>
      <c r="F210" s="37"/>
      <c r="G210" s="37"/>
    </row>
    <row r="211" spans="1:7">
      <c r="A211" s="37"/>
      <c r="B211" s="37" t="s">
        <v>4829</v>
      </c>
      <c r="C211" s="37" t="s">
        <v>2853</v>
      </c>
      <c r="D211" s="37" t="s">
        <v>2854</v>
      </c>
      <c r="E211" s="37" t="s">
        <v>4771</v>
      </c>
      <c r="F211" s="37"/>
      <c r="G211" s="37"/>
    </row>
    <row r="212" spans="1:7">
      <c r="A212" s="37"/>
      <c r="B212" s="37" t="s">
        <v>4830</v>
      </c>
      <c r="C212" s="37" t="s">
        <v>2853</v>
      </c>
      <c r="D212" s="37" t="s">
        <v>2854</v>
      </c>
      <c r="E212" s="37" t="s">
        <v>4771</v>
      </c>
      <c r="F212" s="37"/>
      <c r="G212" s="37"/>
    </row>
    <row r="213" spans="1:7">
      <c r="A213" s="37"/>
      <c r="B213" s="37" t="s">
        <v>4831</v>
      </c>
      <c r="C213" s="37" t="s">
        <v>2853</v>
      </c>
      <c r="D213" s="37" t="s">
        <v>2854</v>
      </c>
      <c r="E213" s="37" t="s">
        <v>4771</v>
      </c>
      <c r="F213" s="37"/>
      <c r="G213" s="37"/>
    </row>
    <row r="214" spans="1:7">
      <c r="A214" s="37"/>
      <c r="B214" s="37" t="s">
        <v>4832</v>
      </c>
      <c r="C214" s="37" t="s">
        <v>2853</v>
      </c>
      <c r="D214" s="37" t="s">
        <v>2854</v>
      </c>
      <c r="E214" s="37" t="s">
        <v>4771</v>
      </c>
      <c r="F214" s="37"/>
      <c r="G214" s="37"/>
    </row>
    <row r="215" spans="1:7">
      <c r="A215" s="37"/>
      <c r="B215" s="37" t="s">
        <v>4833</v>
      </c>
      <c r="C215" s="37" t="s">
        <v>2853</v>
      </c>
      <c r="D215" s="37" t="s">
        <v>2854</v>
      </c>
      <c r="E215" s="37" t="s">
        <v>4771</v>
      </c>
      <c r="F215" s="37"/>
      <c r="G215" s="37"/>
    </row>
    <row r="216" spans="1:7">
      <c r="A216" s="37"/>
      <c r="B216" s="37" t="s">
        <v>4834</v>
      </c>
      <c r="C216" s="37" t="s">
        <v>2853</v>
      </c>
      <c r="D216" s="37" t="s">
        <v>2854</v>
      </c>
      <c r="E216" s="37" t="s">
        <v>4771</v>
      </c>
      <c r="F216" s="37"/>
      <c r="G216" s="37"/>
    </row>
    <row r="217" spans="1:7">
      <c r="A217" s="37"/>
      <c r="B217" s="37" t="s">
        <v>4835</v>
      </c>
      <c r="C217" s="37" t="s">
        <v>2853</v>
      </c>
      <c r="D217" s="37" t="s">
        <v>2854</v>
      </c>
      <c r="E217" s="37" t="s">
        <v>4771</v>
      </c>
      <c r="F217" s="37"/>
      <c r="G217" s="37"/>
    </row>
    <row r="218" spans="1:7">
      <c r="A218" s="37"/>
      <c r="B218" s="37" t="s">
        <v>4836</v>
      </c>
      <c r="C218" s="37" t="s">
        <v>2853</v>
      </c>
      <c r="D218" s="37" t="s">
        <v>2854</v>
      </c>
      <c r="E218" s="37" t="s">
        <v>4771</v>
      </c>
      <c r="F218" s="37"/>
      <c r="G218" s="37"/>
    </row>
    <row r="219" spans="1:7">
      <c r="A219" s="37"/>
      <c r="B219" s="37" t="s">
        <v>4837</v>
      </c>
      <c r="C219" s="37" t="s">
        <v>2853</v>
      </c>
      <c r="D219" s="37" t="s">
        <v>2854</v>
      </c>
      <c r="E219" s="37" t="s">
        <v>4771</v>
      </c>
      <c r="F219" s="37"/>
      <c r="G219" s="37"/>
    </row>
    <row r="220" spans="1:7">
      <c r="A220" s="37"/>
      <c r="B220" s="37" t="s">
        <v>4838</v>
      </c>
      <c r="C220" s="37" t="s">
        <v>2853</v>
      </c>
      <c r="D220" s="37" t="s">
        <v>2854</v>
      </c>
      <c r="E220" s="37" t="s">
        <v>4771</v>
      </c>
      <c r="F220" s="37"/>
      <c r="G220" s="37"/>
    </row>
    <row r="221" spans="1:7">
      <c r="A221" s="37"/>
      <c r="B221" s="37" t="s">
        <v>4839</v>
      </c>
      <c r="C221" s="37" t="s">
        <v>2853</v>
      </c>
      <c r="D221" s="37" t="s">
        <v>2854</v>
      </c>
      <c r="E221" s="37" t="s">
        <v>4771</v>
      </c>
      <c r="F221" s="37"/>
      <c r="G221" s="37"/>
    </row>
    <row r="222" spans="1:7">
      <c r="A222" s="37"/>
      <c r="B222" s="37" t="s">
        <v>4840</v>
      </c>
      <c r="C222" s="37" t="s">
        <v>2853</v>
      </c>
      <c r="D222" s="37" t="s">
        <v>2854</v>
      </c>
      <c r="E222" s="37" t="s">
        <v>4771</v>
      </c>
      <c r="F222" s="37"/>
      <c r="G222" s="37"/>
    </row>
    <row r="223" spans="1:7">
      <c r="A223" s="37"/>
      <c r="B223" s="37" t="s">
        <v>4841</v>
      </c>
      <c r="C223" s="37" t="s">
        <v>2853</v>
      </c>
      <c r="D223" s="37" t="s">
        <v>2854</v>
      </c>
      <c r="E223" s="37" t="s">
        <v>4771</v>
      </c>
      <c r="F223" s="37"/>
      <c r="G223" s="37"/>
    </row>
    <row r="224" spans="1:7">
      <c r="A224" s="37"/>
      <c r="B224" s="37" t="s">
        <v>4842</v>
      </c>
      <c r="C224" s="37" t="s">
        <v>2853</v>
      </c>
      <c r="D224" s="37" t="s">
        <v>2854</v>
      </c>
      <c r="E224" s="37" t="s">
        <v>4771</v>
      </c>
      <c r="F224" s="37"/>
      <c r="G224" s="37"/>
    </row>
    <row r="225" spans="1:7">
      <c r="A225" s="37"/>
      <c r="B225" s="37" t="s">
        <v>4843</v>
      </c>
      <c r="C225" s="37" t="s">
        <v>2853</v>
      </c>
      <c r="D225" s="37" t="s">
        <v>2854</v>
      </c>
      <c r="E225" s="37" t="s">
        <v>4771</v>
      </c>
      <c r="F225" s="37"/>
      <c r="G225" s="37"/>
    </row>
    <row r="226" spans="1:7">
      <c r="A226" s="37"/>
      <c r="B226" s="37" t="s">
        <v>4844</v>
      </c>
      <c r="C226" s="37" t="s">
        <v>2853</v>
      </c>
      <c r="D226" s="37" t="s">
        <v>2854</v>
      </c>
      <c r="E226" s="37" t="s">
        <v>4771</v>
      </c>
      <c r="F226" s="37"/>
      <c r="G226" s="37"/>
    </row>
    <row r="227" spans="1:7">
      <c r="A227" s="37"/>
      <c r="B227" s="37" t="s">
        <v>4845</v>
      </c>
      <c r="C227" s="37" t="s">
        <v>2853</v>
      </c>
      <c r="D227" s="37" t="s">
        <v>2854</v>
      </c>
      <c r="E227" s="37" t="s">
        <v>4771</v>
      </c>
      <c r="F227" s="37"/>
      <c r="G227" s="37"/>
    </row>
    <row r="228" spans="1:7">
      <c r="A228" s="37"/>
      <c r="B228" s="37" t="s">
        <v>4846</v>
      </c>
      <c r="C228" s="37" t="s">
        <v>2853</v>
      </c>
      <c r="D228" s="37" t="s">
        <v>2854</v>
      </c>
      <c r="E228" s="37" t="s">
        <v>4771</v>
      </c>
      <c r="F228" s="37"/>
      <c r="G228" s="37"/>
    </row>
    <row r="229" spans="1:7">
      <c r="A229" s="37"/>
      <c r="B229" s="37" t="s">
        <v>4847</v>
      </c>
      <c r="C229" s="37" t="s">
        <v>2853</v>
      </c>
      <c r="D229" s="37" t="s">
        <v>2854</v>
      </c>
      <c r="E229" s="37" t="s">
        <v>4771</v>
      </c>
      <c r="F229" s="37"/>
      <c r="G229" s="37"/>
    </row>
    <row r="230" spans="1:7">
      <c r="A230" s="37"/>
      <c r="B230" s="37" t="s">
        <v>4848</v>
      </c>
      <c r="C230" s="37" t="s">
        <v>2853</v>
      </c>
      <c r="D230" s="37" t="s">
        <v>2854</v>
      </c>
      <c r="E230" s="37" t="s">
        <v>4771</v>
      </c>
      <c r="F230" s="37"/>
      <c r="G230" s="37"/>
    </row>
    <row r="231" spans="1:7">
      <c r="A231" s="37"/>
      <c r="B231" s="37" t="s">
        <v>4849</v>
      </c>
      <c r="C231" s="37" t="s">
        <v>2853</v>
      </c>
      <c r="D231" s="37" t="s">
        <v>2854</v>
      </c>
      <c r="E231" s="37" t="s">
        <v>4771</v>
      </c>
      <c r="F231" s="37"/>
      <c r="G231" s="37"/>
    </row>
    <row r="232" spans="1:7">
      <c r="A232" s="37"/>
      <c r="B232" s="37" t="s">
        <v>4850</v>
      </c>
      <c r="C232" s="37" t="s">
        <v>2853</v>
      </c>
      <c r="D232" s="37" t="s">
        <v>2854</v>
      </c>
      <c r="E232" s="37" t="s">
        <v>4771</v>
      </c>
      <c r="F232" s="37"/>
      <c r="G232" s="37"/>
    </row>
    <row r="233" spans="1:7">
      <c r="A233" s="37"/>
      <c r="B233" s="37" t="s">
        <v>4851</v>
      </c>
      <c r="C233" s="37" t="s">
        <v>2853</v>
      </c>
      <c r="D233" s="37" t="s">
        <v>2854</v>
      </c>
      <c r="E233" s="37" t="s">
        <v>4771</v>
      </c>
      <c r="F233" s="37"/>
      <c r="G233" s="37"/>
    </row>
    <row r="234" spans="1:7">
      <c r="A234" s="37"/>
      <c r="B234" s="37" t="s">
        <v>4852</v>
      </c>
      <c r="C234" s="37" t="s">
        <v>2853</v>
      </c>
      <c r="D234" s="37" t="s">
        <v>2854</v>
      </c>
      <c r="E234" s="37" t="s">
        <v>4771</v>
      </c>
      <c r="F234" s="37"/>
      <c r="G234" s="37"/>
    </row>
    <row r="235" spans="1:7">
      <c r="A235" s="37"/>
      <c r="B235" s="37" t="s">
        <v>4853</v>
      </c>
      <c r="C235" s="37" t="s">
        <v>2853</v>
      </c>
      <c r="D235" s="37" t="s">
        <v>2854</v>
      </c>
      <c r="E235" s="37" t="s">
        <v>4771</v>
      </c>
      <c r="F235" s="37"/>
      <c r="G235" s="37"/>
    </row>
    <row r="236" spans="1:7">
      <c r="A236" s="37"/>
      <c r="B236" s="37" t="s">
        <v>4854</v>
      </c>
      <c r="C236" s="37" t="s">
        <v>2853</v>
      </c>
      <c r="D236" s="37" t="s">
        <v>2854</v>
      </c>
      <c r="E236" s="37" t="s">
        <v>4771</v>
      </c>
      <c r="F236" s="37"/>
      <c r="G236" s="37"/>
    </row>
    <row r="237" spans="1:7">
      <c r="A237" s="37"/>
      <c r="B237" s="37" t="s">
        <v>4855</v>
      </c>
      <c r="C237" s="37" t="s">
        <v>2853</v>
      </c>
      <c r="D237" s="37" t="s">
        <v>2854</v>
      </c>
      <c r="E237" s="37" t="s">
        <v>4771</v>
      </c>
      <c r="F237" s="37"/>
      <c r="G237" s="37"/>
    </row>
    <row r="238" spans="1:7">
      <c r="A238" s="37"/>
      <c r="B238" s="37" t="s">
        <v>4856</v>
      </c>
      <c r="C238" s="37" t="s">
        <v>2853</v>
      </c>
      <c r="D238" s="37" t="s">
        <v>2854</v>
      </c>
      <c r="E238" s="37" t="s">
        <v>4771</v>
      </c>
      <c r="F238" s="37"/>
      <c r="G238" s="37"/>
    </row>
    <row r="239" spans="1:7">
      <c r="A239" s="37"/>
      <c r="B239" s="37" t="s">
        <v>4857</v>
      </c>
      <c r="C239" s="37" t="s">
        <v>2853</v>
      </c>
      <c r="D239" s="37" t="s">
        <v>2854</v>
      </c>
      <c r="E239" s="37" t="s">
        <v>4771</v>
      </c>
      <c r="F239" s="37"/>
      <c r="G239" s="37"/>
    </row>
    <row r="240" spans="1:7">
      <c r="A240" s="37"/>
      <c r="B240" s="37" t="s">
        <v>4858</v>
      </c>
      <c r="C240" s="37" t="s">
        <v>2853</v>
      </c>
      <c r="D240" s="37" t="s">
        <v>2854</v>
      </c>
      <c r="E240" s="37" t="s">
        <v>4771</v>
      </c>
      <c r="F240" s="37"/>
      <c r="G240" s="37"/>
    </row>
    <row r="241" spans="1:7">
      <c r="A241" s="37"/>
      <c r="B241" s="37" t="s">
        <v>4859</v>
      </c>
      <c r="C241" s="37" t="s">
        <v>2853</v>
      </c>
      <c r="D241" s="37" t="s">
        <v>2854</v>
      </c>
      <c r="E241" s="37" t="s">
        <v>4771</v>
      </c>
      <c r="F241" s="37"/>
      <c r="G241" s="37"/>
    </row>
    <row r="242" spans="1:7">
      <c r="A242" s="37"/>
      <c r="B242" s="37" t="s">
        <v>4860</v>
      </c>
      <c r="C242" s="37" t="s">
        <v>2853</v>
      </c>
      <c r="D242" s="37" t="s">
        <v>2854</v>
      </c>
      <c r="E242" s="37" t="s">
        <v>4771</v>
      </c>
      <c r="F242" s="37"/>
      <c r="G242" s="37"/>
    </row>
    <row r="243" spans="1:7">
      <c r="A243" s="37"/>
      <c r="B243" s="37" t="s">
        <v>4861</v>
      </c>
      <c r="C243" s="37" t="s">
        <v>2853</v>
      </c>
      <c r="D243" s="37" t="s">
        <v>2854</v>
      </c>
      <c r="E243" s="37" t="s">
        <v>4771</v>
      </c>
      <c r="F243" s="37"/>
      <c r="G243" s="37"/>
    </row>
    <row r="244" spans="1:7">
      <c r="A244" s="37"/>
      <c r="B244" s="37" t="s">
        <v>4862</v>
      </c>
      <c r="C244" s="37" t="s">
        <v>2853</v>
      </c>
      <c r="D244" s="37" t="s">
        <v>2854</v>
      </c>
      <c r="E244" s="37" t="s">
        <v>4771</v>
      </c>
      <c r="F244" s="37"/>
      <c r="G244" s="37"/>
    </row>
    <row r="245" spans="1:7">
      <c r="A245" s="37"/>
      <c r="B245" s="37" t="s">
        <v>4863</v>
      </c>
      <c r="C245" s="37" t="s">
        <v>2853</v>
      </c>
      <c r="D245" s="37" t="s">
        <v>2854</v>
      </c>
      <c r="E245" s="37" t="s">
        <v>4771</v>
      </c>
      <c r="F245" s="37"/>
      <c r="G245" s="37"/>
    </row>
    <row r="246" spans="1:7">
      <c r="A246" s="37"/>
      <c r="B246" s="37" t="s">
        <v>4864</v>
      </c>
      <c r="C246" s="37" t="s">
        <v>2853</v>
      </c>
      <c r="D246" s="37" t="s">
        <v>2854</v>
      </c>
      <c r="E246" s="37" t="s">
        <v>4771</v>
      </c>
      <c r="F246" s="37"/>
      <c r="G246" s="37"/>
    </row>
    <row r="247" spans="1:7">
      <c r="A247" s="37"/>
      <c r="B247" s="37" t="s">
        <v>4865</v>
      </c>
      <c r="C247" s="37" t="s">
        <v>2853</v>
      </c>
      <c r="D247" s="37" t="s">
        <v>2854</v>
      </c>
      <c r="E247" s="37" t="s">
        <v>4771</v>
      </c>
      <c r="F247" s="37"/>
      <c r="G247" s="37"/>
    </row>
    <row r="248" spans="1:7">
      <c r="A248" s="37"/>
      <c r="B248" s="37" t="s">
        <v>4866</v>
      </c>
      <c r="C248" s="37" t="s">
        <v>2853</v>
      </c>
      <c r="D248" s="37" t="s">
        <v>2854</v>
      </c>
      <c r="E248" s="37" t="s">
        <v>4771</v>
      </c>
      <c r="F248" s="37"/>
      <c r="G248" s="37"/>
    </row>
    <row r="249" spans="1:7">
      <c r="A249" s="37"/>
      <c r="B249" s="37" t="s">
        <v>4867</v>
      </c>
      <c r="C249" s="37" t="s">
        <v>2853</v>
      </c>
      <c r="D249" s="37" t="s">
        <v>2854</v>
      </c>
      <c r="E249" s="37" t="s">
        <v>4771</v>
      </c>
      <c r="F249" s="37"/>
      <c r="G249" s="37"/>
    </row>
    <row r="250" spans="1:7">
      <c r="A250" s="37"/>
      <c r="B250" s="37" t="s">
        <v>4868</v>
      </c>
      <c r="C250" s="37" t="s">
        <v>2853</v>
      </c>
      <c r="D250" s="37" t="s">
        <v>2854</v>
      </c>
      <c r="E250" s="37" t="s">
        <v>4771</v>
      </c>
      <c r="F250" s="37"/>
      <c r="G250" s="37"/>
    </row>
    <row r="251" spans="1:7">
      <c r="A251" s="37"/>
      <c r="B251" s="37" t="s">
        <v>4869</v>
      </c>
      <c r="C251" s="37" t="s">
        <v>2853</v>
      </c>
      <c r="D251" s="37" t="s">
        <v>2854</v>
      </c>
      <c r="E251" s="37" t="s">
        <v>4771</v>
      </c>
      <c r="F251" s="37"/>
      <c r="G251" s="37"/>
    </row>
    <row r="252" spans="1:7">
      <c r="A252" s="37"/>
      <c r="B252" s="37" t="s">
        <v>4870</v>
      </c>
      <c r="C252" s="37" t="s">
        <v>2853</v>
      </c>
      <c r="D252" s="37" t="s">
        <v>2854</v>
      </c>
      <c r="E252" s="37" t="s">
        <v>4771</v>
      </c>
      <c r="F252" s="37"/>
      <c r="G252" s="37"/>
    </row>
    <row r="253" spans="1:7">
      <c r="A253" s="37"/>
      <c r="B253" s="37" t="s">
        <v>4871</v>
      </c>
      <c r="C253" s="37" t="s">
        <v>2853</v>
      </c>
      <c r="D253" s="37" t="s">
        <v>2854</v>
      </c>
      <c r="E253" s="37" t="s">
        <v>4771</v>
      </c>
      <c r="F253" s="37"/>
      <c r="G253" s="37"/>
    </row>
    <row r="254" spans="1:7">
      <c r="A254" s="37"/>
      <c r="B254" s="37" t="s">
        <v>4872</v>
      </c>
      <c r="C254" s="37" t="s">
        <v>2853</v>
      </c>
      <c r="D254" s="37" t="s">
        <v>2854</v>
      </c>
      <c r="E254" s="37" t="s">
        <v>4771</v>
      </c>
      <c r="F254" s="37"/>
      <c r="G254" s="37"/>
    </row>
    <row r="255" spans="1:7">
      <c r="A255" s="37"/>
      <c r="B255" s="37" t="s">
        <v>4873</v>
      </c>
      <c r="C255" s="37" t="s">
        <v>2853</v>
      </c>
      <c r="D255" s="37" t="s">
        <v>2854</v>
      </c>
      <c r="E255" s="37" t="s">
        <v>4771</v>
      </c>
      <c r="F255" s="37"/>
      <c r="G255" s="37"/>
    </row>
    <row r="256" spans="1:7">
      <c r="A256" s="37"/>
      <c r="B256" s="37" t="s">
        <v>4874</v>
      </c>
      <c r="C256" s="37" t="s">
        <v>2853</v>
      </c>
      <c r="D256" s="37" t="s">
        <v>2854</v>
      </c>
      <c r="E256" s="37" t="s">
        <v>4771</v>
      </c>
      <c r="F256" s="37"/>
      <c r="G256" s="37"/>
    </row>
    <row r="257" spans="1:7">
      <c r="A257" s="37"/>
      <c r="B257" s="37" t="s">
        <v>4875</v>
      </c>
      <c r="C257" s="37" t="s">
        <v>2853</v>
      </c>
      <c r="D257" s="37" t="s">
        <v>2854</v>
      </c>
      <c r="E257" s="37" t="s">
        <v>4771</v>
      </c>
      <c r="F257" s="37"/>
      <c r="G257" s="37"/>
    </row>
    <row r="258" spans="1:7">
      <c r="A258" s="37"/>
      <c r="B258" s="37" t="s">
        <v>4876</v>
      </c>
      <c r="C258" s="37" t="s">
        <v>2853</v>
      </c>
      <c r="D258" s="37" t="s">
        <v>2854</v>
      </c>
      <c r="E258" s="37" t="s">
        <v>4771</v>
      </c>
      <c r="F258" s="37"/>
      <c r="G258" s="37"/>
    </row>
    <row r="259" spans="1:7">
      <c r="A259" s="37"/>
      <c r="B259" s="37" t="s">
        <v>4877</v>
      </c>
      <c r="C259" s="37" t="s">
        <v>2853</v>
      </c>
      <c r="D259" s="37" t="s">
        <v>2854</v>
      </c>
      <c r="E259" s="37" t="s">
        <v>4771</v>
      </c>
      <c r="F259" s="37"/>
      <c r="G259" s="37"/>
    </row>
    <row r="260" spans="1:7">
      <c r="A260" s="37"/>
      <c r="B260" s="37" t="s">
        <v>4878</v>
      </c>
      <c r="C260" s="37" t="s">
        <v>2853</v>
      </c>
      <c r="D260" s="37" t="s">
        <v>2854</v>
      </c>
      <c r="E260" s="37" t="s">
        <v>4771</v>
      </c>
      <c r="F260" s="37"/>
      <c r="G260" s="37"/>
    </row>
    <row r="261" spans="1:7">
      <c r="A261" s="37"/>
      <c r="B261" s="37" t="s">
        <v>4879</v>
      </c>
      <c r="C261" s="37" t="s">
        <v>2853</v>
      </c>
      <c r="D261" s="37" t="s">
        <v>2854</v>
      </c>
      <c r="E261" s="37" t="s">
        <v>4771</v>
      </c>
      <c r="F261" s="37"/>
      <c r="G261" s="37"/>
    </row>
    <row r="262" spans="1:7">
      <c r="A262" s="37"/>
      <c r="B262" s="37" t="s">
        <v>4880</v>
      </c>
      <c r="C262" s="37" t="s">
        <v>2853</v>
      </c>
      <c r="D262" s="37" t="s">
        <v>2854</v>
      </c>
      <c r="E262" s="37" t="s">
        <v>4771</v>
      </c>
      <c r="F262" s="37"/>
      <c r="G262" s="37"/>
    </row>
    <row r="263" spans="1:7">
      <c r="A263" s="37"/>
      <c r="B263" s="37" t="s">
        <v>4881</v>
      </c>
      <c r="C263" s="37" t="s">
        <v>2853</v>
      </c>
      <c r="D263" s="37" t="s">
        <v>2854</v>
      </c>
      <c r="E263" s="37" t="s">
        <v>4771</v>
      </c>
      <c r="F263" s="37"/>
      <c r="G263" s="37"/>
    </row>
    <row r="264" spans="1:7">
      <c r="A264" s="37"/>
      <c r="B264" s="37" t="s">
        <v>4882</v>
      </c>
      <c r="C264" s="37" t="s">
        <v>2853</v>
      </c>
      <c r="D264" s="37" t="s">
        <v>2854</v>
      </c>
      <c r="E264" s="37" t="s">
        <v>4771</v>
      </c>
      <c r="F264" s="37"/>
      <c r="G264" s="37"/>
    </row>
    <row r="265" spans="1:7">
      <c r="A265" s="37"/>
      <c r="B265" s="37" t="s">
        <v>4883</v>
      </c>
      <c r="C265" s="37" t="s">
        <v>2853</v>
      </c>
      <c r="D265" s="37" t="s">
        <v>2854</v>
      </c>
      <c r="E265" s="37" t="s">
        <v>4771</v>
      </c>
      <c r="F265" s="37"/>
      <c r="G265" s="37"/>
    </row>
    <row r="266" spans="1:7">
      <c r="A266" s="37"/>
      <c r="B266" s="37" t="s">
        <v>4884</v>
      </c>
      <c r="C266" s="37" t="s">
        <v>2853</v>
      </c>
      <c r="D266" s="37" t="s">
        <v>2854</v>
      </c>
      <c r="E266" s="37" t="s">
        <v>4771</v>
      </c>
      <c r="F266" s="37"/>
      <c r="G266" s="37"/>
    </row>
    <row r="267" spans="1:7">
      <c r="A267" s="37"/>
      <c r="B267" s="37" t="s">
        <v>4885</v>
      </c>
      <c r="C267" s="37" t="s">
        <v>2853</v>
      </c>
      <c r="D267" s="37" t="s">
        <v>2854</v>
      </c>
      <c r="E267" s="37" t="s">
        <v>4771</v>
      </c>
      <c r="F267" s="37"/>
      <c r="G267" s="37"/>
    </row>
    <row r="268" spans="1:7">
      <c r="A268" s="37"/>
      <c r="B268" s="37" t="s">
        <v>4886</v>
      </c>
      <c r="C268" s="37" t="s">
        <v>2853</v>
      </c>
      <c r="D268" s="37" t="s">
        <v>2854</v>
      </c>
      <c r="E268" s="37" t="s">
        <v>4771</v>
      </c>
      <c r="F268" s="37"/>
      <c r="G268" s="37"/>
    </row>
    <row r="269" spans="1:7">
      <c r="A269" s="37"/>
      <c r="B269" s="37" t="s">
        <v>4887</v>
      </c>
      <c r="C269" s="37" t="s">
        <v>2853</v>
      </c>
      <c r="D269" s="37" t="s">
        <v>2854</v>
      </c>
      <c r="E269" s="37" t="s">
        <v>4771</v>
      </c>
      <c r="F269" s="37"/>
      <c r="G269" s="37"/>
    </row>
    <row r="270" spans="1:7">
      <c r="A270" s="37"/>
      <c r="B270" s="37" t="s">
        <v>4888</v>
      </c>
      <c r="C270" s="37" t="s">
        <v>2853</v>
      </c>
      <c r="D270" s="37" t="s">
        <v>2854</v>
      </c>
      <c r="E270" s="37" t="s">
        <v>4771</v>
      </c>
      <c r="F270" s="37"/>
      <c r="G270" s="37"/>
    </row>
    <row r="271" spans="1:7">
      <c r="A271" s="37"/>
      <c r="B271" s="37" t="s">
        <v>4889</v>
      </c>
      <c r="C271" s="37" t="s">
        <v>2853</v>
      </c>
      <c r="D271" s="37" t="s">
        <v>2854</v>
      </c>
      <c r="E271" s="37" t="s">
        <v>4771</v>
      </c>
      <c r="F271" s="37"/>
      <c r="G271" s="37"/>
    </row>
    <row r="272" spans="1:7">
      <c r="A272" s="37"/>
      <c r="B272" s="37" t="s">
        <v>4890</v>
      </c>
      <c r="C272" s="37" t="s">
        <v>2853</v>
      </c>
      <c r="D272" s="37" t="s">
        <v>2854</v>
      </c>
      <c r="E272" s="37" t="s">
        <v>4771</v>
      </c>
      <c r="F272" s="37"/>
      <c r="G272" s="37"/>
    </row>
    <row r="273" spans="1:7">
      <c r="A273" s="37"/>
      <c r="B273" s="37" t="s">
        <v>4891</v>
      </c>
      <c r="C273" s="37" t="s">
        <v>2853</v>
      </c>
      <c r="D273" s="37" t="s">
        <v>2854</v>
      </c>
      <c r="E273" s="37" t="s">
        <v>4771</v>
      </c>
      <c r="F273" s="37"/>
      <c r="G273" s="37"/>
    </row>
    <row r="274" spans="1:7">
      <c r="A274" s="37"/>
      <c r="B274" s="37" t="s">
        <v>4892</v>
      </c>
      <c r="C274" s="37" t="s">
        <v>2853</v>
      </c>
      <c r="D274" s="37" t="s">
        <v>2854</v>
      </c>
      <c r="E274" s="37" t="s">
        <v>4771</v>
      </c>
      <c r="F274" s="37"/>
      <c r="G274" s="37"/>
    </row>
    <row r="275" spans="1:7">
      <c r="A275" s="37"/>
      <c r="B275" s="37" t="s">
        <v>4893</v>
      </c>
      <c r="C275" s="37" t="s">
        <v>2853</v>
      </c>
      <c r="D275" s="37" t="s">
        <v>2854</v>
      </c>
      <c r="E275" s="37" t="s">
        <v>4771</v>
      </c>
      <c r="F275" s="37"/>
      <c r="G275" s="37"/>
    </row>
    <row r="276" spans="1:7">
      <c r="A276" s="37"/>
      <c r="B276" s="37" t="s">
        <v>4894</v>
      </c>
      <c r="C276" s="37" t="s">
        <v>2853</v>
      </c>
      <c r="D276" s="37" t="s">
        <v>2854</v>
      </c>
      <c r="E276" s="37" t="s">
        <v>4771</v>
      </c>
      <c r="F276" s="37"/>
      <c r="G276" s="37"/>
    </row>
    <row r="277" spans="1:7">
      <c r="A277" s="37"/>
      <c r="B277" s="37" t="s">
        <v>4895</v>
      </c>
      <c r="C277" s="37" t="s">
        <v>2853</v>
      </c>
      <c r="D277" s="37" t="s">
        <v>2854</v>
      </c>
      <c r="E277" s="37" t="s">
        <v>4771</v>
      </c>
      <c r="F277" s="37"/>
      <c r="G277" s="37"/>
    </row>
    <row r="278" spans="1:7">
      <c r="A278" s="37"/>
      <c r="B278" s="37" t="s">
        <v>4896</v>
      </c>
      <c r="C278" s="37" t="s">
        <v>2853</v>
      </c>
      <c r="D278" s="37" t="s">
        <v>2854</v>
      </c>
      <c r="E278" s="37" t="s">
        <v>4771</v>
      </c>
      <c r="F278" s="37"/>
      <c r="G278" s="37"/>
    </row>
    <row r="279" spans="1:7">
      <c r="A279" s="37"/>
      <c r="B279" s="37" t="s">
        <v>4897</v>
      </c>
      <c r="C279" s="37" t="s">
        <v>2853</v>
      </c>
      <c r="D279" s="37" t="s">
        <v>2854</v>
      </c>
      <c r="E279" s="37" t="s">
        <v>4771</v>
      </c>
      <c r="F279" s="37"/>
      <c r="G279" s="37"/>
    </row>
    <row r="280" spans="1:7">
      <c r="A280" s="37"/>
      <c r="B280" s="37" t="s">
        <v>4898</v>
      </c>
      <c r="C280" s="37" t="s">
        <v>2853</v>
      </c>
      <c r="D280" s="37" t="s">
        <v>2854</v>
      </c>
      <c r="E280" s="37" t="s">
        <v>4771</v>
      </c>
      <c r="F280" s="37"/>
      <c r="G280" s="37"/>
    </row>
    <row r="281" spans="1:7">
      <c r="A281" s="37"/>
      <c r="B281" s="37" t="s">
        <v>4899</v>
      </c>
      <c r="C281" s="37" t="s">
        <v>2853</v>
      </c>
      <c r="D281" s="37" t="s">
        <v>2854</v>
      </c>
      <c r="E281" s="37" t="s">
        <v>4771</v>
      </c>
      <c r="F281" s="37"/>
      <c r="G281" s="37"/>
    </row>
    <row r="282" spans="1:7">
      <c r="A282" s="37"/>
      <c r="B282" s="37" t="s">
        <v>4900</v>
      </c>
      <c r="C282" s="37" t="s">
        <v>2853</v>
      </c>
      <c r="D282" s="37" t="s">
        <v>2854</v>
      </c>
      <c r="E282" s="37" t="s">
        <v>4771</v>
      </c>
      <c r="F282" s="37"/>
      <c r="G282" s="37"/>
    </row>
    <row r="283" spans="1:7">
      <c r="A283" s="37"/>
      <c r="B283" s="37" t="s">
        <v>4901</v>
      </c>
      <c r="C283" s="37" t="s">
        <v>2853</v>
      </c>
      <c r="D283" s="37" t="s">
        <v>2854</v>
      </c>
      <c r="E283" s="37" t="s">
        <v>4771</v>
      </c>
      <c r="F283" s="37"/>
      <c r="G283" s="37"/>
    </row>
    <row r="284" spans="1:7">
      <c r="A284" s="37"/>
      <c r="B284" s="37" t="s">
        <v>4902</v>
      </c>
      <c r="C284" s="37" t="s">
        <v>2853</v>
      </c>
      <c r="D284" s="37" t="s">
        <v>2854</v>
      </c>
      <c r="E284" s="37" t="s">
        <v>4771</v>
      </c>
      <c r="F284" s="37"/>
      <c r="G284" s="37"/>
    </row>
    <row r="285" spans="1:7">
      <c r="A285" s="37"/>
      <c r="B285" s="37" t="s">
        <v>4903</v>
      </c>
      <c r="C285" s="37" t="s">
        <v>2853</v>
      </c>
      <c r="D285" s="37" t="s">
        <v>2854</v>
      </c>
      <c r="E285" s="37" t="s">
        <v>4771</v>
      </c>
      <c r="F285" s="37"/>
      <c r="G285" s="37"/>
    </row>
    <row r="286" spans="1:7">
      <c r="A286" s="37"/>
      <c r="B286" s="37" t="s">
        <v>4904</v>
      </c>
      <c r="C286" s="37" t="s">
        <v>2853</v>
      </c>
      <c r="D286" s="37" t="s">
        <v>2854</v>
      </c>
      <c r="E286" s="37" t="s">
        <v>4771</v>
      </c>
      <c r="F286" s="37"/>
      <c r="G286" s="37"/>
    </row>
    <row r="287" spans="1:7">
      <c r="A287" s="37"/>
      <c r="B287" s="37" t="s">
        <v>4905</v>
      </c>
      <c r="C287" s="37" t="s">
        <v>2853</v>
      </c>
      <c r="D287" s="37" t="s">
        <v>2854</v>
      </c>
      <c r="E287" s="37" t="s">
        <v>4771</v>
      </c>
      <c r="F287" s="37"/>
      <c r="G287" s="37"/>
    </row>
    <row r="288" spans="1:7">
      <c r="A288" s="37"/>
      <c r="B288" s="37" t="s">
        <v>4906</v>
      </c>
      <c r="C288" s="37" t="s">
        <v>2853</v>
      </c>
      <c r="D288" s="37" t="s">
        <v>2854</v>
      </c>
      <c r="E288" s="37" t="s">
        <v>4771</v>
      </c>
      <c r="F288" s="37"/>
      <c r="G288" s="37"/>
    </row>
    <row r="289" spans="1:7">
      <c r="A289" s="37"/>
      <c r="B289" s="37" t="s">
        <v>4907</v>
      </c>
      <c r="C289" s="37" t="s">
        <v>2853</v>
      </c>
      <c r="D289" s="37" t="s">
        <v>2854</v>
      </c>
      <c r="E289" s="37" t="s">
        <v>4771</v>
      </c>
      <c r="F289" s="37"/>
      <c r="G289" s="37"/>
    </row>
    <row r="290" spans="1:7">
      <c r="A290" s="37"/>
      <c r="B290" s="37" t="s">
        <v>4908</v>
      </c>
      <c r="C290" s="37" t="s">
        <v>2853</v>
      </c>
      <c r="D290" s="37" t="s">
        <v>2854</v>
      </c>
      <c r="E290" s="37" t="s">
        <v>4771</v>
      </c>
      <c r="F290" s="37"/>
      <c r="G290" s="37"/>
    </row>
    <row r="291" spans="1:7">
      <c r="A291" s="37"/>
      <c r="B291" s="37" t="s">
        <v>4909</v>
      </c>
      <c r="C291" s="37" t="s">
        <v>2853</v>
      </c>
      <c r="D291" s="37" t="s">
        <v>2854</v>
      </c>
      <c r="E291" s="37" t="s">
        <v>4771</v>
      </c>
      <c r="F291" s="37"/>
      <c r="G291" s="37"/>
    </row>
    <row r="292" spans="1:7">
      <c r="A292" s="37"/>
      <c r="B292" s="37" t="s">
        <v>4910</v>
      </c>
      <c r="C292" s="37" t="s">
        <v>2853</v>
      </c>
      <c r="D292" s="37" t="s">
        <v>2854</v>
      </c>
      <c r="E292" s="37" t="s">
        <v>4771</v>
      </c>
      <c r="F292" s="37"/>
      <c r="G292" s="37"/>
    </row>
    <row r="293" spans="1:7">
      <c r="A293" s="37"/>
      <c r="B293" s="37" t="s">
        <v>4911</v>
      </c>
      <c r="C293" s="37" t="s">
        <v>2853</v>
      </c>
      <c r="D293" s="37" t="s">
        <v>2854</v>
      </c>
      <c r="E293" s="37" t="s">
        <v>4771</v>
      </c>
      <c r="F293" s="37"/>
      <c r="G293" s="37"/>
    </row>
    <row r="294" spans="1:7">
      <c r="A294" s="37"/>
      <c r="B294" s="37" t="s">
        <v>4912</v>
      </c>
      <c r="C294" s="37" t="s">
        <v>2853</v>
      </c>
      <c r="D294" s="37" t="s">
        <v>2854</v>
      </c>
      <c r="E294" s="37" t="s">
        <v>4771</v>
      </c>
      <c r="F294" s="37"/>
      <c r="G294" s="37"/>
    </row>
    <row r="295" spans="1:7">
      <c r="A295" s="37"/>
      <c r="B295" s="37" t="s">
        <v>4913</v>
      </c>
      <c r="C295" s="37" t="s">
        <v>2853</v>
      </c>
      <c r="D295" s="37" t="s">
        <v>2854</v>
      </c>
      <c r="E295" s="37" t="s">
        <v>4771</v>
      </c>
      <c r="F295" s="37"/>
      <c r="G295" s="37"/>
    </row>
    <row r="296" spans="1:7">
      <c r="A296" s="37"/>
      <c r="B296" s="37" t="s">
        <v>4914</v>
      </c>
      <c r="C296" s="37" t="s">
        <v>2853</v>
      </c>
      <c r="D296" s="37" t="s">
        <v>2854</v>
      </c>
      <c r="E296" s="37" t="s">
        <v>4771</v>
      </c>
      <c r="F296" s="37"/>
      <c r="G296" s="37"/>
    </row>
    <row r="297" spans="1:7">
      <c r="A297" s="37"/>
      <c r="B297" s="37" t="s">
        <v>4915</v>
      </c>
      <c r="C297" s="37" t="s">
        <v>2853</v>
      </c>
      <c r="D297" s="37" t="s">
        <v>2854</v>
      </c>
      <c r="E297" s="37" t="s">
        <v>4771</v>
      </c>
      <c r="F297" s="37"/>
      <c r="G297" s="37"/>
    </row>
    <row r="298" spans="1:7">
      <c r="A298" s="37"/>
      <c r="B298" s="37" t="s">
        <v>4916</v>
      </c>
      <c r="C298" s="37" t="s">
        <v>2853</v>
      </c>
      <c r="D298" s="37" t="s">
        <v>2854</v>
      </c>
      <c r="E298" s="37" t="s">
        <v>4771</v>
      </c>
      <c r="F298" s="37"/>
      <c r="G298" s="37"/>
    </row>
    <row r="299" spans="1:7">
      <c r="A299" s="37"/>
      <c r="B299" s="37" t="s">
        <v>4917</v>
      </c>
      <c r="C299" s="37" t="s">
        <v>2853</v>
      </c>
      <c r="D299" s="37" t="s">
        <v>2854</v>
      </c>
      <c r="E299" s="37" t="s">
        <v>4771</v>
      </c>
      <c r="F299" s="37"/>
      <c r="G299" s="37"/>
    </row>
    <row r="300" spans="1:7">
      <c r="A300" s="37"/>
      <c r="B300" s="37" t="s">
        <v>4918</v>
      </c>
      <c r="C300" s="37" t="s">
        <v>2853</v>
      </c>
      <c r="D300" s="37" t="s">
        <v>2854</v>
      </c>
      <c r="E300" s="37" t="s">
        <v>4771</v>
      </c>
      <c r="F300" s="37"/>
      <c r="G300" s="37"/>
    </row>
    <row r="301" spans="1:7">
      <c r="A301" s="37"/>
      <c r="B301" s="37" t="s">
        <v>4919</v>
      </c>
      <c r="C301" s="37" t="s">
        <v>2853</v>
      </c>
      <c r="D301" s="37" t="s">
        <v>2854</v>
      </c>
      <c r="E301" s="37" t="s">
        <v>4771</v>
      </c>
      <c r="F301" s="37"/>
      <c r="G301" s="37"/>
    </row>
    <row r="302" spans="1:7">
      <c r="A302" s="37"/>
      <c r="B302" s="37" t="s">
        <v>4920</v>
      </c>
      <c r="C302" s="37" t="s">
        <v>2853</v>
      </c>
      <c r="D302" s="37" t="s">
        <v>2854</v>
      </c>
      <c r="E302" s="37" t="s">
        <v>4771</v>
      </c>
      <c r="F302" s="37"/>
      <c r="G302" s="37"/>
    </row>
    <row r="303" spans="1:7">
      <c r="A303" s="37"/>
      <c r="B303" s="37" t="s">
        <v>4921</v>
      </c>
      <c r="C303" s="37" t="s">
        <v>2853</v>
      </c>
      <c r="D303" s="37" t="s">
        <v>2854</v>
      </c>
      <c r="E303" s="37" t="s">
        <v>4771</v>
      </c>
      <c r="F303" s="37"/>
      <c r="G303" s="37"/>
    </row>
    <row r="304" spans="1:7">
      <c r="A304" s="37"/>
      <c r="B304" s="37" t="s">
        <v>4922</v>
      </c>
      <c r="C304" s="37" t="s">
        <v>2853</v>
      </c>
      <c r="D304" s="37" t="s">
        <v>2854</v>
      </c>
      <c r="E304" s="37" t="s">
        <v>4771</v>
      </c>
      <c r="F304" s="37"/>
      <c r="G304" s="37"/>
    </row>
    <row r="305" spans="1:7">
      <c r="A305" s="37"/>
      <c r="B305" s="37" t="s">
        <v>4923</v>
      </c>
      <c r="C305" s="37" t="s">
        <v>2853</v>
      </c>
      <c r="D305" s="37" t="s">
        <v>2854</v>
      </c>
      <c r="E305" s="37" t="s">
        <v>4771</v>
      </c>
      <c r="F305" s="37"/>
      <c r="G305" s="37"/>
    </row>
    <row r="306" spans="1:7">
      <c r="A306" s="37"/>
      <c r="B306" s="37" t="s">
        <v>4924</v>
      </c>
      <c r="C306" s="37" t="s">
        <v>2853</v>
      </c>
      <c r="D306" s="37" t="s">
        <v>2854</v>
      </c>
      <c r="E306" s="37" t="s">
        <v>4771</v>
      </c>
      <c r="F306" s="37"/>
      <c r="G306" s="37"/>
    </row>
    <row r="307" spans="1:7">
      <c r="A307" s="37"/>
      <c r="B307" s="37" t="s">
        <v>4925</v>
      </c>
      <c r="C307" s="37" t="s">
        <v>2853</v>
      </c>
      <c r="D307" s="37" t="s">
        <v>2854</v>
      </c>
      <c r="E307" s="37" t="s">
        <v>4771</v>
      </c>
      <c r="F307" s="37"/>
      <c r="G307" s="37"/>
    </row>
    <row r="308" spans="1:7">
      <c r="A308" s="37"/>
      <c r="B308" s="37" t="s">
        <v>4926</v>
      </c>
      <c r="C308" s="37" t="s">
        <v>2853</v>
      </c>
      <c r="D308" s="37" t="s">
        <v>2854</v>
      </c>
      <c r="E308" s="37" t="s">
        <v>4771</v>
      </c>
      <c r="F308" s="37"/>
      <c r="G308" s="37"/>
    </row>
    <row r="309" spans="1:7">
      <c r="A309" s="37"/>
      <c r="B309" s="37" t="s">
        <v>4927</v>
      </c>
      <c r="C309" s="37" t="s">
        <v>2853</v>
      </c>
      <c r="D309" s="37" t="s">
        <v>2854</v>
      </c>
      <c r="E309" s="37" t="s">
        <v>4771</v>
      </c>
      <c r="F309" s="37"/>
      <c r="G309" s="37"/>
    </row>
    <row r="310" spans="1:7">
      <c r="A310" s="37"/>
      <c r="B310" s="37" t="s">
        <v>4928</v>
      </c>
      <c r="C310" s="37" t="s">
        <v>2853</v>
      </c>
      <c r="D310" s="37" t="s">
        <v>2854</v>
      </c>
      <c r="E310" s="37" t="s">
        <v>4771</v>
      </c>
      <c r="F310" s="37"/>
      <c r="G310" s="37"/>
    </row>
    <row r="311" spans="1:7">
      <c r="A311" s="37"/>
      <c r="B311" s="37" t="s">
        <v>4929</v>
      </c>
      <c r="C311" s="37" t="s">
        <v>2853</v>
      </c>
      <c r="D311" s="37" t="s">
        <v>2854</v>
      </c>
      <c r="E311" s="37" t="s">
        <v>4771</v>
      </c>
      <c r="F311" s="37"/>
      <c r="G311" s="37"/>
    </row>
    <row r="312" spans="1:7">
      <c r="A312" s="37"/>
      <c r="B312" s="37" t="s">
        <v>4930</v>
      </c>
      <c r="C312" s="37" t="s">
        <v>2853</v>
      </c>
      <c r="D312" s="37" t="s">
        <v>2854</v>
      </c>
      <c r="E312" s="37" t="s">
        <v>4771</v>
      </c>
      <c r="F312" s="37"/>
      <c r="G312" s="37"/>
    </row>
    <row r="313" spans="1:7">
      <c r="A313" s="37"/>
      <c r="B313" s="37" t="s">
        <v>4931</v>
      </c>
      <c r="C313" s="37" t="s">
        <v>2853</v>
      </c>
      <c r="D313" s="37" t="s">
        <v>2854</v>
      </c>
      <c r="E313" s="37" t="s">
        <v>4771</v>
      </c>
      <c r="F313" s="37"/>
      <c r="G313" s="37"/>
    </row>
    <row r="314" spans="1:7">
      <c r="A314" s="37"/>
      <c r="B314" s="37" t="s">
        <v>4932</v>
      </c>
      <c r="C314" s="37" t="s">
        <v>2853</v>
      </c>
      <c r="D314" s="37" t="s">
        <v>2854</v>
      </c>
      <c r="E314" s="37" t="s">
        <v>4771</v>
      </c>
      <c r="F314" s="37"/>
      <c r="G314" s="37"/>
    </row>
    <row r="315" spans="1:7">
      <c r="A315" s="37"/>
      <c r="B315" s="37" t="s">
        <v>4933</v>
      </c>
      <c r="C315" s="37" t="s">
        <v>2853</v>
      </c>
      <c r="D315" s="37" t="s">
        <v>2854</v>
      </c>
      <c r="E315" s="37" t="s">
        <v>4771</v>
      </c>
      <c r="F315" s="37"/>
      <c r="G315" s="37"/>
    </row>
    <row r="316" spans="1:7">
      <c r="A316" s="37"/>
      <c r="B316" s="37" t="s">
        <v>4934</v>
      </c>
      <c r="C316" s="37" t="s">
        <v>2853</v>
      </c>
      <c r="D316" s="37" t="s">
        <v>2854</v>
      </c>
      <c r="E316" s="37" t="s">
        <v>4771</v>
      </c>
      <c r="F316" s="37"/>
      <c r="G316" s="37"/>
    </row>
    <row r="317" spans="1:7">
      <c r="A317" s="37"/>
      <c r="B317" s="37" t="s">
        <v>4935</v>
      </c>
      <c r="C317" s="37" t="s">
        <v>2853</v>
      </c>
      <c r="D317" s="37" t="s">
        <v>2854</v>
      </c>
      <c r="E317" s="37" t="s">
        <v>4771</v>
      </c>
      <c r="F317" s="37"/>
      <c r="G317" s="37"/>
    </row>
    <row r="318" spans="1:7">
      <c r="A318" s="37"/>
      <c r="B318" s="37" t="s">
        <v>4936</v>
      </c>
      <c r="C318" s="37" t="s">
        <v>2853</v>
      </c>
      <c r="D318" s="37" t="s">
        <v>2854</v>
      </c>
      <c r="E318" s="37" t="s">
        <v>4771</v>
      </c>
      <c r="F318" s="37"/>
      <c r="G318" s="37"/>
    </row>
    <row r="319" spans="1:7">
      <c r="A319" s="37"/>
      <c r="B319" s="37" t="s">
        <v>4937</v>
      </c>
      <c r="C319" s="37" t="s">
        <v>2853</v>
      </c>
      <c r="D319" s="37" t="s">
        <v>2854</v>
      </c>
      <c r="E319" s="37" t="s">
        <v>4771</v>
      </c>
      <c r="F319" s="37"/>
      <c r="G319" s="37"/>
    </row>
    <row r="320" spans="1:7">
      <c r="A320" s="37"/>
      <c r="B320" s="37" t="s">
        <v>4938</v>
      </c>
      <c r="C320" s="37" t="s">
        <v>2853</v>
      </c>
      <c r="D320" s="37" t="s">
        <v>2854</v>
      </c>
      <c r="E320" s="37" t="s">
        <v>4771</v>
      </c>
      <c r="F320" s="37"/>
      <c r="G320" s="37"/>
    </row>
    <row r="321" spans="1:7">
      <c r="A321" s="37"/>
      <c r="B321" s="37" t="s">
        <v>4939</v>
      </c>
      <c r="C321" s="37" t="s">
        <v>2853</v>
      </c>
      <c r="D321" s="37" t="s">
        <v>2854</v>
      </c>
      <c r="E321" s="37" t="s">
        <v>4771</v>
      </c>
      <c r="F321" s="37"/>
      <c r="G321" s="37"/>
    </row>
    <row r="322" spans="1:7">
      <c r="A322" s="37"/>
      <c r="B322" s="37" t="s">
        <v>4940</v>
      </c>
      <c r="C322" s="37" t="s">
        <v>2853</v>
      </c>
      <c r="D322" s="37" t="s">
        <v>2854</v>
      </c>
      <c r="E322" s="37" t="s">
        <v>4771</v>
      </c>
      <c r="F322" s="37"/>
      <c r="G322" s="37"/>
    </row>
    <row r="323" spans="1:7">
      <c r="A323" s="37"/>
      <c r="B323" s="37" t="s">
        <v>4941</v>
      </c>
      <c r="C323" s="37" t="s">
        <v>2864</v>
      </c>
      <c r="D323" s="37" t="s">
        <v>2865</v>
      </c>
      <c r="E323" s="37" t="s">
        <v>4771</v>
      </c>
      <c r="F323" s="37"/>
      <c r="G323" s="37"/>
    </row>
    <row r="324" spans="1:7">
      <c r="A324" s="37"/>
      <c r="B324" s="37" t="s">
        <v>4942</v>
      </c>
      <c r="C324" s="37" t="s">
        <v>2864</v>
      </c>
      <c r="D324" s="37" t="s">
        <v>2865</v>
      </c>
      <c r="E324" s="37" t="s">
        <v>4771</v>
      </c>
      <c r="F324" s="37"/>
      <c r="G324" s="37"/>
    </row>
    <row r="325" spans="1:7">
      <c r="A325" s="37"/>
      <c r="B325" s="37" t="s">
        <v>4943</v>
      </c>
      <c r="C325" s="37" t="s">
        <v>2864</v>
      </c>
      <c r="D325" s="37" t="s">
        <v>2865</v>
      </c>
      <c r="E325" s="37" t="s">
        <v>4771</v>
      </c>
      <c r="F325" s="37"/>
      <c r="G325" s="37"/>
    </row>
    <row r="326" spans="1:7">
      <c r="A326" s="37"/>
      <c r="B326" s="37" t="s">
        <v>4944</v>
      </c>
      <c r="C326" s="37" t="s">
        <v>2864</v>
      </c>
      <c r="D326" s="37" t="s">
        <v>2865</v>
      </c>
      <c r="E326" s="37" t="s">
        <v>4771</v>
      </c>
      <c r="F326" s="37"/>
      <c r="G326" s="37"/>
    </row>
    <row r="327" spans="1:7">
      <c r="A327" s="37"/>
      <c r="B327" s="37" t="s">
        <v>4945</v>
      </c>
      <c r="C327" s="37" t="s">
        <v>2864</v>
      </c>
      <c r="D327" s="37" t="s">
        <v>2865</v>
      </c>
      <c r="E327" s="37" t="s">
        <v>4771</v>
      </c>
      <c r="F327" s="37"/>
      <c r="G327" s="37"/>
    </row>
    <row r="328" spans="1:7">
      <c r="A328" s="37"/>
      <c r="B328" s="37" t="s">
        <v>4946</v>
      </c>
      <c r="C328" s="37" t="s">
        <v>2864</v>
      </c>
      <c r="D328" s="37" t="s">
        <v>2865</v>
      </c>
      <c r="E328" s="37" t="s">
        <v>4771</v>
      </c>
      <c r="F328" s="37"/>
      <c r="G328" s="37"/>
    </row>
    <row r="329" spans="1:7">
      <c r="A329" s="37"/>
      <c r="B329" s="37" t="s">
        <v>4947</v>
      </c>
      <c r="C329" s="37" t="s">
        <v>2864</v>
      </c>
      <c r="D329" s="37" t="s">
        <v>2865</v>
      </c>
      <c r="E329" s="37" t="s">
        <v>4771</v>
      </c>
      <c r="F329" s="37"/>
      <c r="G329" s="37"/>
    </row>
    <row r="330" spans="1:7">
      <c r="A330" s="37"/>
      <c r="B330" s="37" t="s">
        <v>4948</v>
      </c>
      <c r="C330" s="37" t="s">
        <v>2864</v>
      </c>
      <c r="D330" s="37" t="s">
        <v>2865</v>
      </c>
      <c r="E330" s="37" t="s">
        <v>4771</v>
      </c>
      <c r="F330" s="37"/>
      <c r="G330" s="37"/>
    </row>
    <row r="331" spans="1:7">
      <c r="A331" s="37"/>
      <c r="B331" s="37" t="s">
        <v>4949</v>
      </c>
      <c r="C331" s="37" t="s">
        <v>2864</v>
      </c>
      <c r="D331" s="37" t="s">
        <v>2865</v>
      </c>
      <c r="E331" s="37" t="s">
        <v>4771</v>
      </c>
      <c r="F331" s="37"/>
      <c r="G331" s="37"/>
    </row>
    <row r="332" spans="1:7">
      <c r="A332" s="37"/>
      <c r="B332" s="37" t="s">
        <v>4950</v>
      </c>
      <c r="C332" s="37" t="s">
        <v>2864</v>
      </c>
      <c r="D332" s="37" t="s">
        <v>2865</v>
      </c>
      <c r="E332" s="37" t="s">
        <v>4771</v>
      </c>
      <c r="F332" s="37"/>
      <c r="G332" s="37"/>
    </row>
    <row r="333" spans="1:7">
      <c r="A333" s="37"/>
      <c r="B333" s="37" t="s">
        <v>4951</v>
      </c>
      <c r="C333" s="37" t="s">
        <v>2864</v>
      </c>
      <c r="D333" s="37" t="s">
        <v>2865</v>
      </c>
      <c r="E333" s="37" t="s">
        <v>4771</v>
      </c>
      <c r="F333" s="37"/>
      <c r="G333" s="37"/>
    </row>
    <row r="334" spans="1:7">
      <c r="A334" s="37"/>
      <c r="B334" s="37" t="s">
        <v>4952</v>
      </c>
      <c r="C334" s="37" t="s">
        <v>2864</v>
      </c>
      <c r="D334" s="37" t="s">
        <v>2865</v>
      </c>
      <c r="E334" s="37" t="s">
        <v>4771</v>
      </c>
      <c r="F334" s="37"/>
      <c r="G334" s="37"/>
    </row>
    <row r="335" spans="1:7">
      <c r="A335" s="37"/>
      <c r="B335" s="37" t="s">
        <v>4953</v>
      </c>
      <c r="C335" s="37" t="s">
        <v>2864</v>
      </c>
      <c r="D335" s="37" t="s">
        <v>2865</v>
      </c>
      <c r="E335" s="37" t="s">
        <v>4771</v>
      </c>
      <c r="F335" s="37"/>
      <c r="G335" s="37"/>
    </row>
    <row r="336" spans="1:7">
      <c r="A336" s="37"/>
      <c r="B336" s="37" t="s">
        <v>4954</v>
      </c>
      <c r="C336" s="37" t="s">
        <v>2864</v>
      </c>
      <c r="D336" s="37" t="s">
        <v>2865</v>
      </c>
      <c r="E336" s="37" t="s">
        <v>4771</v>
      </c>
      <c r="F336" s="37"/>
      <c r="G336" s="37"/>
    </row>
    <row r="337" spans="1:7">
      <c r="A337" s="37"/>
      <c r="B337" s="37" t="s">
        <v>4955</v>
      </c>
      <c r="C337" s="37" t="s">
        <v>2864</v>
      </c>
      <c r="D337" s="37" t="s">
        <v>2865</v>
      </c>
      <c r="E337" s="37" t="s">
        <v>4771</v>
      </c>
      <c r="F337" s="37"/>
      <c r="G337" s="37"/>
    </row>
    <row r="338" spans="1:7">
      <c r="A338" s="37"/>
      <c r="B338" s="37" t="s">
        <v>4956</v>
      </c>
      <c r="C338" s="37" t="s">
        <v>2864</v>
      </c>
      <c r="D338" s="37" t="s">
        <v>2865</v>
      </c>
      <c r="E338" s="37" t="s">
        <v>4771</v>
      </c>
      <c r="F338" s="37"/>
      <c r="G338" s="37"/>
    </row>
    <row r="339" spans="1:7">
      <c r="A339" s="37"/>
      <c r="B339" s="37" t="s">
        <v>4957</v>
      </c>
      <c r="C339" s="37" t="s">
        <v>2864</v>
      </c>
      <c r="D339" s="37" t="s">
        <v>2865</v>
      </c>
      <c r="E339" s="37" t="s">
        <v>4771</v>
      </c>
      <c r="F339" s="37"/>
      <c r="G339" s="37"/>
    </row>
    <row r="340" spans="1:7">
      <c r="A340" s="37"/>
      <c r="B340" s="37" t="s">
        <v>4958</v>
      </c>
      <c r="C340" s="37" t="s">
        <v>2864</v>
      </c>
      <c r="D340" s="37" t="s">
        <v>2865</v>
      </c>
      <c r="E340" s="37" t="s">
        <v>4771</v>
      </c>
      <c r="F340" s="37"/>
      <c r="G340" s="37"/>
    </row>
    <row r="341" spans="1:7">
      <c r="A341" s="37"/>
      <c r="B341" s="37" t="s">
        <v>4959</v>
      </c>
      <c r="C341" s="37" t="s">
        <v>2864</v>
      </c>
      <c r="D341" s="37" t="s">
        <v>2865</v>
      </c>
      <c r="E341" s="37" t="s">
        <v>4771</v>
      </c>
      <c r="F341" s="37"/>
      <c r="G341" s="37"/>
    </row>
    <row r="342" spans="1:7">
      <c r="A342" s="37"/>
      <c r="B342" s="37" t="s">
        <v>4960</v>
      </c>
      <c r="C342" s="37" t="s">
        <v>2864</v>
      </c>
      <c r="D342" s="37" t="s">
        <v>2865</v>
      </c>
      <c r="E342" s="37" t="s">
        <v>4771</v>
      </c>
      <c r="F342" s="37"/>
      <c r="G342" s="37"/>
    </row>
    <row r="343" spans="1:7">
      <c r="A343" s="37"/>
      <c r="B343" s="37" t="s">
        <v>4961</v>
      </c>
      <c r="C343" s="37" t="s">
        <v>2864</v>
      </c>
      <c r="D343" s="37" t="s">
        <v>2865</v>
      </c>
      <c r="E343" s="37" t="s">
        <v>4771</v>
      </c>
      <c r="F343" s="37"/>
      <c r="G343" s="37"/>
    </row>
    <row r="344" spans="1:7">
      <c r="A344" s="37"/>
      <c r="B344" s="37" t="s">
        <v>4962</v>
      </c>
      <c r="C344" s="37" t="s">
        <v>2864</v>
      </c>
      <c r="D344" s="37" t="s">
        <v>2865</v>
      </c>
      <c r="E344" s="37" t="s">
        <v>4771</v>
      </c>
      <c r="F344" s="37"/>
      <c r="G344" s="37"/>
    </row>
    <row r="345" spans="1:7">
      <c r="A345" s="37"/>
      <c r="B345" s="37" t="s">
        <v>4963</v>
      </c>
      <c r="C345" s="37" t="s">
        <v>2864</v>
      </c>
      <c r="D345" s="37" t="s">
        <v>2865</v>
      </c>
      <c r="E345" s="37" t="s">
        <v>4771</v>
      </c>
      <c r="F345" s="37"/>
      <c r="G345" s="37"/>
    </row>
    <row r="346" spans="1:7">
      <c r="A346" s="37"/>
      <c r="B346" s="37" t="s">
        <v>4964</v>
      </c>
      <c r="C346" s="37" t="s">
        <v>2864</v>
      </c>
      <c r="D346" s="37" t="s">
        <v>2865</v>
      </c>
      <c r="E346" s="37" t="s">
        <v>4771</v>
      </c>
      <c r="F346" s="37"/>
      <c r="G346" s="37"/>
    </row>
    <row r="347" spans="1:7">
      <c r="A347" s="37"/>
      <c r="B347" s="37" t="s">
        <v>2886</v>
      </c>
      <c r="C347" s="37" t="s">
        <v>2881</v>
      </c>
      <c r="D347" s="37" t="s">
        <v>2882</v>
      </c>
      <c r="E347" s="37" t="s">
        <v>4771</v>
      </c>
      <c r="F347" s="37"/>
      <c r="G347" s="37"/>
    </row>
    <row r="348" spans="1:7">
      <c r="A348" s="37"/>
      <c r="B348" s="37" t="s">
        <v>4965</v>
      </c>
      <c r="C348" s="37" t="s">
        <v>2896</v>
      </c>
      <c r="D348" s="37" t="s">
        <v>2897</v>
      </c>
      <c r="E348" s="37" t="s">
        <v>4771</v>
      </c>
      <c r="F348" s="37"/>
      <c r="G348" s="37"/>
    </row>
    <row r="349" spans="1:7">
      <c r="A349" s="37"/>
      <c r="B349" s="37" t="s">
        <v>4966</v>
      </c>
      <c r="C349" s="37" t="s">
        <v>2896</v>
      </c>
      <c r="D349" s="37" t="s">
        <v>2897</v>
      </c>
      <c r="E349" s="37" t="s">
        <v>4771</v>
      </c>
      <c r="F349" s="37"/>
      <c r="G349" s="37"/>
    </row>
    <row r="350" spans="1:7">
      <c r="A350" s="37"/>
      <c r="B350" s="37" t="s">
        <v>4967</v>
      </c>
      <c r="C350" s="37" t="s">
        <v>2896</v>
      </c>
      <c r="D350" s="37" t="s">
        <v>2897</v>
      </c>
      <c r="E350" s="37" t="s">
        <v>4771</v>
      </c>
      <c r="F350" s="37"/>
      <c r="G350" s="37"/>
    </row>
    <row r="351" spans="1:7">
      <c r="A351" s="37"/>
      <c r="B351" s="37" t="s">
        <v>4968</v>
      </c>
      <c r="C351" s="37" t="s">
        <v>2896</v>
      </c>
      <c r="D351" s="37" t="s">
        <v>2897</v>
      </c>
      <c r="E351" s="37" t="s">
        <v>4771</v>
      </c>
      <c r="F351" s="37"/>
      <c r="G351" s="37"/>
    </row>
    <row r="352" spans="1:7">
      <c r="A352" s="37"/>
      <c r="B352" s="37" t="s">
        <v>4969</v>
      </c>
      <c r="C352" s="37" t="s">
        <v>2896</v>
      </c>
      <c r="D352" s="37" t="s">
        <v>2897</v>
      </c>
      <c r="E352" s="37" t="s">
        <v>4771</v>
      </c>
      <c r="F352" s="37"/>
      <c r="G352" s="37"/>
    </row>
    <row r="353" spans="1:7">
      <c r="A353" s="37"/>
      <c r="B353" s="37" t="s">
        <v>4970</v>
      </c>
      <c r="C353" s="37" t="s">
        <v>2896</v>
      </c>
      <c r="D353" s="37" t="s">
        <v>2897</v>
      </c>
      <c r="E353" s="37" t="s">
        <v>4771</v>
      </c>
      <c r="F353" s="37"/>
      <c r="G353" s="37"/>
    </row>
    <row r="354" spans="1:7">
      <c r="A354" s="37"/>
      <c r="B354" s="37" t="s">
        <v>4971</v>
      </c>
      <c r="C354" s="37" t="s">
        <v>2896</v>
      </c>
      <c r="D354" s="37" t="s">
        <v>2897</v>
      </c>
      <c r="E354" s="37" t="s">
        <v>4771</v>
      </c>
      <c r="F354" s="37"/>
      <c r="G354" s="37"/>
    </row>
    <row r="355" spans="1:7">
      <c r="A355" s="37"/>
      <c r="B355" s="37" t="s">
        <v>4972</v>
      </c>
      <c r="C355" s="37" t="s">
        <v>2896</v>
      </c>
      <c r="D355" s="37" t="s">
        <v>2897</v>
      </c>
      <c r="E355" s="37" t="s">
        <v>4771</v>
      </c>
      <c r="F355" s="37"/>
      <c r="G355" s="37"/>
    </row>
    <row r="356" spans="1:7">
      <c r="A356" s="37"/>
      <c r="B356" s="37" t="s">
        <v>4973</v>
      </c>
      <c r="C356" s="37" t="s">
        <v>2896</v>
      </c>
      <c r="D356" s="37" t="s">
        <v>2897</v>
      </c>
      <c r="E356" s="37" t="s">
        <v>4771</v>
      </c>
      <c r="F356" s="37"/>
      <c r="G356" s="37"/>
    </row>
    <row r="357" spans="1:7">
      <c r="A357" s="37"/>
      <c r="B357" s="37" t="s">
        <v>4974</v>
      </c>
      <c r="C357" s="37" t="s">
        <v>2896</v>
      </c>
      <c r="D357" s="37" t="s">
        <v>2897</v>
      </c>
      <c r="E357" s="37" t="s">
        <v>4771</v>
      </c>
      <c r="F357" s="37"/>
      <c r="G357" s="37"/>
    </row>
    <row r="358" spans="1:7">
      <c r="A358" s="37"/>
      <c r="B358" s="37" t="s">
        <v>4975</v>
      </c>
      <c r="C358" s="37" t="s">
        <v>2896</v>
      </c>
      <c r="D358" s="37" t="s">
        <v>2897</v>
      </c>
      <c r="E358" s="37" t="s">
        <v>4771</v>
      </c>
      <c r="F358" s="37"/>
      <c r="G358" s="37"/>
    </row>
    <row r="359" spans="1:7">
      <c r="A359" s="37"/>
      <c r="B359" s="37" t="s">
        <v>4976</v>
      </c>
      <c r="C359" s="37" t="s">
        <v>2896</v>
      </c>
      <c r="D359" s="37" t="s">
        <v>2897</v>
      </c>
      <c r="E359" s="37" t="s">
        <v>4771</v>
      </c>
      <c r="F359" s="37"/>
      <c r="G359" s="37"/>
    </row>
    <row r="360" spans="1:7">
      <c r="A360" s="37"/>
      <c r="B360" s="37" t="s">
        <v>4977</v>
      </c>
      <c r="C360" s="37" t="s">
        <v>2896</v>
      </c>
      <c r="D360" s="37" t="s">
        <v>2897</v>
      </c>
      <c r="E360" s="37" t="s">
        <v>4771</v>
      </c>
      <c r="F360" s="37"/>
      <c r="G360" s="37"/>
    </row>
    <row r="361" spans="1:7">
      <c r="A361" s="37"/>
      <c r="B361" s="37" t="s">
        <v>4978</v>
      </c>
      <c r="C361" s="37" t="s">
        <v>2896</v>
      </c>
      <c r="D361" s="37" t="s">
        <v>2897</v>
      </c>
      <c r="E361" s="37" t="s">
        <v>4771</v>
      </c>
      <c r="F361" s="37"/>
      <c r="G361" s="37"/>
    </row>
    <row r="362" spans="1:7">
      <c r="A362" s="37"/>
      <c r="B362" s="37" t="s">
        <v>4979</v>
      </c>
      <c r="C362" s="37" t="s">
        <v>2896</v>
      </c>
      <c r="D362" s="37" t="s">
        <v>2897</v>
      </c>
      <c r="E362" s="37" t="s">
        <v>4771</v>
      </c>
      <c r="F362" s="37"/>
      <c r="G362" s="37"/>
    </row>
    <row r="363" spans="1:7">
      <c r="A363" s="37"/>
      <c r="B363" s="37" t="s">
        <v>4980</v>
      </c>
      <c r="C363" s="37" t="s">
        <v>2896</v>
      </c>
      <c r="D363" s="37" t="s">
        <v>2897</v>
      </c>
      <c r="E363" s="37" t="s">
        <v>4771</v>
      </c>
      <c r="F363" s="37"/>
      <c r="G363" s="37"/>
    </row>
    <row r="364" spans="1:7">
      <c r="A364" s="37"/>
      <c r="B364" s="37" t="s">
        <v>4981</v>
      </c>
      <c r="C364" s="37" t="s">
        <v>2910</v>
      </c>
      <c r="D364" s="37" t="s">
        <v>2911</v>
      </c>
      <c r="E364" s="37" t="s">
        <v>4771</v>
      </c>
      <c r="F364" s="37"/>
      <c r="G364" s="37"/>
    </row>
    <row r="365" spans="1:7">
      <c r="A365" s="37"/>
      <c r="B365" s="37" t="s">
        <v>4982</v>
      </c>
      <c r="C365" s="37" t="s">
        <v>2910</v>
      </c>
      <c r="D365" s="37" t="s">
        <v>2911</v>
      </c>
      <c r="E365" s="37" t="s">
        <v>4771</v>
      </c>
      <c r="F365" s="37"/>
      <c r="G365" s="37"/>
    </row>
    <row r="366" spans="1:7">
      <c r="A366" s="37"/>
      <c r="B366" s="37" t="s">
        <v>4983</v>
      </c>
      <c r="C366" s="37" t="s">
        <v>2910</v>
      </c>
      <c r="D366" s="37" t="s">
        <v>2911</v>
      </c>
      <c r="E366" s="37" t="s">
        <v>4771</v>
      </c>
      <c r="F366" s="37"/>
      <c r="G366" s="37"/>
    </row>
    <row r="367" spans="1:7">
      <c r="A367" s="37"/>
      <c r="B367" s="37" t="s">
        <v>4984</v>
      </c>
      <c r="C367" s="37" t="s">
        <v>2910</v>
      </c>
      <c r="D367" s="37" t="s">
        <v>2911</v>
      </c>
      <c r="E367" s="37" t="s">
        <v>4771</v>
      </c>
      <c r="F367" s="37"/>
      <c r="G367" s="37"/>
    </row>
    <row r="368" spans="1:7">
      <c r="A368" s="37"/>
      <c r="B368" s="37" t="s">
        <v>4985</v>
      </c>
      <c r="C368" s="37" t="s">
        <v>2910</v>
      </c>
      <c r="D368" s="37" t="s">
        <v>2911</v>
      </c>
      <c r="E368" s="37" t="s">
        <v>4771</v>
      </c>
      <c r="F368" s="37"/>
      <c r="G368" s="37"/>
    </row>
    <row r="369" spans="1:7">
      <c r="A369" s="37"/>
      <c r="B369" s="37" t="s">
        <v>4986</v>
      </c>
      <c r="C369" s="37" t="s">
        <v>2910</v>
      </c>
      <c r="D369" s="37" t="s">
        <v>2911</v>
      </c>
      <c r="E369" s="37" t="s">
        <v>4771</v>
      </c>
      <c r="F369" s="37"/>
      <c r="G369" s="37"/>
    </row>
    <row r="370" spans="1:7">
      <c r="A370" s="37"/>
      <c r="B370" s="37" t="s">
        <v>4987</v>
      </c>
      <c r="C370" s="37" t="s">
        <v>2910</v>
      </c>
      <c r="D370" s="37" t="s">
        <v>2911</v>
      </c>
      <c r="E370" s="37" t="s">
        <v>4771</v>
      </c>
      <c r="F370" s="37"/>
      <c r="G370" s="37"/>
    </row>
    <row r="371" spans="1:7">
      <c r="A371" s="37"/>
      <c r="B371" s="37" t="s">
        <v>4988</v>
      </c>
      <c r="C371" s="37" t="s">
        <v>2910</v>
      </c>
      <c r="D371" s="37" t="s">
        <v>2911</v>
      </c>
      <c r="E371" s="37" t="s">
        <v>4771</v>
      </c>
      <c r="F371" s="37"/>
      <c r="G371" s="37"/>
    </row>
    <row r="372" spans="1:7">
      <c r="A372" s="37"/>
      <c r="B372" s="37" t="s">
        <v>4989</v>
      </c>
      <c r="C372" s="37" t="s">
        <v>2910</v>
      </c>
      <c r="D372" s="37" t="s">
        <v>2911</v>
      </c>
      <c r="E372" s="37" t="s">
        <v>4771</v>
      </c>
      <c r="F372" s="37"/>
      <c r="G372" s="37"/>
    </row>
    <row r="373" spans="1:7">
      <c r="A373" s="37"/>
      <c r="B373" s="37" t="s">
        <v>4990</v>
      </c>
      <c r="C373" s="37" t="s">
        <v>2910</v>
      </c>
      <c r="D373" s="37" t="s">
        <v>2911</v>
      </c>
      <c r="E373" s="37" t="s">
        <v>4771</v>
      </c>
      <c r="F373" s="37"/>
      <c r="G373" s="37"/>
    </row>
    <row r="374" spans="1:7">
      <c r="A374" s="37"/>
      <c r="B374" s="37" t="s">
        <v>4991</v>
      </c>
      <c r="C374" s="37" t="s">
        <v>2910</v>
      </c>
      <c r="D374" s="37" t="s">
        <v>2911</v>
      </c>
      <c r="E374" s="37" t="s">
        <v>4771</v>
      </c>
      <c r="F374" s="37"/>
      <c r="G374" s="37"/>
    </row>
    <row r="375" spans="1:7">
      <c r="A375" s="37"/>
      <c r="B375" s="37" t="s">
        <v>4992</v>
      </c>
      <c r="C375" s="37" t="s">
        <v>2910</v>
      </c>
      <c r="D375" s="37" t="s">
        <v>2911</v>
      </c>
      <c r="E375" s="37" t="s">
        <v>4771</v>
      </c>
      <c r="F375" s="37"/>
      <c r="G375" s="37"/>
    </row>
    <row r="376" spans="1:7">
      <c r="A376" s="37"/>
      <c r="B376" s="37" t="s">
        <v>4993</v>
      </c>
      <c r="C376" s="37" t="s">
        <v>2910</v>
      </c>
      <c r="D376" s="37" t="s">
        <v>2911</v>
      </c>
      <c r="E376" s="37" t="s">
        <v>4771</v>
      </c>
      <c r="F376" s="37"/>
      <c r="G376" s="37"/>
    </row>
    <row r="377" spans="1:7">
      <c r="A377" s="37"/>
      <c r="B377" s="37" t="s">
        <v>4994</v>
      </c>
      <c r="C377" s="37" t="s">
        <v>2910</v>
      </c>
      <c r="D377" s="37" t="s">
        <v>2911</v>
      </c>
      <c r="E377" s="37" t="s">
        <v>4771</v>
      </c>
      <c r="F377" s="37"/>
      <c r="G377" s="37"/>
    </row>
    <row r="378" spans="1:7">
      <c r="A378" s="37"/>
      <c r="B378" s="37" t="s">
        <v>4995</v>
      </c>
      <c r="C378" s="37" t="s">
        <v>2910</v>
      </c>
      <c r="D378" s="37" t="s">
        <v>2911</v>
      </c>
      <c r="E378" s="37" t="s">
        <v>4771</v>
      </c>
      <c r="F378" s="37"/>
      <c r="G378" s="37"/>
    </row>
    <row r="379" spans="1:7">
      <c r="A379" s="37"/>
      <c r="B379" s="37" t="s">
        <v>4996</v>
      </c>
      <c r="C379" s="37" t="s">
        <v>2910</v>
      </c>
      <c r="D379" s="37" t="s">
        <v>2911</v>
      </c>
      <c r="E379" s="37" t="s">
        <v>4771</v>
      </c>
      <c r="F379" s="37"/>
      <c r="G379" s="37"/>
    </row>
    <row r="380" spans="1:7">
      <c r="A380" s="37"/>
      <c r="B380" s="37" t="s">
        <v>4997</v>
      </c>
      <c r="C380" s="37" t="s">
        <v>2910</v>
      </c>
      <c r="D380" s="37" t="s">
        <v>2911</v>
      </c>
      <c r="E380" s="37" t="s">
        <v>4771</v>
      </c>
      <c r="F380" s="37"/>
      <c r="G380" s="37"/>
    </row>
    <row r="381" spans="1:7">
      <c r="A381" s="37"/>
      <c r="B381" s="37" t="s">
        <v>4998</v>
      </c>
      <c r="C381" s="37" t="s">
        <v>2910</v>
      </c>
      <c r="D381" s="37" t="s">
        <v>2911</v>
      </c>
      <c r="E381" s="37" t="s">
        <v>4771</v>
      </c>
      <c r="F381" s="37"/>
      <c r="G381" s="37"/>
    </row>
    <row r="382" spans="1:7">
      <c r="A382" s="37"/>
      <c r="B382" s="37" t="s">
        <v>4999</v>
      </c>
      <c r="C382" s="37" t="s">
        <v>2910</v>
      </c>
      <c r="D382" s="37" t="s">
        <v>2911</v>
      </c>
      <c r="E382" s="37" t="s">
        <v>4771</v>
      </c>
      <c r="F382" s="37"/>
      <c r="G382" s="37"/>
    </row>
    <row r="383" spans="1:7">
      <c r="A383" s="37"/>
      <c r="B383" s="37" t="s">
        <v>5000</v>
      </c>
      <c r="C383" s="37" t="s">
        <v>2910</v>
      </c>
      <c r="D383" s="37" t="s">
        <v>2911</v>
      </c>
      <c r="E383" s="37" t="s">
        <v>4771</v>
      </c>
      <c r="F383" s="37"/>
      <c r="G383" s="37"/>
    </row>
    <row r="384" spans="1:7">
      <c r="A384" s="37"/>
      <c r="B384" s="37" t="s">
        <v>5001</v>
      </c>
      <c r="C384" s="37" t="s">
        <v>2924</v>
      </c>
      <c r="D384" s="37" t="s">
        <v>2925</v>
      </c>
      <c r="E384" s="37" t="s">
        <v>4771</v>
      </c>
      <c r="F384" s="37"/>
      <c r="G384" s="37"/>
    </row>
    <row r="385" spans="1:7">
      <c r="A385" s="37"/>
      <c r="B385" s="37" t="s">
        <v>5002</v>
      </c>
      <c r="C385" s="37" t="s">
        <v>2924</v>
      </c>
      <c r="D385" s="37" t="s">
        <v>2925</v>
      </c>
      <c r="E385" s="37" t="s">
        <v>4771</v>
      </c>
      <c r="F385" s="37"/>
      <c r="G385" s="37"/>
    </row>
    <row r="386" spans="1:7">
      <c r="A386" s="37"/>
      <c r="B386" s="37" t="s">
        <v>5003</v>
      </c>
      <c r="C386" s="37" t="s">
        <v>2924</v>
      </c>
      <c r="D386" s="37" t="s">
        <v>2925</v>
      </c>
      <c r="E386" s="37" t="s">
        <v>4771</v>
      </c>
      <c r="F386" s="37"/>
      <c r="G386" s="37"/>
    </row>
    <row r="387" spans="1:7">
      <c r="A387" s="37"/>
      <c r="B387" s="37" t="s">
        <v>5004</v>
      </c>
      <c r="C387" s="37" t="s">
        <v>2940</v>
      </c>
      <c r="D387" s="37" t="s">
        <v>2941</v>
      </c>
      <c r="E387" s="37" t="s">
        <v>4771</v>
      </c>
      <c r="F387" s="37"/>
      <c r="G387" s="37"/>
    </row>
    <row r="388" spans="1:7">
      <c r="A388" s="37"/>
      <c r="B388" s="37" t="s">
        <v>5005</v>
      </c>
      <c r="C388" s="37" t="s">
        <v>2940</v>
      </c>
      <c r="D388" s="37" t="s">
        <v>2941</v>
      </c>
      <c r="E388" s="37" t="s">
        <v>4771</v>
      </c>
      <c r="F388" s="37"/>
      <c r="G388" s="37"/>
    </row>
    <row r="389" spans="1:7">
      <c r="A389" s="37"/>
      <c r="B389" s="37" t="s">
        <v>5006</v>
      </c>
      <c r="C389" s="37" t="s">
        <v>2954</v>
      </c>
      <c r="D389" s="37" t="s">
        <v>2955</v>
      </c>
      <c r="E389" s="37" t="s">
        <v>4771</v>
      </c>
      <c r="F389" s="37"/>
      <c r="G389" s="37"/>
    </row>
    <row r="390" spans="1:7">
      <c r="A390" s="37"/>
      <c r="B390" s="37" t="s">
        <v>5007</v>
      </c>
      <c r="C390" s="37" t="s">
        <v>2954</v>
      </c>
      <c r="D390" s="37" t="s">
        <v>2955</v>
      </c>
      <c r="E390" s="37" t="s">
        <v>4771</v>
      </c>
      <c r="F390" s="37"/>
      <c r="G390" s="37"/>
    </row>
    <row r="391" spans="1:7">
      <c r="A391" s="37"/>
      <c r="B391" s="37" t="s">
        <v>5008</v>
      </c>
      <c r="C391" s="37" t="s">
        <v>2954</v>
      </c>
      <c r="D391" s="37" t="s">
        <v>2955</v>
      </c>
      <c r="E391" s="37" t="s">
        <v>4771</v>
      </c>
      <c r="F391" s="37"/>
      <c r="G391" s="37"/>
    </row>
    <row r="392" spans="1:7">
      <c r="A392" s="37"/>
      <c r="B392" s="37" t="s">
        <v>5009</v>
      </c>
      <c r="C392" s="37" t="s">
        <v>2954</v>
      </c>
      <c r="D392" s="37" t="s">
        <v>2955</v>
      </c>
      <c r="E392" s="37" t="s">
        <v>4771</v>
      </c>
      <c r="F392" s="37"/>
      <c r="G392" s="37"/>
    </row>
    <row r="393" spans="1:7">
      <c r="A393" s="37"/>
      <c r="B393" s="37" t="s">
        <v>5010</v>
      </c>
      <c r="C393" s="37" t="s">
        <v>2954</v>
      </c>
      <c r="D393" s="37" t="s">
        <v>2955</v>
      </c>
      <c r="E393" s="37" t="s">
        <v>4771</v>
      </c>
      <c r="F393" s="37"/>
      <c r="G393" s="37"/>
    </row>
    <row r="394" spans="1:7">
      <c r="A394" s="37"/>
      <c r="B394" s="37" t="s">
        <v>5011</v>
      </c>
      <c r="C394" s="37" t="s">
        <v>2954</v>
      </c>
      <c r="D394" s="37" t="s">
        <v>2955</v>
      </c>
      <c r="E394" s="37" t="s">
        <v>4771</v>
      </c>
      <c r="F394" s="37"/>
      <c r="G394" s="37"/>
    </row>
    <row r="395" spans="1:7">
      <c r="A395" s="37"/>
      <c r="B395" s="37" t="s">
        <v>5012</v>
      </c>
      <c r="C395" s="37" t="s">
        <v>2954</v>
      </c>
      <c r="D395" s="37" t="s">
        <v>2955</v>
      </c>
      <c r="E395" s="37" t="s">
        <v>4771</v>
      </c>
      <c r="F395" s="37"/>
      <c r="G395" s="37"/>
    </row>
    <row r="396" spans="1:7">
      <c r="A396" s="37"/>
      <c r="B396" s="37" t="s">
        <v>5013</v>
      </c>
      <c r="C396" s="37" t="s">
        <v>2954</v>
      </c>
      <c r="D396" s="37" t="s">
        <v>2955</v>
      </c>
      <c r="E396" s="37" t="s">
        <v>4771</v>
      </c>
      <c r="F396" s="37"/>
      <c r="G396" s="37"/>
    </row>
    <row r="397" spans="1:7">
      <c r="A397" s="37"/>
      <c r="B397" s="37" t="s">
        <v>5014</v>
      </c>
      <c r="C397" s="37" t="s">
        <v>2954</v>
      </c>
      <c r="D397" s="37" t="s">
        <v>2955</v>
      </c>
      <c r="E397" s="37" t="s">
        <v>4771</v>
      </c>
      <c r="F397" s="37"/>
      <c r="G397" s="37"/>
    </row>
    <row r="398" spans="1:7">
      <c r="A398" s="37"/>
      <c r="B398" s="37" t="s">
        <v>5015</v>
      </c>
      <c r="C398" s="37" t="s">
        <v>2954</v>
      </c>
      <c r="D398" s="37" t="s">
        <v>2955</v>
      </c>
      <c r="E398" s="37" t="s">
        <v>4771</v>
      </c>
      <c r="F398" s="37"/>
      <c r="G398" s="37"/>
    </row>
    <row r="399" spans="1:7">
      <c r="A399" s="37"/>
      <c r="B399" s="37" t="s">
        <v>5016</v>
      </c>
      <c r="C399" s="37" t="s">
        <v>2954</v>
      </c>
      <c r="D399" s="37" t="s">
        <v>2955</v>
      </c>
      <c r="E399" s="37" t="s">
        <v>4771</v>
      </c>
      <c r="F399" s="37"/>
      <c r="G399" s="37"/>
    </row>
    <row r="400" spans="1:7">
      <c r="A400" s="37"/>
      <c r="B400" s="37" t="s">
        <v>5017</v>
      </c>
      <c r="C400" s="37" t="s">
        <v>2954</v>
      </c>
      <c r="D400" s="37" t="s">
        <v>2955</v>
      </c>
      <c r="E400" s="37" t="s">
        <v>4771</v>
      </c>
      <c r="F400" s="37"/>
      <c r="G400" s="37"/>
    </row>
    <row r="401" spans="1:7">
      <c r="A401" s="37"/>
      <c r="B401" s="37" t="s">
        <v>5018</v>
      </c>
      <c r="C401" s="37" t="s">
        <v>2954</v>
      </c>
      <c r="D401" s="37" t="s">
        <v>2955</v>
      </c>
      <c r="E401" s="37" t="s">
        <v>4771</v>
      </c>
      <c r="F401" s="37"/>
      <c r="G401" s="37"/>
    </row>
    <row r="402" spans="1:7">
      <c r="A402" s="37"/>
      <c r="B402" s="37" t="s">
        <v>5019</v>
      </c>
      <c r="C402" s="37" t="s">
        <v>2954</v>
      </c>
      <c r="D402" s="37" t="s">
        <v>2955</v>
      </c>
      <c r="E402" s="37" t="s">
        <v>4771</v>
      </c>
      <c r="F402" s="37"/>
      <c r="G402" s="37"/>
    </row>
    <row r="403" spans="1:7">
      <c r="A403" s="37"/>
      <c r="B403" s="37" t="s">
        <v>5020</v>
      </c>
      <c r="C403" s="37" t="s">
        <v>2954</v>
      </c>
      <c r="D403" s="37" t="s">
        <v>2955</v>
      </c>
      <c r="E403" s="37" t="s">
        <v>4771</v>
      </c>
      <c r="F403" s="37"/>
      <c r="G403" s="37"/>
    </row>
    <row r="404" spans="1:7">
      <c r="A404" s="37"/>
      <c r="B404" s="37" t="s">
        <v>5021</v>
      </c>
      <c r="C404" s="37" t="s">
        <v>2954</v>
      </c>
      <c r="D404" s="37" t="s">
        <v>2955</v>
      </c>
      <c r="E404" s="37" t="s">
        <v>4771</v>
      </c>
      <c r="F404" s="37"/>
      <c r="G404" s="37"/>
    </row>
    <row r="405" spans="1:7">
      <c r="A405" s="37"/>
      <c r="B405" s="37" t="s">
        <v>5022</v>
      </c>
      <c r="C405" s="37" t="s">
        <v>2954</v>
      </c>
      <c r="D405" s="37" t="s">
        <v>2955</v>
      </c>
      <c r="E405" s="37" t="s">
        <v>4771</v>
      </c>
      <c r="F405" s="37"/>
      <c r="G405" s="37"/>
    </row>
    <row r="406" spans="1:7">
      <c r="A406" s="37"/>
      <c r="B406" s="37" t="s">
        <v>5023</v>
      </c>
      <c r="C406" s="37" t="s">
        <v>2954</v>
      </c>
      <c r="D406" s="37" t="s">
        <v>2955</v>
      </c>
      <c r="E406" s="37" t="s">
        <v>4771</v>
      </c>
      <c r="F406" s="37"/>
      <c r="G406" s="37"/>
    </row>
    <row r="407" spans="1:7">
      <c r="A407" s="37"/>
      <c r="B407" s="37" t="s">
        <v>5024</v>
      </c>
      <c r="C407" s="37" t="s">
        <v>2954</v>
      </c>
      <c r="D407" s="37" t="s">
        <v>2955</v>
      </c>
      <c r="E407" s="37" t="s">
        <v>4771</v>
      </c>
      <c r="F407" s="37"/>
      <c r="G407" s="37"/>
    </row>
    <row r="408" spans="1:7">
      <c r="A408" s="37"/>
      <c r="B408" s="37" t="s">
        <v>5025</v>
      </c>
      <c r="C408" s="37" t="s">
        <v>2954</v>
      </c>
      <c r="D408" s="37" t="s">
        <v>2955</v>
      </c>
      <c r="E408" s="37" t="s">
        <v>4771</v>
      </c>
      <c r="F408" s="37"/>
      <c r="G408" s="37"/>
    </row>
    <row r="409" spans="1:7">
      <c r="A409" s="37"/>
      <c r="B409" s="37" t="s">
        <v>5026</v>
      </c>
      <c r="C409" s="37" t="s">
        <v>2954</v>
      </c>
      <c r="D409" s="37" t="s">
        <v>2955</v>
      </c>
      <c r="E409" s="37" t="s">
        <v>4771</v>
      </c>
      <c r="F409" s="37"/>
      <c r="G409" s="37"/>
    </row>
    <row r="410" spans="1:7">
      <c r="A410" s="37"/>
      <c r="B410" s="37" t="s">
        <v>5027</v>
      </c>
      <c r="C410" s="37" t="s">
        <v>2954</v>
      </c>
      <c r="D410" s="37" t="s">
        <v>2955</v>
      </c>
      <c r="E410" s="37" t="s">
        <v>4771</v>
      </c>
      <c r="F410" s="37"/>
      <c r="G410" s="37"/>
    </row>
    <row r="411" spans="1:7">
      <c r="A411" s="37"/>
      <c r="B411" s="37" t="s">
        <v>5028</v>
      </c>
      <c r="C411" s="37" t="s">
        <v>2954</v>
      </c>
      <c r="D411" s="37" t="s">
        <v>2955</v>
      </c>
      <c r="E411" s="37" t="s">
        <v>4771</v>
      </c>
      <c r="F411" s="37"/>
      <c r="G411" s="37"/>
    </row>
    <row r="412" spans="1:7">
      <c r="A412" s="37"/>
      <c r="B412" s="37" t="s">
        <v>5029</v>
      </c>
      <c r="C412" s="37" t="s">
        <v>2954</v>
      </c>
      <c r="D412" s="37" t="s">
        <v>2955</v>
      </c>
      <c r="E412" s="37" t="s">
        <v>4771</v>
      </c>
      <c r="F412" s="37"/>
      <c r="G412" s="37"/>
    </row>
    <row r="413" spans="1:7">
      <c r="A413" s="37"/>
      <c r="B413" s="37" t="s">
        <v>5030</v>
      </c>
      <c r="C413" s="37" t="s">
        <v>2954</v>
      </c>
      <c r="D413" s="37" t="s">
        <v>2955</v>
      </c>
      <c r="E413" s="37" t="s">
        <v>4771</v>
      </c>
      <c r="F413" s="37"/>
      <c r="G413" s="37"/>
    </row>
    <row r="414" spans="1:7">
      <c r="A414" s="37"/>
      <c r="B414" s="37" t="s">
        <v>5031</v>
      </c>
      <c r="C414" s="37" t="s">
        <v>2954</v>
      </c>
      <c r="D414" s="37" t="s">
        <v>2955</v>
      </c>
      <c r="E414" s="37" t="s">
        <v>4771</v>
      </c>
      <c r="F414" s="37"/>
      <c r="G414" s="37"/>
    </row>
    <row r="415" spans="1:7">
      <c r="A415" s="37"/>
      <c r="B415" s="37" t="s">
        <v>5032</v>
      </c>
      <c r="C415" s="37" t="s">
        <v>2954</v>
      </c>
      <c r="D415" s="37" t="s">
        <v>2955</v>
      </c>
      <c r="E415" s="37" t="s">
        <v>4771</v>
      </c>
      <c r="F415" s="37"/>
      <c r="G415" s="37"/>
    </row>
    <row r="416" spans="1:7">
      <c r="A416" s="37"/>
      <c r="B416" s="37" t="s">
        <v>5033</v>
      </c>
      <c r="C416" s="37" t="s">
        <v>2954</v>
      </c>
      <c r="D416" s="37" t="s">
        <v>2955</v>
      </c>
      <c r="E416" s="37" t="s">
        <v>4771</v>
      </c>
      <c r="F416" s="37"/>
      <c r="G416" s="37"/>
    </row>
    <row r="417" spans="1:7">
      <c r="A417" s="37"/>
      <c r="B417" s="37" t="s">
        <v>5034</v>
      </c>
      <c r="C417" s="37" t="s">
        <v>2954</v>
      </c>
      <c r="D417" s="37" t="s">
        <v>2955</v>
      </c>
      <c r="E417" s="37" t="s">
        <v>4771</v>
      </c>
      <c r="F417" s="37"/>
      <c r="G417" s="37"/>
    </row>
    <row r="418" spans="1:7">
      <c r="A418" s="37"/>
      <c r="B418" s="37" t="s">
        <v>5035</v>
      </c>
      <c r="C418" s="37" t="s">
        <v>2954</v>
      </c>
      <c r="D418" s="37" t="s">
        <v>2955</v>
      </c>
      <c r="E418" s="37" t="s">
        <v>4771</v>
      </c>
      <c r="F418" s="37"/>
      <c r="G418" s="37"/>
    </row>
    <row r="419" spans="1:7">
      <c r="A419" s="37"/>
      <c r="B419" s="37" t="s">
        <v>5036</v>
      </c>
      <c r="C419" s="37" t="s">
        <v>2954</v>
      </c>
      <c r="D419" s="37" t="s">
        <v>2955</v>
      </c>
      <c r="E419" s="37" t="s">
        <v>4771</v>
      </c>
      <c r="F419" s="37"/>
      <c r="G419" s="37"/>
    </row>
    <row r="420" spans="1:7">
      <c r="A420" s="37"/>
      <c r="B420" s="37" t="s">
        <v>5037</v>
      </c>
      <c r="C420" s="37" t="s">
        <v>2954</v>
      </c>
      <c r="D420" s="37" t="s">
        <v>2955</v>
      </c>
      <c r="E420" s="37" t="s">
        <v>4771</v>
      </c>
      <c r="F420" s="37"/>
      <c r="G420" s="37"/>
    </row>
    <row r="421" spans="1:7">
      <c r="A421" s="37"/>
      <c r="B421" s="37" t="s">
        <v>5038</v>
      </c>
      <c r="C421" s="37" t="s">
        <v>2954</v>
      </c>
      <c r="D421" s="37" t="s">
        <v>2955</v>
      </c>
      <c r="E421" s="37" t="s">
        <v>4771</v>
      </c>
      <c r="F421" s="37"/>
      <c r="G421" s="37"/>
    </row>
    <row r="422" spans="1:7">
      <c r="A422" s="37"/>
      <c r="B422" s="37" t="s">
        <v>5039</v>
      </c>
      <c r="C422" s="37" t="s">
        <v>2954</v>
      </c>
      <c r="D422" s="37" t="s">
        <v>2955</v>
      </c>
      <c r="E422" s="37" t="s">
        <v>4771</v>
      </c>
      <c r="F422" s="37"/>
      <c r="G422" s="37"/>
    </row>
    <row r="423" spans="1:7">
      <c r="A423" s="37"/>
      <c r="B423" s="37" t="s">
        <v>5040</v>
      </c>
      <c r="C423" s="37" t="s">
        <v>2954</v>
      </c>
      <c r="D423" s="37" t="s">
        <v>2955</v>
      </c>
      <c r="E423" s="37" t="s">
        <v>4771</v>
      </c>
      <c r="F423" s="37"/>
      <c r="G423" s="37"/>
    </row>
    <row r="424" spans="1:7">
      <c r="A424" s="37"/>
      <c r="B424" s="37" t="s">
        <v>5041</v>
      </c>
      <c r="C424" s="37" t="s">
        <v>2954</v>
      </c>
      <c r="D424" s="37" t="s">
        <v>2955</v>
      </c>
      <c r="E424" s="37" t="s">
        <v>4771</v>
      </c>
      <c r="F424" s="37"/>
      <c r="G424" s="37"/>
    </row>
    <row r="425" spans="1:7">
      <c r="A425" s="37"/>
      <c r="B425" s="37" t="s">
        <v>5042</v>
      </c>
      <c r="C425" s="37" t="s">
        <v>2954</v>
      </c>
      <c r="D425" s="37" t="s">
        <v>2955</v>
      </c>
      <c r="E425" s="37" t="s">
        <v>4771</v>
      </c>
      <c r="F425" s="37"/>
      <c r="G425" s="37"/>
    </row>
    <row r="426" spans="1:7">
      <c r="A426" s="37"/>
      <c r="B426" s="37" t="s">
        <v>5043</v>
      </c>
      <c r="C426" s="37" t="s">
        <v>2954</v>
      </c>
      <c r="D426" s="37" t="s">
        <v>2955</v>
      </c>
      <c r="E426" s="37" t="s">
        <v>4771</v>
      </c>
      <c r="F426" s="37"/>
      <c r="G426" s="37"/>
    </row>
    <row r="427" spans="1:7">
      <c r="A427" s="37"/>
      <c r="B427" s="37" t="s">
        <v>5044</v>
      </c>
      <c r="C427" s="37" t="s">
        <v>2954</v>
      </c>
      <c r="D427" s="37" t="s">
        <v>2955</v>
      </c>
      <c r="E427" s="37" t="s">
        <v>4771</v>
      </c>
      <c r="F427" s="37"/>
      <c r="G427" s="37"/>
    </row>
    <row r="428" spans="1:7">
      <c r="A428" s="37"/>
      <c r="B428" s="37" t="s">
        <v>5045</v>
      </c>
      <c r="C428" s="37" t="s">
        <v>2954</v>
      </c>
      <c r="D428" s="37" t="s">
        <v>2955</v>
      </c>
      <c r="E428" s="37" t="s">
        <v>4771</v>
      </c>
      <c r="F428" s="37"/>
      <c r="G428" s="37"/>
    </row>
    <row r="429" spans="1:7">
      <c r="A429" s="37"/>
      <c r="B429" s="37" t="s">
        <v>5046</v>
      </c>
      <c r="C429" s="37" t="s">
        <v>2954</v>
      </c>
      <c r="D429" s="37" t="s">
        <v>2955</v>
      </c>
      <c r="E429" s="37" t="s">
        <v>4771</v>
      </c>
      <c r="F429" s="37"/>
      <c r="G429" s="37"/>
    </row>
    <row r="430" spans="1:7">
      <c r="A430" s="37"/>
      <c r="B430" s="37" t="s">
        <v>5047</v>
      </c>
      <c r="C430" s="37" t="s">
        <v>2954</v>
      </c>
      <c r="D430" s="37" t="s">
        <v>2955</v>
      </c>
      <c r="E430" s="37" t="s">
        <v>4771</v>
      </c>
      <c r="F430" s="37"/>
      <c r="G430" s="37"/>
    </row>
    <row r="431" spans="1:7">
      <c r="A431" s="37"/>
      <c r="B431" s="37" t="s">
        <v>5048</v>
      </c>
      <c r="C431" s="37" t="s">
        <v>2954</v>
      </c>
      <c r="D431" s="37" t="s">
        <v>2955</v>
      </c>
      <c r="E431" s="37" t="s">
        <v>4771</v>
      </c>
      <c r="F431" s="37"/>
      <c r="G431" s="37"/>
    </row>
    <row r="432" spans="1:7">
      <c r="A432" s="37"/>
      <c r="B432" s="37" t="s">
        <v>5049</v>
      </c>
      <c r="C432" s="37" t="s">
        <v>2954</v>
      </c>
      <c r="D432" s="37" t="s">
        <v>2955</v>
      </c>
      <c r="E432" s="37" t="s">
        <v>4771</v>
      </c>
      <c r="F432" s="37"/>
      <c r="G432" s="37"/>
    </row>
    <row r="433" spans="1:7">
      <c r="A433" s="37"/>
      <c r="B433" s="37" t="s">
        <v>5050</v>
      </c>
      <c r="C433" s="37" t="s">
        <v>2954</v>
      </c>
      <c r="D433" s="37" t="s">
        <v>2955</v>
      </c>
      <c r="E433" s="37" t="s">
        <v>4771</v>
      </c>
      <c r="F433" s="37"/>
      <c r="G433" s="37"/>
    </row>
    <row r="434" spans="1:7">
      <c r="A434" s="37"/>
      <c r="B434" s="37" t="s">
        <v>5051</v>
      </c>
      <c r="C434" s="37" t="s">
        <v>2954</v>
      </c>
      <c r="D434" s="37" t="s">
        <v>2955</v>
      </c>
      <c r="E434" s="37" t="s">
        <v>4771</v>
      </c>
      <c r="F434" s="37"/>
      <c r="G434" s="37"/>
    </row>
    <row r="435" spans="1:7">
      <c r="A435" s="37"/>
      <c r="B435" s="37" t="s">
        <v>5052</v>
      </c>
      <c r="C435" s="37" t="s">
        <v>2954</v>
      </c>
      <c r="D435" s="37" t="s">
        <v>2955</v>
      </c>
      <c r="E435" s="37" t="s">
        <v>4771</v>
      </c>
      <c r="F435" s="37"/>
      <c r="G435" s="37"/>
    </row>
    <row r="436" spans="1:7">
      <c r="A436" s="37"/>
      <c r="B436" s="37" t="s">
        <v>5053</v>
      </c>
      <c r="C436" s="37" t="s">
        <v>2954</v>
      </c>
      <c r="D436" s="37" t="s">
        <v>2955</v>
      </c>
      <c r="E436" s="37" t="s">
        <v>4771</v>
      </c>
      <c r="F436" s="37"/>
      <c r="G436" s="37"/>
    </row>
    <row r="437" spans="1:7">
      <c r="A437" s="37"/>
      <c r="B437" s="37" t="s">
        <v>5054</v>
      </c>
      <c r="C437" s="37" t="s">
        <v>2954</v>
      </c>
      <c r="D437" s="37" t="s">
        <v>2955</v>
      </c>
      <c r="E437" s="37" t="s">
        <v>4771</v>
      </c>
      <c r="F437" s="37"/>
      <c r="G437" s="37"/>
    </row>
    <row r="438" spans="1:7">
      <c r="A438" s="37"/>
      <c r="B438" s="37" t="s">
        <v>5055</v>
      </c>
      <c r="C438" s="37" t="s">
        <v>2954</v>
      </c>
      <c r="D438" s="37" t="s">
        <v>2955</v>
      </c>
      <c r="E438" s="37" t="s">
        <v>4771</v>
      </c>
      <c r="F438" s="37"/>
      <c r="G438" s="37"/>
    </row>
    <row r="439" spans="1:7">
      <c r="A439" s="37"/>
      <c r="B439" s="37" t="s">
        <v>5056</v>
      </c>
      <c r="C439" s="37" t="s">
        <v>2954</v>
      </c>
      <c r="D439" s="37" t="s">
        <v>2955</v>
      </c>
      <c r="E439" s="37" t="s">
        <v>4771</v>
      </c>
      <c r="F439" s="37"/>
      <c r="G439" s="37"/>
    </row>
    <row r="440" spans="1:7">
      <c r="A440" s="37"/>
      <c r="B440" s="37" t="s">
        <v>5057</v>
      </c>
      <c r="C440" s="37" t="s">
        <v>2954</v>
      </c>
      <c r="D440" s="37" t="s">
        <v>2955</v>
      </c>
      <c r="E440" s="37" t="s">
        <v>4771</v>
      </c>
      <c r="F440" s="37"/>
      <c r="G440" s="37"/>
    </row>
    <row r="441" spans="1:7">
      <c r="A441" s="37"/>
      <c r="B441" s="37" t="s">
        <v>5058</v>
      </c>
      <c r="C441" s="37" t="s">
        <v>2954</v>
      </c>
      <c r="D441" s="37" t="s">
        <v>2955</v>
      </c>
      <c r="E441" s="37" t="s">
        <v>4771</v>
      </c>
      <c r="F441" s="37"/>
      <c r="G441" s="37"/>
    </row>
    <row r="442" spans="1:7">
      <c r="A442" s="37"/>
      <c r="B442" s="37" t="s">
        <v>5059</v>
      </c>
      <c r="C442" s="37" t="s">
        <v>2954</v>
      </c>
      <c r="D442" s="37" t="s">
        <v>2955</v>
      </c>
      <c r="E442" s="37" t="s">
        <v>4771</v>
      </c>
      <c r="F442" s="37"/>
      <c r="G442" s="37"/>
    </row>
    <row r="443" spans="1:7">
      <c r="A443" s="37"/>
      <c r="B443" s="37" t="s">
        <v>5060</v>
      </c>
      <c r="C443" s="37" t="s">
        <v>2954</v>
      </c>
      <c r="D443" s="37" t="s">
        <v>2955</v>
      </c>
      <c r="E443" s="37" t="s">
        <v>4771</v>
      </c>
      <c r="F443" s="37"/>
      <c r="G443" s="37"/>
    </row>
    <row r="444" spans="1:7">
      <c r="A444" s="37"/>
      <c r="B444" s="37" t="s">
        <v>5061</v>
      </c>
      <c r="C444" s="37" t="s">
        <v>2954</v>
      </c>
      <c r="D444" s="37" t="s">
        <v>2955</v>
      </c>
      <c r="E444" s="37" t="s">
        <v>4771</v>
      </c>
      <c r="F444" s="37"/>
      <c r="G444" s="37"/>
    </row>
    <row r="445" spans="1:7">
      <c r="A445" s="37"/>
      <c r="B445" s="37" t="s">
        <v>5062</v>
      </c>
      <c r="C445" s="37" t="s">
        <v>2954</v>
      </c>
      <c r="D445" s="37" t="s">
        <v>2955</v>
      </c>
      <c r="E445" s="37" t="s">
        <v>4771</v>
      </c>
      <c r="F445" s="37"/>
      <c r="G445" s="37"/>
    </row>
    <row r="446" spans="1:7">
      <c r="A446" s="37"/>
      <c r="B446" s="37" t="s">
        <v>5063</v>
      </c>
      <c r="C446" s="37" t="s">
        <v>2954</v>
      </c>
      <c r="D446" s="37" t="s">
        <v>2955</v>
      </c>
      <c r="E446" s="37" t="s">
        <v>4771</v>
      </c>
      <c r="F446" s="37"/>
      <c r="G446" s="37"/>
    </row>
    <row r="447" spans="1:7">
      <c r="A447" s="37"/>
      <c r="B447" s="37" t="s">
        <v>5064</v>
      </c>
      <c r="C447" s="37" t="s">
        <v>2954</v>
      </c>
      <c r="D447" s="37" t="s">
        <v>2955</v>
      </c>
      <c r="E447" s="37" t="s">
        <v>4771</v>
      </c>
      <c r="F447" s="37"/>
      <c r="G447" s="37"/>
    </row>
    <row r="448" spans="1:7">
      <c r="A448" s="37"/>
      <c r="B448" s="37" t="s">
        <v>5065</v>
      </c>
      <c r="C448" s="37" t="s">
        <v>2954</v>
      </c>
      <c r="D448" s="37" t="s">
        <v>2955</v>
      </c>
      <c r="E448" s="37" t="s">
        <v>4771</v>
      </c>
      <c r="F448" s="37"/>
      <c r="G448" s="37"/>
    </row>
    <row r="449" spans="1:7">
      <c r="A449" s="37"/>
      <c r="B449" s="37" t="s">
        <v>5066</v>
      </c>
      <c r="C449" s="37" t="s">
        <v>2954</v>
      </c>
      <c r="D449" s="37" t="s">
        <v>2955</v>
      </c>
      <c r="E449" s="37" t="s">
        <v>4771</v>
      </c>
      <c r="F449" s="37"/>
      <c r="G449" s="37"/>
    </row>
    <row r="450" spans="1:7">
      <c r="A450" s="37"/>
      <c r="B450" s="37" t="s">
        <v>5067</v>
      </c>
      <c r="C450" s="37" t="s">
        <v>2954</v>
      </c>
      <c r="D450" s="37" t="s">
        <v>2955</v>
      </c>
      <c r="E450" s="37" t="s">
        <v>4771</v>
      </c>
      <c r="F450" s="37"/>
      <c r="G450" s="37"/>
    </row>
    <row r="451" spans="1:7">
      <c r="A451" s="37"/>
      <c r="B451" s="37" t="s">
        <v>5068</v>
      </c>
      <c r="C451" s="37" t="s">
        <v>2954</v>
      </c>
      <c r="D451" s="37" t="s">
        <v>2955</v>
      </c>
      <c r="E451" s="37" t="s">
        <v>4771</v>
      </c>
      <c r="F451" s="37"/>
      <c r="G451" s="37"/>
    </row>
    <row r="452" spans="1:7">
      <c r="A452" s="37"/>
      <c r="B452" s="37" t="s">
        <v>5069</v>
      </c>
      <c r="C452" s="37" t="s">
        <v>2954</v>
      </c>
      <c r="D452" s="37" t="s">
        <v>2955</v>
      </c>
      <c r="E452" s="37" t="s">
        <v>4771</v>
      </c>
      <c r="F452" s="37"/>
      <c r="G452" s="37"/>
    </row>
    <row r="453" spans="1:7">
      <c r="A453" s="37"/>
      <c r="B453" s="37" t="s">
        <v>5070</v>
      </c>
      <c r="C453" s="37" t="s">
        <v>2954</v>
      </c>
      <c r="D453" s="37" t="s">
        <v>2955</v>
      </c>
      <c r="E453" s="37" t="s">
        <v>4771</v>
      </c>
      <c r="F453" s="37"/>
      <c r="G453" s="37"/>
    </row>
    <row r="454" spans="1:7">
      <c r="A454" s="37"/>
      <c r="B454" s="37" t="s">
        <v>5071</v>
      </c>
      <c r="C454" s="37" t="s">
        <v>2954</v>
      </c>
      <c r="D454" s="37" t="s">
        <v>2955</v>
      </c>
      <c r="E454" s="37" t="s">
        <v>4771</v>
      </c>
      <c r="F454" s="37"/>
      <c r="G454" s="37"/>
    </row>
    <row r="455" spans="1:7">
      <c r="A455" s="37"/>
      <c r="B455" s="37" t="s">
        <v>5072</v>
      </c>
      <c r="C455" s="37" t="s">
        <v>2954</v>
      </c>
      <c r="D455" s="37" t="s">
        <v>2955</v>
      </c>
      <c r="E455" s="37" t="s">
        <v>4771</v>
      </c>
      <c r="F455" s="37"/>
      <c r="G455" s="37"/>
    </row>
    <row r="456" spans="1:7">
      <c r="A456" s="37"/>
      <c r="B456" s="37" t="s">
        <v>5073</v>
      </c>
      <c r="C456" s="37" t="s">
        <v>2954</v>
      </c>
      <c r="D456" s="37" t="s">
        <v>2955</v>
      </c>
      <c r="E456" s="37" t="s">
        <v>4771</v>
      </c>
      <c r="F456" s="37"/>
      <c r="G456" s="37"/>
    </row>
    <row r="457" spans="1:7">
      <c r="A457" s="37"/>
      <c r="B457" s="37" t="s">
        <v>5074</v>
      </c>
      <c r="C457" s="37" t="s">
        <v>2954</v>
      </c>
      <c r="D457" s="37" t="s">
        <v>2955</v>
      </c>
      <c r="E457" s="37" t="s">
        <v>4771</v>
      </c>
      <c r="F457" s="37"/>
      <c r="G457" s="37"/>
    </row>
    <row r="458" spans="1:7">
      <c r="A458" s="37"/>
      <c r="B458" s="37" t="s">
        <v>5075</v>
      </c>
      <c r="C458" s="37" t="s">
        <v>2954</v>
      </c>
      <c r="D458" s="37" t="s">
        <v>2955</v>
      </c>
      <c r="E458" s="37" t="s">
        <v>4771</v>
      </c>
      <c r="F458" s="37"/>
      <c r="G458" s="37"/>
    </row>
    <row r="459" spans="1:7">
      <c r="A459" s="37"/>
      <c r="B459" s="37" t="s">
        <v>5076</v>
      </c>
      <c r="C459" s="37" t="s">
        <v>2954</v>
      </c>
      <c r="D459" s="37" t="s">
        <v>2955</v>
      </c>
      <c r="E459" s="37" t="s">
        <v>4771</v>
      </c>
      <c r="F459" s="37"/>
      <c r="G459" s="37"/>
    </row>
    <row r="460" spans="1:7">
      <c r="A460" s="37"/>
      <c r="B460" s="37" t="s">
        <v>5077</v>
      </c>
      <c r="C460" s="37" t="s">
        <v>2954</v>
      </c>
      <c r="D460" s="37" t="s">
        <v>2955</v>
      </c>
      <c r="E460" s="37" t="s">
        <v>4771</v>
      </c>
      <c r="F460" s="37"/>
      <c r="G460" s="37"/>
    </row>
    <row r="461" spans="1:7">
      <c r="A461" s="37"/>
      <c r="B461" s="37" t="s">
        <v>5078</v>
      </c>
      <c r="C461" s="37" t="s">
        <v>2954</v>
      </c>
      <c r="D461" s="37" t="s">
        <v>2955</v>
      </c>
      <c r="E461" s="37" t="s">
        <v>4771</v>
      </c>
      <c r="F461" s="37"/>
      <c r="G461" s="37"/>
    </row>
    <row r="462" spans="1:7">
      <c r="A462" s="37"/>
      <c r="B462" s="37" t="s">
        <v>5079</v>
      </c>
      <c r="C462" s="37" t="s">
        <v>2954</v>
      </c>
      <c r="D462" s="37" t="s">
        <v>2955</v>
      </c>
      <c r="E462" s="37" t="s">
        <v>4771</v>
      </c>
      <c r="F462" s="37"/>
      <c r="G462" s="37"/>
    </row>
    <row r="463" spans="1:7">
      <c r="A463" s="37"/>
      <c r="B463" s="37" t="s">
        <v>5080</v>
      </c>
      <c r="C463" s="37" t="s">
        <v>2954</v>
      </c>
      <c r="D463" s="37" t="s">
        <v>2955</v>
      </c>
      <c r="E463" s="37" t="s">
        <v>4771</v>
      </c>
      <c r="F463" s="37"/>
      <c r="G463" s="37"/>
    </row>
    <row r="464" spans="1:7">
      <c r="A464" s="37"/>
      <c r="B464" s="37" t="s">
        <v>5081</v>
      </c>
      <c r="C464" s="37" t="s">
        <v>2954</v>
      </c>
      <c r="D464" s="37" t="s">
        <v>2955</v>
      </c>
      <c r="E464" s="37" t="s">
        <v>4771</v>
      </c>
      <c r="F464" s="37"/>
      <c r="G464" s="37"/>
    </row>
    <row r="465" spans="1:7">
      <c r="A465" s="37"/>
      <c r="B465" s="37" t="s">
        <v>5082</v>
      </c>
      <c r="C465" s="37" t="s">
        <v>2954</v>
      </c>
      <c r="D465" s="37" t="s">
        <v>2955</v>
      </c>
      <c r="E465" s="37" t="s">
        <v>4771</v>
      </c>
      <c r="F465" s="37"/>
      <c r="G465" s="37"/>
    </row>
    <row r="466" spans="1:7">
      <c r="A466" s="37"/>
      <c r="B466" s="37" t="s">
        <v>5083</v>
      </c>
      <c r="C466" s="37" t="s">
        <v>2954</v>
      </c>
      <c r="D466" s="37" t="s">
        <v>2955</v>
      </c>
      <c r="E466" s="37" t="s">
        <v>4771</v>
      </c>
      <c r="F466" s="37"/>
      <c r="G466" s="37"/>
    </row>
    <row r="467" spans="1:7">
      <c r="A467" s="37"/>
      <c r="B467" s="37" t="s">
        <v>5084</v>
      </c>
      <c r="C467" s="37" t="s">
        <v>2954</v>
      </c>
      <c r="D467" s="37" t="s">
        <v>2955</v>
      </c>
      <c r="E467" s="37" t="s">
        <v>4771</v>
      </c>
      <c r="F467" s="37"/>
      <c r="G467" s="37"/>
    </row>
    <row r="468" spans="1:7">
      <c r="A468" s="37"/>
      <c r="B468" s="37" t="s">
        <v>5085</v>
      </c>
      <c r="C468" s="37" t="s">
        <v>2954</v>
      </c>
      <c r="D468" s="37" t="s">
        <v>2955</v>
      </c>
      <c r="E468" s="37" t="s">
        <v>4771</v>
      </c>
      <c r="F468" s="37"/>
      <c r="G468" s="37"/>
    </row>
    <row r="469" spans="1:7">
      <c r="A469" s="37"/>
      <c r="B469" s="37" t="s">
        <v>5086</v>
      </c>
      <c r="C469" s="37" t="s">
        <v>2954</v>
      </c>
      <c r="D469" s="37" t="s">
        <v>2955</v>
      </c>
      <c r="E469" s="37" t="s">
        <v>4771</v>
      </c>
      <c r="F469" s="37"/>
      <c r="G469" s="37"/>
    </row>
    <row r="470" spans="1:7">
      <c r="A470" s="37"/>
      <c r="B470" s="37" t="s">
        <v>5087</v>
      </c>
      <c r="C470" s="37" t="s">
        <v>2954</v>
      </c>
      <c r="D470" s="37" t="s">
        <v>2955</v>
      </c>
      <c r="E470" s="37" t="s">
        <v>4771</v>
      </c>
      <c r="F470" s="37"/>
      <c r="G470" s="37"/>
    </row>
    <row r="471" spans="1:7">
      <c r="A471" s="37"/>
      <c r="B471" s="37" t="s">
        <v>5088</v>
      </c>
      <c r="C471" s="37" t="s">
        <v>2954</v>
      </c>
      <c r="D471" s="37" t="s">
        <v>2955</v>
      </c>
      <c r="E471" s="37" t="s">
        <v>4771</v>
      </c>
      <c r="F471" s="37"/>
      <c r="G471" s="37"/>
    </row>
    <row r="472" spans="1:7">
      <c r="A472" s="37"/>
      <c r="B472" s="37" t="s">
        <v>5089</v>
      </c>
      <c r="C472" s="37" t="s">
        <v>2954</v>
      </c>
      <c r="D472" s="37" t="s">
        <v>2955</v>
      </c>
      <c r="E472" s="37" t="s">
        <v>4771</v>
      </c>
      <c r="F472" s="37"/>
      <c r="G472" s="37"/>
    </row>
    <row r="473" spans="1:7">
      <c r="A473" s="37"/>
      <c r="B473" s="37" t="s">
        <v>5090</v>
      </c>
      <c r="C473" s="37" t="s">
        <v>2954</v>
      </c>
      <c r="D473" s="37" t="s">
        <v>2955</v>
      </c>
      <c r="E473" s="37" t="s">
        <v>4771</v>
      </c>
      <c r="F473" s="37"/>
      <c r="G473" s="37"/>
    </row>
    <row r="474" spans="1:7">
      <c r="A474" s="37"/>
      <c r="B474" s="37" t="s">
        <v>5091</v>
      </c>
      <c r="C474" s="37" t="s">
        <v>2954</v>
      </c>
      <c r="D474" s="37" t="s">
        <v>2955</v>
      </c>
      <c r="E474" s="37" t="s">
        <v>4771</v>
      </c>
      <c r="F474" s="37"/>
      <c r="G474" s="37"/>
    </row>
    <row r="475" spans="1:7">
      <c r="A475" s="37"/>
      <c r="B475" s="37" t="s">
        <v>5092</v>
      </c>
      <c r="C475" s="37" t="s">
        <v>2954</v>
      </c>
      <c r="D475" s="37" t="s">
        <v>2955</v>
      </c>
      <c r="E475" s="37" t="s">
        <v>4771</v>
      </c>
      <c r="F475" s="37"/>
      <c r="G475" s="37"/>
    </row>
    <row r="476" spans="1:7">
      <c r="A476" s="37"/>
      <c r="B476" s="37" t="s">
        <v>5093</v>
      </c>
      <c r="C476" s="37" t="s">
        <v>2954</v>
      </c>
      <c r="D476" s="37" t="s">
        <v>2955</v>
      </c>
      <c r="E476" s="37" t="s">
        <v>4771</v>
      </c>
      <c r="F476" s="37"/>
      <c r="G476" s="37"/>
    </row>
    <row r="477" spans="1:7">
      <c r="A477" s="37"/>
      <c r="B477" s="37" t="s">
        <v>5094</v>
      </c>
      <c r="C477" s="37" t="s">
        <v>2954</v>
      </c>
      <c r="D477" s="37" t="s">
        <v>2955</v>
      </c>
      <c r="E477" s="37" t="s">
        <v>4771</v>
      </c>
      <c r="F477" s="37"/>
      <c r="G477" s="37"/>
    </row>
    <row r="478" spans="1:7">
      <c r="A478" s="37"/>
      <c r="B478" s="37" t="s">
        <v>5095</v>
      </c>
      <c r="C478" s="37" t="s">
        <v>2954</v>
      </c>
      <c r="D478" s="37" t="s">
        <v>2955</v>
      </c>
      <c r="E478" s="37" t="s">
        <v>4771</v>
      </c>
      <c r="F478" s="37"/>
      <c r="G478" s="37"/>
    </row>
    <row r="479" spans="1:7">
      <c r="A479" s="37"/>
      <c r="B479" s="37" t="s">
        <v>5096</v>
      </c>
      <c r="C479" s="37" t="s">
        <v>2954</v>
      </c>
      <c r="D479" s="37" t="s">
        <v>2955</v>
      </c>
      <c r="E479" s="37" t="s">
        <v>4771</v>
      </c>
      <c r="F479" s="37"/>
      <c r="G479" s="37"/>
    </row>
    <row r="480" spans="1:7">
      <c r="A480" s="37"/>
      <c r="B480" s="37" t="s">
        <v>5097</v>
      </c>
      <c r="C480" s="37" t="s">
        <v>2954</v>
      </c>
      <c r="D480" s="37" t="s">
        <v>2955</v>
      </c>
      <c r="E480" s="37" t="s">
        <v>4771</v>
      </c>
      <c r="F480" s="37"/>
      <c r="G480" s="37"/>
    </row>
    <row r="481" spans="1:7">
      <c r="A481" s="37"/>
      <c r="B481" s="37" t="s">
        <v>5098</v>
      </c>
      <c r="C481" s="37" t="s">
        <v>2954</v>
      </c>
      <c r="D481" s="37" t="s">
        <v>2955</v>
      </c>
      <c r="E481" s="37" t="s">
        <v>4771</v>
      </c>
      <c r="F481" s="37"/>
      <c r="G481" s="37"/>
    </row>
    <row r="482" spans="1:7">
      <c r="A482" s="37"/>
      <c r="B482" s="37" t="s">
        <v>5099</v>
      </c>
      <c r="C482" s="37" t="s">
        <v>2954</v>
      </c>
      <c r="D482" s="37" t="s">
        <v>2955</v>
      </c>
      <c r="E482" s="37" t="s">
        <v>4771</v>
      </c>
      <c r="F482" s="37"/>
      <c r="G482" s="37"/>
    </row>
    <row r="483" spans="1:7">
      <c r="A483" s="37"/>
      <c r="B483" s="37" t="s">
        <v>5100</v>
      </c>
      <c r="C483" s="37" t="s">
        <v>2954</v>
      </c>
      <c r="D483" s="37" t="s">
        <v>2955</v>
      </c>
      <c r="E483" s="37" t="s">
        <v>4771</v>
      </c>
      <c r="F483" s="37"/>
      <c r="G483" s="37"/>
    </row>
    <row r="484" spans="1:7">
      <c r="A484" s="37"/>
      <c r="B484" s="37" t="s">
        <v>5101</v>
      </c>
      <c r="C484" s="37" t="s">
        <v>2954</v>
      </c>
      <c r="D484" s="37" t="s">
        <v>2955</v>
      </c>
      <c r="E484" s="37" t="s">
        <v>4771</v>
      </c>
      <c r="F484" s="37"/>
      <c r="G484" s="37"/>
    </row>
    <row r="485" spans="1:7">
      <c r="A485" s="37"/>
      <c r="B485" s="37" t="s">
        <v>5102</v>
      </c>
      <c r="C485" s="37" t="s">
        <v>2954</v>
      </c>
      <c r="D485" s="37" t="s">
        <v>2955</v>
      </c>
      <c r="E485" s="37" t="s">
        <v>4771</v>
      </c>
      <c r="F485" s="37"/>
      <c r="G485" s="37"/>
    </row>
    <row r="486" spans="1:7">
      <c r="A486" s="37"/>
      <c r="B486" s="37" t="s">
        <v>5103</v>
      </c>
      <c r="C486" s="37" t="s">
        <v>2954</v>
      </c>
      <c r="D486" s="37" t="s">
        <v>2955</v>
      </c>
      <c r="E486" s="37" t="s">
        <v>4771</v>
      </c>
      <c r="F486" s="37"/>
      <c r="G486" s="37"/>
    </row>
    <row r="487" spans="1:7">
      <c r="A487" s="37"/>
      <c r="B487" s="37" t="s">
        <v>5104</v>
      </c>
      <c r="C487" s="37" t="s">
        <v>2954</v>
      </c>
      <c r="D487" s="37" t="s">
        <v>2955</v>
      </c>
      <c r="E487" s="37" t="s">
        <v>4771</v>
      </c>
      <c r="F487" s="37"/>
      <c r="G487" s="37"/>
    </row>
    <row r="488" spans="1:7">
      <c r="A488" s="37"/>
      <c r="B488" s="37" t="s">
        <v>5105</v>
      </c>
      <c r="C488" s="37" t="s">
        <v>2954</v>
      </c>
      <c r="D488" s="37" t="s">
        <v>2955</v>
      </c>
      <c r="E488" s="37" t="s">
        <v>4771</v>
      </c>
      <c r="F488" s="37"/>
      <c r="G488" s="37"/>
    </row>
    <row r="489" spans="1:7">
      <c r="A489" s="37"/>
      <c r="B489" s="37" t="s">
        <v>5106</v>
      </c>
      <c r="C489" s="37" t="s">
        <v>2954</v>
      </c>
      <c r="D489" s="37" t="s">
        <v>2955</v>
      </c>
      <c r="E489" s="37" t="s">
        <v>4771</v>
      </c>
      <c r="F489" s="37"/>
      <c r="G489" s="37"/>
    </row>
    <row r="490" spans="1:7">
      <c r="A490" s="37"/>
      <c r="B490" s="37" t="s">
        <v>5107</v>
      </c>
      <c r="C490" s="37" t="s">
        <v>2954</v>
      </c>
      <c r="D490" s="37" t="s">
        <v>2955</v>
      </c>
      <c r="E490" s="37" t="s">
        <v>4771</v>
      </c>
      <c r="F490" s="37"/>
      <c r="G490" s="37"/>
    </row>
    <row r="491" spans="1:7">
      <c r="A491" s="37"/>
      <c r="B491" s="37" t="s">
        <v>5108</v>
      </c>
      <c r="C491" s="37" t="s">
        <v>2954</v>
      </c>
      <c r="D491" s="37" t="s">
        <v>2955</v>
      </c>
      <c r="E491" s="37" t="s">
        <v>4771</v>
      </c>
      <c r="F491" s="37"/>
      <c r="G491" s="37"/>
    </row>
    <row r="492" spans="1:7">
      <c r="A492" s="37"/>
      <c r="B492" s="37" t="s">
        <v>5109</v>
      </c>
      <c r="C492" s="37" t="s">
        <v>2954</v>
      </c>
      <c r="D492" s="37" t="s">
        <v>2955</v>
      </c>
      <c r="E492" s="37" t="s">
        <v>4771</v>
      </c>
      <c r="F492" s="37"/>
      <c r="G492" s="37"/>
    </row>
    <row r="493" spans="1:7">
      <c r="A493" s="37"/>
      <c r="B493" s="37" t="s">
        <v>5110</v>
      </c>
      <c r="C493" s="37" t="s">
        <v>2954</v>
      </c>
      <c r="D493" s="37" t="s">
        <v>2955</v>
      </c>
      <c r="E493" s="37" t="s">
        <v>4771</v>
      </c>
      <c r="F493" s="37"/>
      <c r="G493" s="37"/>
    </row>
    <row r="494" spans="1:7">
      <c r="A494" s="37"/>
      <c r="B494" s="37" t="s">
        <v>5111</v>
      </c>
      <c r="C494" s="37" t="s">
        <v>2954</v>
      </c>
      <c r="D494" s="37" t="s">
        <v>2955</v>
      </c>
      <c r="E494" s="37" t="s">
        <v>4771</v>
      </c>
      <c r="F494" s="37"/>
      <c r="G494" s="37"/>
    </row>
    <row r="495" spans="1:7">
      <c r="A495" s="37"/>
      <c r="B495" s="37" t="s">
        <v>5112</v>
      </c>
      <c r="C495" s="37" t="s">
        <v>2954</v>
      </c>
      <c r="D495" s="37" t="s">
        <v>2955</v>
      </c>
      <c r="E495" s="37" t="s">
        <v>4771</v>
      </c>
      <c r="F495" s="37"/>
      <c r="G495" s="37"/>
    </row>
    <row r="496" spans="1:7">
      <c r="A496" s="37"/>
      <c r="B496" s="37" t="s">
        <v>5113</v>
      </c>
      <c r="C496" s="37" t="s">
        <v>2954</v>
      </c>
      <c r="D496" s="37" t="s">
        <v>2955</v>
      </c>
      <c r="E496" s="37" t="s">
        <v>4771</v>
      </c>
      <c r="F496" s="37"/>
      <c r="G496" s="37"/>
    </row>
    <row r="497" spans="1:7">
      <c r="A497" s="37"/>
      <c r="B497" s="37" t="s">
        <v>5114</v>
      </c>
      <c r="C497" s="37" t="s">
        <v>2954</v>
      </c>
      <c r="D497" s="37" t="s">
        <v>2955</v>
      </c>
      <c r="E497" s="37" t="s">
        <v>4771</v>
      </c>
      <c r="F497" s="37"/>
      <c r="G497" s="37"/>
    </row>
    <row r="498" spans="1:7">
      <c r="A498" s="37"/>
      <c r="B498" s="37" t="s">
        <v>5115</v>
      </c>
      <c r="C498" s="37" t="s">
        <v>2954</v>
      </c>
      <c r="D498" s="37" t="s">
        <v>2955</v>
      </c>
      <c r="E498" s="37" t="s">
        <v>4771</v>
      </c>
      <c r="F498" s="37"/>
      <c r="G498" s="37"/>
    </row>
    <row r="499" spans="1:7">
      <c r="A499" s="37"/>
      <c r="B499" s="37" t="s">
        <v>5116</v>
      </c>
      <c r="C499" s="37" t="s">
        <v>2954</v>
      </c>
      <c r="D499" s="37" t="s">
        <v>2955</v>
      </c>
      <c r="E499" s="37" t="s">
        <v>4771</v>
      </c>
      <c r="F499" s="37"/>
      <c r="G499" s="37"/>
    </row>
    <row r="500" spans="1:7">
      <c r="A500" s="37"/>
      <c r="B500" s="37" t="s">
        <v>5117</v>
      </c>
      <c r="C500" s="37" t="s">
        <v>2954</v>
      </c>
      <c r="D500" s="37" t="s">
        <v>2955</v>
      </c>
      <c r="E500" s="37" t="s">
        <v>4771</v>
      </c>
      <c r="F500" s="37"/>
      <c r="G500" s="37"/>
    </row>
    <row r="501" spans="1:7">
      <c r="A501" s="37"/>
      <c r="B501" s="37" t="s">
        <v>5118</v>
      </c>
      <c r="C501" s="37" t="s">
        <v>2954</v>
      </c>
      <c r="D501" s="37" t="s">
        <v>2955</v>
      </c>
      <c r="E501" s="37" t="s">
        <v>4771</v>
      </c>
      <c r="F501" s="37"/>
      <c r="G501" s="37"/>
    </row>
    <row r="502" spans="1:7">
      <c r="A502" s="37"/>
      <c r="B502" s="37" t="s">
        <v>5119</v>
      </c>
      <c r="C502" s="37" t="s">
        <v>2954</v>
      </c>
      <c r="D502" s="37" t="s">
        <v>2955</v>
      </c>
      <c r="E502" s="37" t="s">
        <v>4771</v>
      </c>
      <c r="F502" s="37"/>
      <c r="G502" s="37"/>
    </row>
    <row r="503" spans="1:7">
      <c r="A503" s="37"/>
      <c r="B503" s="37" t="s">
        <v>5120</v>
      </c>
      <c r="C503" s="37" t="s">
        <v>2954</v>
      </c>
      <c r="D503" s="37" t="s">
        <v>2955</v>
      </c>
      <c r="E503" s="37" t="s">
        <v>4771</v>
      </c>
      <c r="F503" s="37"/>
      <c r="G503" s="37"/>
    </row>
    <row r="504" spans="1:7">
      <c r="A504" s="37"/>
      <c r="B504" s="37" t="s">
        <v>5121</v>
      </c>
      <c r="C504" s="37" t="s">
        <v>2954</v>
      </c>
      <c r="D504" s="37" t="s">
        <v>2955</v>
      </c>
      <c r="E504" s="37" t="s">
        <v>4771</v>
      </c>
      <c r="F504" s="37"/>
      <c r="G504" s="37"/>
    </row>
    <row r="505" spans="1:7">
      <c r="A505" s="37"/>
      <c r="B505" s="37" t="s">
        <v>5122</v>
      </c>
      <c r="C505" s="37" t="s">
        <v>2954</v>
      </c>
      <c r="D505" s="37" t="s">
        <v>2955</v>
      </c>
      <c r="E505" s="37" t="s">
        <v>4771</v>
      </c>
      <c r="F505" s="37"/>
      <c r="G505" s="37"/>
    </row>
    <row r="506" spans="1:7">
      <c r="A506" s="37"/>
      <c r="B506" s="37" t="s">
        <v>5123</v>
      </c>
      <c r="C506" s="37" t="s">
        <v>2954</v>
      </c>
      <c r="D506" s="37" t="s">
        <v>2955</v>
      </c>
      <c r="E506" s="37" t="s">
        <v>4771</v>
      </c>
      <c r="F506" s="37"/>
      <c r="G506" s="37"/>
    </row>
    <row r="507" spans="1:7">
      <c r="A507" s="37"/>
      <c r="B507" s="37" t="s">
        <v>5124</v>
      </c>
      <c r="C507" s="37" t="s">
        <v>2954</v>
      </c>
      <c r="D507" s="37" t="s">
        <v>2955</v>
      </c>
      <c r="E507" s="37" t="s">
        <v>4771</v>
      </c>
      <c r="F507" s="37"/>
      <c r="G507" s="37"/>
    </row>
    <row r="508" spans="1:7">
      <c r="A508" s="37"/>
      <c r="B508" s="37" t="s">
        <v>5125</v>
      </c>
      <c r="C508" s="37" t="s">
        <v>2954</v>
      </c>
      <c r="D508" s="37" t="s">
        <v>2955</v>
      </c>
      <c r="E508" s="37" t="s">
        <v>4771</v>
      </c>
      <c r="F508" s="37"/>
      <c r="G508" s="37"/>
    </row>
    <row r="509" spans="1:7">
      <c r="A509" s="37"/>
      <c r="B509" s="37" t="s">
        <v>5126</v>
      </c>
      <c r="C509" s="37" t="s">
        <v>2954</v>
      </c>
      <c r="D509" s="37" t="s">
        <v>2955</v>
      </c>
      <c r="E509" s="37" t="s">
        <v>4771</v>
      </c>
      <c r="F509" s="37"/>
      <c r="G509" s="37"/>
    </row>
    <row r="510" spans="1:7">
      <c r="A510" s="37"/>
      <c r="B510" s="37" t="s">
        <v>5127</v>
      </c>
      <c r="C510" s="37" t="s">
        <v>2954</v>
      </c>
      <c r="D510" s="37" t="s">
        <v>2955</v>
      </c>
      <c r="E510" s="37" t="s">
        <v>4771</v>
      </c>
      <c r="F510" s="37"/>
      <c r="G510" s="37"/>
    </row>
    <row r="511" spans="1:7">
      <c r="A511" s="37"/>
      <c r="B511" s="37" t="s">
        <v>5128</v>
      </c>
      <c r="C511" s="37" t="s">
        <v>2954</v>
      </c>
      <c r="D511" s="37" t="s">
        <v>2955</v>
      </c>
      <c r="E511" s="37" t="s">
        <v>4771</v>
      </c>
      <c r="F511" s="37"/>
      <c r="G511" s="37"/>
    </row>
    <row r="512" spans="1:7">
      <c r="A512" s="37"/>
      <c r="B512" s="37" t="s">
        <v>5129</v>
      </c>
      <c r="C512" s="37" t="s">
        <v>2954</v>
      </c>
      <c r="D512" s="37" t="s">
        <v>2955</v>
      </c>
      <c r="E512" s="37" t="s">
        <v>4771</v>
      </c>
      <c r="F512" s="37"/>
      <c r="G512" s="37"/>
    </row>
    <row r="513" spans="1:7">
      <c r="A513" s="37"/>
      <c r="B513" s="37" t="s">
        <v>5130</v>
      </c>
      <c r="C513" s="37" t="s">
        <v>2954</v>
      </c>
      <c r="D513" s="37" t="s">
        <v>2955</v>
      </c>
      <c r="E513" s="37" t="s">
        <v>4771</v>
      </c>
      <c r="F513" s="37"/>
      <c r="G513" s="37"/>
    </row>
    <row r="514" spans="1:7">
      <c r="A514" s="37"/>
      <c r="B514" s="37" t="s">
        <v>5131</v>
      </c>
      <c r="C514" s="37" t="s">
        <v>2954</v>
      </c>
      <c r="D514" s="37" t="s">
        <v>2955</v>
      </c>
      <c r="E514" s="37" t="s">
        <v>4771</v>
      </c>
      <c r="F514" s="37"/>
      <c r="G514" s="37"/>
    </row>
    <row r="515" spans="1:7">
      <c r="A515" s="37"/>
      <c r="B515" s="37" t="s">
        <v>5132</v>
      </c>
      <c r="C515" s="37" t="s">
        <v>2954</v>
      </c>
      <c r="D515" s="37" t="s">
        <v>2955</v>
      </c>
      <c r="E515" s="37" t="s">
        <v>4771</v>
      </c>
      <c r="F515" s="37"/>
      <c r="G515" s="37"/>
    </row>
    <row r="516" spans="1:7">
      <c r="A516" s="37"/>
      <c r="B516" s="37" t="s">
        <v>5133</v>
      </c>
      <c r="C516" s="37" t="s">
        <v>2954</v>
      </c>
      <c r="D516" s="37" t="s">
        <v>2955</v>
      </c>
      <c r="E516" s="37" t="s">
        <v>4771</v>
      </c>
      <c r="F516" s="37"/>
      <c r="G516" s="37"/>
    </row>
    <row r="517" spans="1:7">
      <c r="A517" s="37"/>
      <c r="B517" s="37" t="s">
        <v>5134</v>
      </c>
      <c r="C517" s="37" t="s">
        <v>2954</v>
      </c>
      <c r="D517" s="37" t="s">
        <v>2955</v>
      </c>
      <c r="E517" s="37" t="s">
        <v>4771</v>
      </c>
      <c r="F517" s="37"/>
      <c r="G517" s="37"/>
    </row>
    <row r="518" spans="1:7">
      <c r="A518" s="37"/>
      <c r="B518" s="37" t="s">
        <v>5135</v>
      </c>
      <c r="C518" s="37" t="s">
        <v>2954</v>
      </c>
      <c r="D518" s="37" t="s">
        <v>2955</v>
      </c>
      <c r="E518" s="37" t="s">
        <v>4771</v>
      </c>
      <c r="F518" s="37"/>
      <c r="G518" s="37"/>
    </row>
    <row r="519" spans="1:7">
      <c r="A519" s="37"/>
      <c r="B519" s="37" t="s">
        <v>5136</v>
      </c>
      <c r="C519" s="37" t="s">
        <v>2954</v>
      </c>
      <c r="D519" s="37" t="s">
        <v>2955</v>
      </c>
      <c r="E519" s="37" t="s">
        <v>4771</v>
      </c>
      <c r="F519" s="37"/>
      <c r="G519" s="37"/>
    </row>
    <row r="520" spans="1:7">
      <c r="A520" s="37"/>
      <c r="B520" s="37" t="s">
        <v>5137</v>
      </c>
      <c r="C520" s="37" t="s">
        <v>2954</v>
      </c>
      <c r="D520" s="37" t="s">
        <v>2955</v>
      </c>
      <c r="E520" s="37" t="s">
        <v>4771</v>
      </c>
      <c r="F520" s="37"/>
      <c r="G520" s="37"/>
    </row>
    <row r="521" spans="1:7">
      <c r="A521" s="37"/>
      <c r="B521" s="37" t="s">
        <v>5138</v>
      </c>
      <c r="C521" s="37" t="s">
        <v>2954</v>
      </c>
      <c r="D521" s="37" t="s">
        <v>2955</v>
      </c>
      <c r="E521" s="37" t="s">
        <v>4771</v>
      </c>
      <c r="F521" s="37"/>
      <c r="G521" s="37"/>
    </row>
    <row r="522" spans="1:7">
      <c r="A522" s="37"/>
      <c r="B522" s="37" t="s">
        <v>5139</v>
      </c>
      <c r="C522" s="37" t="s">
        <v>2954</v>
      </c>
      <c r="D522" s="37" t="s">
        <v>2955</v>
      </c>
      <c r="E522" s="37" t="s">
        <v>4771</v>
      </c>
      <c r="F522" s="37"/>
      <c r="G522" s="37"/>
    </row>
    <row r="523" spans="1:7">
      <c r="A523" s="37"/>
      <c r="B523" s="37" t="s">
        <v>5140</v>
      </c>
      <c r="C523" s="37" t="s">
        <v>2954</v>
      </c>
      <c r="D523" s="37" t="s">
        <v>2955</v>
      </c>
      <c r="E523" s="37" t="s">
        <v>4771</v>
      </c>
      <c r="F523" s="37"/>
      <c r="G523" s="37"/>
    </row>
    <row r="524" spans="1:7">
      <c r="A524" s="37"/>
      <c r="B524" s="37" t="s">
        <v>5141</v>
      </c>
      <c r="C524" s="37" t="s">
        <v>2954</v>
      </c>
      <c r="D524" s="37" t="s">
        <v>2955</v>
      </c>
      <c r="E524" s="37" t="s">
        <v>4771</v>
      </c>
      <c r="F524" s="37"/>
      <c r="G524" s="37"/>
    </row>
    <row r="525" spans="1:7">
      <c r="A525" s="37"/>
      <c r="B525" s="37" t="s">
        <v>5142</v>
      </c>
      <c r="C525" s="37" t="s">
        <v>2954</v>
      </c>
      <c r="D525" s="37" t="s">
        <v>2955</v>
      </c>
      <c r="E525" s="37" t="s">
        <v>4771</v>
      </c>
      <c r="F525" s="37"/>
      <c r="G525" s="37"/>
    </row>
    <row r="526" spans="1:7">
      <c r="A526" s="37"/>
      <c r="B526" s="37" t="s">
        <v>5143</v>
      </c>
      <c r="C526" s="37" t="s">
        <v>2954</v>
      </c>
      <c r="D526" s="37" t="s">
        <v>2955</v>
      </c>
      <c r="E526" s="37" t="s">
        <v>4771</v>
      </c>
      <c r="F526" s="37"/>
      <c r="G526" s="37"/>
    </row>
    <row r="527" spans="1:7">
      <c r="A527" s="37"/>
      <c r="B527" s="37" t="s">
        <v>5144</v>
      </c>
      <c r="C527" s="37" t="s">
        <v>2954</v>
      </c>
      <c r="D527" s="37" t="s">
        <v>2955</v>
      </c>
      <c r="E527" s="37" t="s">
        <v>4771</v>
      </c>
      <c r="F527" s="37"/>
      <c r="G527" s="37"/>
    </row>
    <row r="528" spans="1:7">
      <c r="A528" s="37"/>
      <c r="B528" s="37" t="s">
        <v>5145</v>
      </c>
      <c r="C528" s="37" t="s">
        <v>2954</v>
      </c>
      <c r="D528" s="37" t="s">
        <v>2955</v>
      </c>
      <c r="E528" s="37" t="s">
        <v>4771</v>
      </c>
      <c r="F528" s="37"/>
      <c r="G528" s="37"/>
    </row>
    <row r="529" spans="1:7">
      <c r="A529" s="37"/>
      <c r="B529" s="37" t="s">
        <v>5146</v>
      </c>
      <c r="C529" s="37" t="s">
        <v>2954</v>
      </c>
      <c r="D529" s="37" t="s">
        <v>2955</v>
      </c>
      <c r="E529" s="37" t="s">
        <v>4771</v>
      </c>
      <c r="F529" s="37"/>
      <c r="G529" s="37"/>
    </row>
    <row r="530" spans="1:7">
      <c r="A530" s="37"/>
      <c r="B530" s="37" t="s">
        <v>5147</v>
      </c>
      <c r="C530" s="37" t="s">
        <v>2954</v>
      </c>
      <c r="D530" s="37" t="s">
        <v>2955</v>
      </c>
      <c r="E530" s="37" t="s">
        <v>4771</v>
      </c>
      <c r="F530" s="37"/>
      <c r="G530" s="37"/>
    </row>
    <row r="531" spans="1:7">
      <c r="A531" s="37"/>
      <c r="B531" s="37" t="s">
        <v>5148</v>
      </c>
      <c r="C531" s="37" t="s">
        <v>2954</v>
      </c>
      <c r="D531" s="37" t="s">
        <v>2955</v>
      </c>
      <c r="E531" s="37" t="s">
        <v>4771</v>
      </c>
      <c r="F531" s="37"/>
      <c r="G531" s="37"/>
    </row>
    <row r="532" spans="1:7">
      <c r="A532" s="37"/>
      <c r="B532" s="37" t="s">
        <v>5149</v>
      </c>
      <c r="C532" s="37" t="s">
        <v>2954</v>
      </c>
      <c r="D532" s="37" t="s">
        <v>2955</v>
      </c>
      <c r="E532" s="37" t="s">
        <v>4771</v>
      </c>
      <c r="F532" s="37"/>
      <c r="G532" s="37"/>
    </row>
    <row r="533" spans="1:7">
      <c r="A533" s="37"/>
      <c r="B533" s="37" t="s">
        <v>5150</v>
      </c>
      <c r="C533" s="37" t="s">
        <v>2954</v>
      </c>
      <c r="D533" s="37" t="s">
        <v>2955</v>
      </c>
      <c r="E533" s="37" t="s">
        <v>4771</v>
      </c>
      <c r="F533" s="37"/>
      <c r="G533" s="37"/>
    </row>
    <row r="534" spans="1:7">
      <c r="A534" s="37"/>
      <c r="B534" s="37" t="s">
        <v>5151</v>
      </c>
      <c r="C534" s="37" t="s">
        <v>2954</v>
      </c>
      <c r="D534" s="37" t="s">
        <v>2955</v>
      </c>
      <c r="E534" s="37" t="s">
        <v>4771</v>
      </c>
      <c r="F534" s="37"/>
      <c r="G534" s="37"/>
    </row>
    <row r="535" spans="1:7">
      <c r="A535" s="37"/>
      <c r="B535" s="37" t="s">
        <v>5152</v>
      </c>
      <c r="C535" s="37" t="s">
        <v>2954</v>
      </c>
      <c r="D535" s="37" t="s">
        <v>2955</v>
      </c>
      <c r="E535" s="37" t="s">
        <v>4771</v>
      </c>
      <c r="F535" s="37"/>
      <c r="G535" s="37"/>
    </row>
    <row r="536" spans="1:7">
      <c r="A536" s="37"/>
      <c r="B536" s="37" t="s">
        <v>5153</v>
      </c>
      <c r="C536" s="37" t="s">
        <v>2954</v>
      </c>
      <c r="D536" s="37" t="s">
        <v>2955</v>
      </c>
      <c r="E536" s="37" t="s">
        <v>4771</v>
      </c>
      <c r="F536" s="37"/>
      <c r="G536" s="37"/>
    </row>
    <row r="537" spans="1:7">
      <c r="A537" s="37"/>
      <c r="B537" s="37" t="s">
        <v>5154</v>
      </c>
      <c r="C537" s="37" t="s">
        <v>2954</v>
      </c>
      <c r="D537" s="37" t="s">
        <v>2955</v>
      </c>
      <c r="E537" s="37" t="s">
        <v>4771</v>
      </c>
      <c r="F537" s="37"/>
      <c r="G537" s="37"/>
    </row>
    <row r="538" spans="1:7">
      <c r="A538" s="37"/>
      <c r="B538" s="37" t="s">
        <v>5155</v>
      </c>
      <c r="C538" s="37" t="s">
        <v>2954</v>
      </c>
      <c r="D538" s="37" t="s">
        <v>2955</v>
      </c>
      <c r="E538" s="37" t="s">
        <v>4771</v>
      </c>
      <c r="F538" s="37"/>
      <c r="G538" s="37"/>
    </row>
    <row r="539" spans="1:7">
      <c r="A539" s="37"/>
      <c r="B539" s="37" t="s">
        <v>5156</v>
      </c>
      <c r="C539" s="37" t="s">
        <v>2954</v>
      </c>
      <c r="D539" s="37" t="s">
        <v>2955</v>
      </c>
      <c r="E539" s="37" t="s">
        <v>4771</v>
      </c>
      <c r="F539" s="37"/>
      <c r="G539" s="37"/>
    </row>
    <row r="540" spans="1:7">
      <c r="A540" s="37"/>
      <c r="B540" s="37" t="s">
        <v>5157</v>
      </c>
      <c r="C540" s="37" t="s">
        <v>2954</v>
      </c>
      <c r="D540" s="37" t="s">
        <v>2955</v>
      </c>
      <c r="E540" s="37" t="s">
        <v>4771</v>
      </c>
      <c r="F540" s="37"/>
      <c r="G540" s="37"/>
    </row>
    <row r="541" spans="1:7">
      <c r="A541" s="37"/>
      <c r="B541" s="37" t="s">
        <v>5158</v>
      </c>
      <c r="C541" s="37" t="s">
        <v>2954</v>
      </c>
      <c r="D541" s="37" t="s">
        <v>2955</v>
      </c>
      <c r="E541" s="37" t="s">
        <v>4771</v>
      </c>
      <c r="F541" s="37"/>
      <c r="G541" s="37"/>
    </row>
    <row r="542" spans="1:7">
      <c r="A542" s="37"/>
      <c r="B542" s="37" t="s">
        <v>5159</v>
      </c>
      <c r="C542" s="37" t="s">
        <v>2954</v>
      </c>
      <c r="D542" s="37" t="s">
        <v>2955</v>
      </c>
      <c r="E542" s="37" t="s">
        <v>4771</v>
      </c>
      <c r="F542" s="37"/>
      <c r="G542" s="37"/>
    </row>
    <row r="543" spans="1:7">
      <c r="A543" s="37"/>
      <c r="B543" s="37" t="s">
        <v>5160</v>
      </c>
      <c r="C543" s="37" t="s">
        <v>2954</v>
      </c>
      <c r="D543" s="37" t="s">
        <v>2955</v>
      </c>
      <c r="E543" s="37" t="s">
        <v>4771</v>
      </c>
      <c r="F543" s="37"/>
      <c r="G543" s="37"/>
    </row>
    <row r="544" spans="1:7">
      <c r="A544" s="37"/>
      <c r="B544" s="37" t="s">
        <v>5161</v>
      </c>
      <c r="C544" s="37" t="s">
        <v>2954</v>
      </c>
      <c r="D544" s="37" t="s">
        <v>2955</v>
      </c>
      <c r="E544" s="37" t="s">
        <v>4771</v>
      </c>
      <c r="F544" s="37"/>
      <c r="G544" s="37"/>
    </row>
    <row r="545" spans="1:7">
      <c r="A545" s="37"/>
      <c r="B545" s="37" t="s">
        <v>5162</v>
      </c>
      <c r="C545" s="37" t="s">
        <v>2954</v>
      </c>
      <c r="D545" s="37" t="s">
        <v>2955</v>
      </c>
      <c r="E545" s="37" t="s">
        <v>4771</v>
      </c>
      <c r="F545" s="37"/>
      <c r="G545" s="37"/>
    </row>
    <row r="546" spans="1:7">
      <c r="A546" s="37"/>
      <c r="B546" s="37" t="s">
        <v>5163</v>
      </c>
      <c r="C546" s="37" t="s">
        <v>2954</v>
      </c>
      <c r="D546" s="37" t="s">
        <v>2955</v>
      </c>
      <c r="E546" s="37" t="s">
        <v>4771</v>
      </c>
      <c r="F546" s="37"/>
      <c r="G546" s="37"/>
    </row>
    <row r="547" spans="1:7">
      <c r="A547" s="37"/>
      <c r="B547" s="37" t="s">
        <v>5164</v>
      </c>
      <c r="C547" s="37" t="s">
        <v>2954</v>
      </c>
      <c r="D547" s="37" t="s">
        <v>2955</v>
      </c>
      <c r="E547" s="37" t="s">
        <v>4771</v>
      </c>
      <c r="F547" s="37"/>
      <c r="G547" s="37"/>
    </row>
    <row r="548" spans="1:7">
      <c r="A548" s="37"/>
      <c r="B548" s="37" t="s">
        <v>5165</v>
      </c>
      <c r="C548" s="37" t="s">
        <v>2954</v>
      </c>
      <c r="D548" s="37" t="s">
        <v>2955</v>
      </c>
      <c r="E548" s="37" t="s">
        <v>4771</v>
      </c>
      <c r="F548" s="37"/>
      <c r="G548" s="37"/>
    </row>
    <row r="549" spans="1:7">
      <c r="A549" s="37"/>
      <c r="B549" s="37" t="s">
        <v>2974</v>
      </c>
      <c r="C549" s="37" t="s">
        <v>2969</v>
      </c>
      <c r="D549" s="37" t="s">
        <v>2970</v>
      </c>
      <c r="E549" s="37" t="s">
        <v>4771</v>
      </c>
      <c r="F549" s="37"/>
      <c r="G549" s="37"/>
    </row>
    <row r="550" spans="1:7">
      <c r="A550" s="37"/>
      <c r="B550" s="37" t="s">
        <v>5166</v>
      </c>
      <c r="C550" s="37" t="s">
        <v>2986</v>
      </c>
      <c r="D550" s="37" t="s">
        <v>2987</v>
      </c>
      <c r="E550" s="37" t="s">
        <v>4771</v>
      </c>
      <c r="F550" s="37"/>
      <c r="G550" s="37"/>
    </row>
    <row r="551" spans="1:7">
      <c r="A551" s="37"/>
      <c r="B551" s="37" t="s">
        <v>5167</v>
      </c>
      <c r="C551" s="37" t="s">
        <v>2986</v>
      </c>
      <c r="D551" s="37" t="s">
        <v>2987</v>
      </c>
      <c r="E551" s="37" t="s">
        <v>4771</v>
      </c>
      <c r="F551" s="37"/>
      <c r="G551" s="37"/>
    </row>
    <row r="552" spans="1:7">
      <c r="A552" s="37"/>
      <c r="B552" s="37" t="s">
        <v>5168</v>
      </c>
      <c r="C552" s="37" t="s">
        <v>2986</v>
      </c>
      <c r="D552" s="37" t="s">
        <v>2987</v>
      </c>
      <c r="E552" s="37" t="s">
        <v>4771</v>
      </c>
      <c r="F552" s="37"/>
      <c r="G552" s="37"/>
    </row>
    <row r="553" spans="1:7">
      <c r="A553" s="37"/>
      <c r="B553" s="37" t="s">
        <v>5169</v>
      </c>
      <c r="C553" s="37" t="s">
        <v>2986</v>
      </c>
      <c r="D553" s="37" t="s">
        <v>2987</v>
      </c>
      <c r="E553" s="37" t="s">
        <v>4771</v>
      </c>
      <c r="F553" s="37"/>
      <c r="G553" s="37"/>
    </row>
    <row r="554" spans="1:7">
      <c r="A554" s="37"/>
      <c r="B554" s="37" t="s">
        <v>5170</v>
      </c>
      <c r="C554" s="37" t="s">
        <v>2986</v>
      </c>
      <c r="D554" s="37" t="s">
        <v>2987</v>
      </c>
      <c r="E554" s="37" t="s">
        <v>4771</v>
      </c>
      <c r="F554" s="37"/>
      <c r="G554" s="37"/>
    </row>
    <row r="555" spans="1:7">
      <c r="A555" s="37"/>
      <c r="B555" s="37" t="s">
        <v>5171</v>
      </c>
      <c r="C555" s="37" t="s">
        <v>2986</v>
      </c>
      <c r="D555" s="37" t="s">
        <v>2987</v>
      </c>
      <c r="E555" s="37" t="s">
        <v>4771</v>
      </c>
      <c r="F555" s="37"/>
      <c r="G555" s="37"/>
    </row>
    <row r="556" spans="1:7">
      <c r="A556" s="37"/>
      <c r="B556" s="37" t="s">
        <v>5172</v>
      </c>
      <c r="C556" s="37" t="s">
        <v>2986</v>
      </c>
      <c r="D556" s="37" t="s">
        <v>2987</v>
      </c>
      <c r="E556" s="37" t="s">
        <v>4771</v>
      </c>
      <c r="F556" s="37"/>
      <c r="G556" s="37"/>
    </row>
    <row r="557" spans="1:7">
      <c r="A557" s="37"/>
      <c r="B557" s="37" t="s">
        <v>5173</v>
      </c>
      <c r="C557" s="37" t="s">
        <v>2986</v>
      </c>
      <c r="D557" s="37" t="s">
        <v>2987</v>
      </c>
      <c r="E557" s="37" t="s">
        <v>4771</v>
      </c>
      <c r="F557" s="37"/>
      <c r="G557" s="37"/>
    </row>
    <row r="558" spans="1:7">
      <c r="A558" s="37"/>
      <c r="B558" s="37" t="s">
        <v>5174</v>
      </c>
      <c r="C558" s="37" t="s">
        <v>2986</v>
      </c>
      <c r="D558" s="37" t="s">
        <v>2987</v>
      </c>
      <c r="E558" s="37" t="s">
        <v>4771</v>
      </c>
      <c r="F558" s="37"/>
      <c r="G558" s="37"/>
    </row>
    <row r="559" spans="1:7">
      <c r="A559" s="37"/>
      <c r="B559" s="37" t="s">
        <v>5175</v>
      </c>
      <c r="C559" s="37" t="s">
        <v>2986</v>
      </c>
      <c r="D559" s="37" t="s">
        <v>2987</v>
      </c>
      <c r="E559" s="37" t="s">
        <v>4771</v>
      </c>
      <c r="F559" s="37"/>
      <c r="G559" s="37"/>
    </row>
    <row r="560" spans="1:7">
      <c r="A560" s="37"/>
      <c r="B560" s="37" t="s">
        <v>5176</v>
      </c>
      <c r="C560" s="37" t="s">
        <v>2986</v>
      </c>
      <c r="D560" s="37" t="s">
        <v>2987</v>
      </c>
      <c r="E560" s="37" t="s">
        <v>4771</v>
      </c>
      <c r="F560" s="37"/>
      <c r="G560" s="37"/>
    </row>
    <row r="561" spans="1:7">
      <c r="A561" s="37"/>
      <c r="B561" s="37" t="s">
        <v>5177</v>
      </c>
      <c r="C561" s="37" t="s">
        <v>2986</v>
      </c>
      <c r="D561" s="37" t="s">
        <v>2987</v>
      </c>
      <c r="E561" s="37" t="s">
        <v>4771</v>
      </c>
      <c r="F561" s="37"/>
      <c r="G561" s="37"/>
    </row>
    <row r="562" spans="1:7">
      <c r="A562" s="37"/>
      <c r="B562" s="37" t="s">
        <v>5178</v>
      </c>
      <c r="C562" s="37" t="s">
        <v>2986</v>
      </c>
      <c r="D562" s="37" t="s">
        <v>2987</v>
      </c>
      <c r="E562" s="37" t="s">
        <v>4771</v>
      </c>
      <c r="F562" s="37"/>
      <c r="G562" s="37"/>
    </row>
    <row r="563" spans="1:7">
      <c r="A563" s="37"/>
      <c r="B563" s="37" t="s">
        <v>5179</v>
      </c>
      <c r="C563" s="37" t="s">
        <v>3001</v>
      </c>
      <c r="D563" s="37" t="s">
        <v>3002</v>
      </c>
      <c r="E563" s="37" t="s">
        <v>4771</v>
      </c>
      <c r="F563" s="37"/>
      <c r="G563" s="37"/>
    </row>
    <row r="564" spans="1:7">
      <c r="A564" s="37"/>
      <c r="B564" s="37" t="s">
        <v>5180</v>
      </c>
      <c r="C564" s="37" t="s">
        <v>3001</v>
      </c>
      <c r="D564" s="37" t="s">
        <v>3002</v>
      </c>
      <c r="E564" s="37" t="s">
        <v>4771</v>
      </c>
      <c r="F564" s="37"/>
      <c r="G564" s="37"/>
    </row>
    <row r="565" spans="1:7">
      <c r="A565" s="37"/>
      <c r="B565" s="37" t="s">
        <v>5181</v>
      </c>
      <c r="C565" s="37" t="s">
        <v>3001</v>
      </c>
      <c r="D565" s="37" t="s">
        <v>3002</v>
      </c>
      <c r="E565" s="37" t="s">
        <v>4771</v>
      </c>
      <c r="F565" s="37"/>
      <c r="G565" s="37"/>
    </row>
    <row r="566" spans="1:7">
      <c r="A566" s="37"/>
      <c r="B566" s="37" t="s">
        <v>5182</v>
      </c>
      <c r="C566" s="37" t="s">
        <v>3001</v>
      </c>
      <c r="D566" s="37" t="s">
        <v>3002</v>
      </c>
      <c r="E566" s="37" t="s">
        <v>4771</v>
      </c>
      <c r="F566" s="37"/>
      <c r="G566" s="37"/>
    </row>
    <row r="567" spans="1:7">
      <c r="A567" s="37"/>
      <c r="B567" s="37" t="s">
        <v>3020</v>
      </c>
      <c r="C567" s="37" t="s">
        <v>3016</v>
      </c>
      <c r="D567" s="37" t="s">
        <v>3017</v>
      </c>
      <c r="E567" s="37" t="s">
        <v>4771</v>
      </c>
      <c r="F567" s="37"/>
      <c r="G567" s="37"/>
    </row>
    <row r="568" spans="1:7">
      <c r="A568" s="37"/>
      <c r="B568" s="37" t="s">
        <v>5183</v>
      </c>
      <c r="C568" s="37" t="s">
        <v>3029</v>
      </c>
      <c r="D568" s="37" t="s">
        <v>3030</v>
      </c>
      <c r="E568" s="37" t="s">
        <v>4771</v>
      </c>
      <c r="F568" s="37"/>
      <c r="G568" s="37"/>
    </row>
    <row r="569" spans="1:7">
      <c r="A569" s="37"/>
      <c r="B569" s="37" t="s">
        <v>5184</v>
      </c>
      <c r="C569" s="37" t="s">
        <v>3029</v>
      </c>
      <c r="D569" s="37" t="s">
        <v>3030</v>
      </c>
      <c r="E569" s="37" t="s">
        <v>4771</v>
      </c>
      <c r="F569" s="37"/>
      <c r="G569" s="37"/>
    </row>
    <row r="570" spans="1:7">
      <c r="A570" s="37"/>
      <c r="B570" s="37" t="s">
        <v>5185</v>
      </c>
      <c r="C570" s="37" t="s">
        <v>3029</v>
      </c>
      <c r="D570" s="37" t="s">
        <v>3030</v>
      </c>
      <c r="E570" s="37" t="s">
        <v>4771</v>
      </c>
      <c r="F570" s="37"/>
      <c r="G570" s="37"/>
    </row>
    <row r="571" spans="1:7">
      <c r="A571" s="37"/>
      <c r="B571" s="37" t="s">
        <v>5186</v>
      </c>
      <c r="C571" s="37" t="s">
        <v>3029</v>
      </c>
      <c r="D571" s="37" t="s">
        <v>3030</v>
      </c>
      <c r="E571" s="37" t="s">
        <v>4771</v>
      </c>
      <c r="F571" s="37"/>
      <c r="G571" s="37"/>
    </row>
    <row r="572" spans="1:7">
      <c r="A572" s="37"/>
      <c r="B572" s="37" t="s">
        <v>5187</v>
      </c>
      <c r="C572" s="37" t="s">
        <v>3029</v>
      </c>
      <c r="D572" s="37" t="s">
        <v>3030</v>
      </c>
      <c r="E572" s="37" t="s">
        <v>4771</v>
      </c>
      <c r="F572" s="37"/>
      <c r="G572" s="37"/>
    </row>
    <row r="573" spans="1:7">
      <c r="A573" s="37"/>
      <c r="B573" s="37" t="s">
        <v>5188</v>
      </c>
      <c r="C573" s="37" t="s">
        <v>3029</v>
      </c>
      <c r="D573" s="37" t="s">
        <v>3030</v>
      </c>
      <c r="E573" s="37" t="s">
        <v>4771</v>
      </c>
      <c r="F573" s="37"/>
      <c r="G573" s="37"/>
    </row>
    <row r="574" spans="1:7">
      <c r="A574" s="37"/>
      <c r="B574" s="37" t="s">
        <v>5189</v>
      </c>
      <c r="C574" s="37" t="s">
        <v>3029</v>
      </c>
      <c r="D574" s="37" t="s">
        <v>3030</v>
      </c>
      <c r="E574" s="37" t="s">
        <v>4771</v>
      </c>
      <c r="F574" s="37"/>
      <c r="G574" s="37"/>
    </row>
    <row r="575" spans="1:7">
      <c r="A575" s="37"/>
      <c r="B575" s="37" t="s">
        <v>5190</v>
      </c>
      <c r="C575" s="37" t="s">
        <v>3029</v>
      </c>
      <c r="D575" s="37" t="s">
        <v>3030</v>
      </c>
      <c r="E575" s="37" t="s">
        <v>4771</v>
      </c>
      <c r="F575" s="37"/>
      <c r="G575" s="37"/>
    </row>
    <row r="576" spans="1:7">
      <c r="A576" s="37"/>
      <c r="B576" s="37" t="s">
        <v>5191</v>
      </c>
      <c r="C576" s="37" t="s">
        <v>3029</v>
      </c>
      <c r="D576" s="37" t="s">
        <v>3030</v>
      </c>
      <c r="E576" s="37" t="s">
        <v>4771</v>
      </c>
      <c r="F576" s="37"/>
      <c r="G576" s="37"/>
    </row>
    <row r="577" spans="1:7">
      <c r="A577" s="37"/>
      <c r="B577" s="37" t="s">
        <v>5192</v>
      </c>
      <c r="C577" s="37" t="s">
        <v>3029</v>
      </c>
      <c r="D577" s="37" t="s">
        <v>3030</v>
      </c>
      <c r="E577" s="37" t="s">
        <v>4771</v>
      </c>
      <c r="F577" s="37"/>
      <c r="G577" s="37"/>
    </row>
    <row r="578" spans="1:7">
      <c r="A578" s="37"/>
      <c r="B578" s="37" t="s">
        <v>5193</v>
      </c>
      <c r="C578" s="37" t="s">
        <v>3029</v>
      </c>
      <c r="D578" s="37" t="s">
        <v>3030</v>
      </c>
      <c r="E578" s="37" t="s">
        <v>4771</v>
      </c>
      <c r="F578" s="37"/>
      <c r="G578" s="37"/>
    </row>
    <row r="579" spans="1:7">
      <c r="A579" s="37"/>
      <c r="B579" s="37" t="s">
        <v>5194</v>
      </c>
      <c r="C579" s="37" t="s">
        <v>3029</v>
      </c>
      <c r="D579" s="37" t="s">
        <v>3030</v>
      </c>
      <c r="E579" s="37" t="s">
        <v>4771</v>
      </c>
      <c r="F579" s="37"/>
      <c r="G579" s="37"/>
    </row>
    <row r="580" spans="1:7">
      <c r="A580" s="37"/>
      <c r="B580" s="37" t="s">
        <v>5195</v>
      </c>
      <c r="C580" s="37" t="s">
        <v>3029</v>
      </c>
      <c r="D580" s="37" t="s">
        <v>3030</v>
      </c>
      <c r="E580" s="37" t="s">
        <v>4771</v>
      </c>
      <c r="F580" s="37"/>
      <c r="G580" s="37"/>
    </row>
    <row r="581" spans="1:7">
      <c r="A581" s="37"/>
      <c r="B581" s="37" t="s">
        <v>5196</v>
      </c>
      <c r="C581" s="37" t="s">
        <v>3029</v>
      </c>
      <c r="D581" s="37" t="s">
        <v>3030</v>
      </c>
      <c r="E581" s="37" t="s">
        <v>4771</v>
      </c>
      <c r="F581" s="37"/>
      <c r="G581" s="37"/>
    </row>
    <row r="582" spans="1:7">
      <c r="A582" s="37"/>
      <c r="B582" s="37" t="s">
        <v>5197</v>
      </c>
      <c r="C582" s="37" t="s">
        <v>3029</v>
      </c>
      <c r="D582" s="37" t="s">
        <v>3030</v>
      </c>
      <c r="E582" s="37" t="s">
        <v>4771</v>
      </c>
      <c r="F582" s="37"/>
      <c r="G582" s="37"/>
    </row>
    <row r="583" spans="1:7">
      <c r="A583" s="37"/>
      <c r="B583" s="37" t="s">
        <v>5198</v>
      </c>
      <c r="C583" s="37" t="s">
        <v>3029</v>
      </c>
      <c r="D583" s="37" t="s">
        <v>3030</v>
      </c>
      <c r="E583" s="37" t="s">
        <v>4771</v>
      </c>
      <c r="F583" s="37"/>
      <c r="G583" s="37"/>
    </row>
    <row r="584" spans="1:7">
      <c r="A584" s="37"/>
      <c r="B584" s="37" t="s">
        <v>5199</v>
      </c>
      <c r="C584" s="37" t="s">
        <v>3029</v>
      </c>
      <c r="D584" s="37" t="s">
        <v>3030</v>
      </c>
      <c r="E584" s="37" t="s">
        <v>4771</v>
      </c>
      <c r="F584" s="37"/>
      <c r="G584" s="37"/>
    </row>
    <row r="585" spans="1:7">
      <c r="A585" s="37"/>
      <c r="B585" s="37" t="s">
        <v>5200</v>
      </c>
      <c r="C585" s="37" t="s">
        <v>3029</v>
      </c>
      <c r="D585" s="37" t="s">
        <v>3030</v>
      </c>
      <c r="E585" s="37" t="s">
        <v>4771</v>
      </c>
      <c r="F585" s="37"/>
      <c r="G585" s="37"/>
    </row>
    <row r="586" spans="1:7">
      <c r="A586" s="37"/>
      <c r="B586" s="37" t="s">
        <v>5201</v>
      </c>
      <c r="C586" s="37" t="s">
        <v>3029</v>
      </c>
      <c r="D586" s="37" t="s">
        <v>3030</v>
      </c>
      <c r="E586" s="37" t="s">
        <v>4771</v>
      </c>
      <c r="F586" s="37"/>
      <c r="G586" s="37"/>
    </row>
    <row r="587" spans="1:7">
      <c r="A587" s="37"/>
      <c r="B587" s="37" t="s">
        <v>5202</v>
      </c>
      <c r="C587" s="37" t="s">
        <v>3029</v>
      </c>
      <c r="D587" s="37" t="s">
        <v>3030</v>
      </c>
      <c r="E587" s="37" t="s">
        <v>4771</v>
      </c>
      <c r="F587" s="37"/>
      <c r="G587" s="37"/>
    </row>
    <row r="588" spans="1:7">
      <c r="A588" s="37"/>
      <c r="B588" s="37" t="s">
        <v>5203</v>
      </c>
      <c r="C588" s="37" t="s">
        <v>3029</v>
      </c>
      <c r="D588" s="37" t="s">
        <v>3030</v>
      </c>
      <c r="E588" s="37" t="s">
        <v>4771</v>
      </c>
      <c r="F588" s="37"/>
      <c r="G588" s="37"/>
    </row>
    <row r="589" spans="1:7">
      <c r="A589" s="37"/>
      <c r="B589" s="37" t="s">
        <v>5204</v>
      </c>
      <c r="C589" s="37" t="s">
        <v>3029</v>
      </c>
      <c r="D589" s="37" t="s">
        <v>3030</v>
      </c>
      <c r="E589" s="37" t="s">
        <v>4771</v>
      </c>
      <c r="F589" s="37"/>
      <c r="G589" s="37"/>
    </row>
    <row r="590" spans="1:7">
      <c r="A590" s="37"/>
      <c r="B590" s="37" t="s">
        <v>5205</v>
      </c>
      <c r="C590" s="37" t="s">
        <v>3029</v>
      </c>
      <c r="D590" s="37" t="s">
        <v>3030</v>
      </c>
      <c r="E590" s="37" t="s">
        <v>4771</v>
      </c>
      <c r="F590" s="37"/>
      <c r="G590" s="37"/>
    </row>
    <row r="591" spans="1:7">
      <c r="A591" s="37"/>
      <c r="B591" s="37" t="s">
        <v>5206</v>
      </c>
      <c r="C591" s="37" t="s">
        <v>3029</v>
      </c>
      <c r="D591" s="37" t="s">
        <v>3030</v>
      </c>
      <c r="E591" s="37" t="s">
        <v>4771</v>
      </c>
      <c r="F591" s="37"/>
      <c r="G591" s="37"/>
    </row>
    <row r="592" spans="1:7">
      <c r="A592" s="37"/>
      <c r="B592" s="37" t="s">
        <v>5207</v>
      </c>
      <c r="C592" s="37" t="s">
        <v>3029</v>
      </c>
      <c r="D592" s="37" t="s">
        <v>3030</v>
      </c>
      <c r="E592" s="37" t="s">
        <v>4771</v>
      </c>
      <c r="F592" s="37"/>
      <c r="G592" s="37"/>
    </row>
    <row r="593" spans="1:7">
      <c r="A593" s="37"/>
      <c r="B593" s="37" t="s">
        <v>5208</v>
      </c>
      <c r="C593" s="37" t="s">
        <v>3029</v>
      </c>
      <c r="D593" s="37" t="s">
        <v>3030</v>
      </c>
      <c r="E593" s="37" t="s">
        <v>4771</v>
      </c>
      <c r="F593" s="37"/>
      <c r="G593" s="37"/>
    </row>
    <row r="594" spans="1:7">
      <c r="A594" s="37"/>
      <c r="B594" s="37" t="s">
        <v>5209</v>
      </c>
      <c r="C594" s="37" t="s">
        <v>3029</v>
      </c>
      <c r="D594" s="37" t="s">
        <v>3030</v>
      </c>
      <c r="E594" s="37" t="s">
        <v>4771</v>
      </c>
      <c r="F594" s="37"/>
      <c r="G594" s="37"/>
    </row>
    <row r="595" spans="1:7">
      <c r="A595" s="37"/>
      <c r="B595" s="37" t="s">
        <v>5210</v>
      </c>
      <c r="C595" s="37" t="s">
        <v>3029</v>
      </c>
      <c r="D595" s="37" t="s">
        <v>3030</v>
      </c>
      <c r="E595" s="37" t="s">
        <v>4771</v>
      </c>
      <c r="F595" s="37"/>
      <c r="G595" s="37"/>
    </row>
    <row r="596" spans="1:7">
      <c r="A596" s="37"/>
      <c r="B596" s="37" t="s">
        <v>5211</v>
      </c>
      <c r="C596" s="37" t="s">
        <v>3029</v>
      </c>
      <c r="D596" s="37" t="s">
        <v>3030</v>
      </c>
      <c r="E596" s="37" t="s">
        <v>4771</v>
      </c>
      <c r="F596" s="37"/>
      <c r="G596" s="37"/>
    </row>
    <row r="597" spans="1:7">
      <c r="A597" s="37"/>
      <c r="B597" s="37" t="s">
        <v>5212</v>
      </c>
      <c r="C597" s="37" t="s">
        <v>3029</v>
      </c>
      <c r="D597" s="37" t="s">
        <v>3030</v>
      </c>
      <c r="E597" s="37" t="s">
        <v>4771</v>
      </c>
      <c r="F597" s="37"/>
      <c r="G597" s="37"/>
    </row>
    <row r="598" spans="1:7">
      <c r="A598" s="37"/>
      <c r="B598" s="37" t="s">
        <v>5213</v>
      </c>
      <c r="C598" s="37" t="s">
        <v>3029</v>
      </c>
      <c r="D598" s="37" t="s">
        <v>3030</v>
      </c>
      <c r="E598" s="37" t="s">
        <v>4771</v>
      </c>
      <c r="F598" s="37"/>
      <c r="G598" s="37"/>
    </row>
    <row r="599" spans="1:7">
      <c r="A599" s="37"/>
      <c r="B599" s="37" t="s">
        <v>5214</v>
      </c>
      <c r="C599" s="37" t="s">
        <v>3029</v>
      </c>
      <c r="D599" s="37" t="s">
        <v>3030</v>
      </c>
      <c r="E599" s="37" t="s">
        <v>4771</v>
      </c>
      <c r="F599" s="37"/>
      <c r="G599" s="37"/>
    </row>
    <row r="600" spans="1:7">
      <c r="A600" s="37"/>
      <c r="B600" s="37" t="s">
        <v>5215</v>
      </c>
      <c r="C600" s="37" t="s">
        <v>3029</v>
      </c>
      <c r="D600" s="37" t="s">
        <v>3030</v>
      </c>
      <c r="E600" s="37" t="s">
        <v>4771</v>
      </c>
      <c r="F600" s="37"/>
      <c r="G600" s="37"/>
    </row>
    <row r="601" spans="1:7">
      <c r="A601" s="37"/>
      <c r="B601" s="37" t="s">
        <v>5216</v>
      </c>
      <c r="C601" s="37" t="s">
        <v>3029</v>
      </c>
      <c r="D601" s="37" t="s">
        <v>3030</v>
      </c>
      <c r="E601" s="37" t="s">
        <v>4771</v>
      </c>
      <c r="F601" s="37"/>
      <c r="G601" s="37"/>
    </row>
    <row r="602" spans="1:7">
      <c r="A602" s="37"/>
      <c r="B602" s="37" t="s">
        <v>5217</v>
      </c>
      <c r="C602" s="37" t="s">
        <v>3029</v>
      </c>
      <c r="D602" s="37" t="s">
        <v>3030</v>
      </c>
      <c r="E602" s="37" t="s">
        <v>4771</v>
      </c>
      <c r="F602" s="37"/>
      <c r="G602" s="37"/>
    </row>
    <row r="603" spans="1:7">
      <c r="A603" s="37"/>
      <c r="B603" s="37" t="s">
        <v>5218</v>
      </c>
      <c r="C603" s="37" t="s">
        <v>3029</v>
      </c>
      <c r="D603" s="37" t="s">
        <v>3030</v>
      </c>
      <c r="E603" s="37" t="s">
        <v>4771</v>
      </c>
      <c r="F603" s="37"/>
      <c r="G603" s="37"/>
    </row>
    <row r="604" spans="1:7">
      <c r="A604" s="37"/>
      <c r="B604" s="37" t="s">
        <v>5219</v>
      </c>
      <c r="C604" s="37" t="s">
        <v>3029</v>
      </c>
      <c r="D604" s="37" t="s">
        <v>3030</v>
      </c>
      <c r="E604" s="37" t="s">
        <v>4771</v>
      </c>
      <c r="F604" s="37"/>
      <c r="G604" s="37"/>
    </row>
    <row r="605" spans="1:7">
      <c r="A605" s="37"/>
      <c r="B605" s="37" t="s">
        <v>5220</v>
      </c>
      <c r="C605" s="37" t="s">
        <v>3029</v>
      </c>
      <c r="D605" s="37" t="s">
        <v>3030</v>
      </c>
      <c r="E605" s="37" t="s">
        <v>4771</v>
      </c>
      <c r="F605" s="37"/>
      <c r="G605" s="37"/>
    </row>
    <row r="606" spans="1:7">
      <c r="A606" s="37"/>
      <c r="B606" s="37" t="s">
        <v>5221</v>
      </c>
      <c r="C606" s="37" t="s">
        <v>3029</v>
      </c>
      <c r="D606" s="37" t="s">
        <v>3030</v>
      </c>
      <c r="E606" s="37" t="s">
        <v>4771</v>
      </c>
      <c r="F606" s="37"/>
      <c r="G606" s="37"/>
    </row>
    <row r="607" spans="1:7">
      <c r="A607" s="37"/>
      <c r="B607" s="37" t="s">
        <v>5222</v>
      </c>
      <c r="C607" s="37" t="s">
        <v>3029</v>
      </c>
      <c r="D607" s="37" t="s">
        <v>3030</v>
      </c>
      <c r="E607" s="37" t="s">
        <v>4771</v>
      </c>
      <c r="F607" s="37"/>
      <c r="G607" s="37"/>
    </row>
    <row r="608" spans="1:7">
      <c r="A608" s="37"/>
      <c r="B608" s="37" t="s">
        <v>5223</v>
      </c>
      <c r="C608" s="37" t="s">
        <v>3029</v>
      </c>
      <c r="D608" s="37" t="s">
        <v>3030</v>
      </c>
      <c r="E608" s="37" t="s">
        <v>4771</v>
      </c>
      <c r="F608" s="37"/>
      <c r="G608" s="37"/>
    </row>
    <row r="609" spans="1:7">
      <c r="A609" s="37"/>
      <c r="B609" s="37" t="s">
        <v>5224</v>
      </c>
      <c r="C609" s="37" t="s">
        <v>3029</v>
      </c>
      <c r="D609" s="37" t="s">
        <v>3030</v>
      </c>
      <c r="E609" s="37" t="s">
        <v>4771</v>
      </c>
      <c r="F609" s="37"/>
      <c r="G609" s="37"/>
    </row>
    <row r="610" spans="1:7">
      <c r="A610" s="37"/>
      <c r="B610" s="37" t="s">
        <v>5225</v>
      </c>
      <c r="C610" s="37" t="s">
        <v>3029</v>
      </c>
      <c r="D610" s="37" t="s">
        <v>3030</v>
      </c>
      <c r="E610" s="37" t="s">
        <v>4771</v>
      </c>
      <c r="F610" s="37"/>
      <c r="G610" s="37"/>
    </row>
    <row r="611" spans="1:7">
      <c r="A611" s="37"/>
      <c r="B611" s="37" t="s">
        <v>5226</v>
      </c>
      <c r="C611" s="37" t="s">
        <v>3029</v>
      </c>
      <c r="D611" s="37" t="s">
        <v>3030</v>
      </c>
      <c r="E611" s="37" t="s">
        <v>4771</v>
      </c>
      <c r="F611" s="37"/>
      <c r="G611" s="37"/>
    </row>
    <row r="612" spans="1:7">
      <c r="A612" s="37"/>
      <c r="B612" s="37" t="s">
        <v>5227</v>
      </c>
      <c r="C612" s="37" t="s">
        <v>3029</v>
      </c>
      <c r="D612" s="37" t="s">
        <v>3030</v>
      </c>
      <c r="E612" s="37" t="s">
        <v>4771</v>
      </c>
      <c r="F612" s="37"/>
      <c r="G612" s="37"/>
    </row>
    <row r="613" spans="1:7">
      <c r="A613" s="37"/>
      <c r="B613" s="37" t="s">
        <v>5228</v>
      </c>
      <c r="C613" s="37" t="s">
        <v>3029</v>
      </c>
      <c r="D613" s="37" t="s">
        <v>3030</v>
      </c>
      <c r="E613" s="37" t="s">
        <v>4771</v>
      </c>
      <c r="F613" s="37"/>
      <c r="G613" s="37"/>
    </row>
    <row r="614" spans="1:7">
      <c r="A614" s="37"/>
      <c r="B614" s="37" t="s">
        <v>5229</v>
      </c>
      <c r="C614" s="37" t="s">
        <v>3029</v>
      </c>
      <c r="D614" s="37" t="s">
        <v>3030</v>
      </c>
      <c r="E614" s="37" t="s">
        <v>4771</v>
      </c>
      <c r="F614" s="37"/>
      <c r="G614" s="37"/>
    </row>
    <row r="615" spans="1:7">
      <c r="A615" s="37"/>
      <c r="B615" s="37" t="s">
        <v>5230</v>
      </c>
      <c r="C615" s="37" t="s">
        <v>3029</v>
      </c>
      <c r="D615" s="37" t="s">
        <v>3030</v>
      </c>
      <c r="E615" s="37" t="s">
        <v>4771</v>
      </c>
      <c r="F615" s="37"/>
      <c r="G615" s="37"/>
    </row>
    <row r="616" spans="1:7">
      <c r="A616" s="37"/>
      <c r="B616" s="37" t="s">
        <v>5231</v>
      </c>
      <c r="C616" s="37" t="s">
        <v>3029</v>
      </c>
      <c r="D616" s="37" t="s">
        <v>3030</v>
      </c>
      <c r="E616" s="37" t="s">
        <v>4771</v>
      </c>
      <c r="F616" s="37"/>
      <c r="G616" s="37"/>
    </row>
    <row r="617" spans="1:7">
      <c r="A617" s="37"/>
      <c r="B617" s="37" t="s">
        <v>5232</v>
      </c>
      <c r="C617" s="37" t="s">
        <v>3029</v>
      </c>
      <c r="D617" s="37" t="s">
        <v>3030</v>
      </c>
      <c r="E617" s="37" t="s">
        <v>4771</v>
      </c>
      <c r="F617" s="37"/>
      <c r="G617" s="37"/>
    </row>
    <row r="618" spans="1:7">
      <c r="A618" s="37"/>
      <c r="B618" s="37" t="s">
        <v>5233</v>
      </c>
      <c r="C618" s="37" t="s">
        <v>3029</v>
      </c>
      <c r="D618" s="37" t="s">
        <v>3030</v>
      </c>
      <c r="E618" s="37" t="s">
        <v>4771</v>
      </c>
      <c r="F618" s="37"/>
      <c r="G618" s="37"/>
    </row>
    <row r="619" spans="1:7">
      <c r="A619" s="37"/>
      <c r="B619" s="37" t="s">
        <v>5234</v>
      </c>
      <c r="C619" s="37" t="s">
        <v>3029</v>
      </c>
      <c r="D619" s="37" t="s">
        <v>3030</v>
      </c>
      <c r="E619" s="37" t="s">
        <v>4771</v>
      </c>
      <c r="F619" s="37"/>
      <c r="G619" s="37"/>
    </row>
    <row r="620" spans="1:7">
      <c r="A620" s="37"/>
      <c r="B620" s="37" t="s">
        <v>5235</v>
      </c>
      <c r="C620" s="37" t="s">
        <v>3029</v>
      </c>
      <c r="D620" s="37" t="s">
        <v>3030</v>
      </c>
      <c r="E620" s="37" t="s">
        <v>4771</v>
      </c>
      <c r="F620" s="37"/>
      <c r="G620" s="37"/>
    </row>
    <row r="621" spans="1:7">
      <c r="A621" s="37"/>
      <c r="B621" s="37" t="s">
        <v>5236</v>
      </c>
      <c r="C621" s="37" t="s">
        <v>3029</v>
      </c>
      <c r="D621" s="37" t="s">
        <v>3030</v>
      </c>
      <c r="E621" s="37" t="s">
        <v>4771</v>
      </c>
      <c r="F621" s="37"/>
      <c r="G621" s="37"/>
    </row>
    <row r="622" spans="1:7">
      <c r="A622" s="37"/>
      <c r="B622" s="37" t="s">
        <v>5237</v>
      </c>
      <c r="C622" s="37" t="s">
        <v>3029</v>
      </c>
      <c r="D622" s="37" t="s">
        <v>3030</v>
      </c>
      <c r="E622" s="37" t="s">
        <v>4771</v>
      </c>
      <c r="F622" s="37"/>
      <c r="G622" s="37"/>
    </row>
    <row r="623" spans="1:7">
      <c r="A623" s="37"/>
      <c r="B623" s="37" t="s">
        <v>5238</v>
      </c>
      <c r="C623" s="37" t="s">
        <v>3029</v>
      </c>
      <c r="D623" s="37" t="s">
        <v>3030</v>
      </c>
      <c r="E623" s="37" t="s">
        <v>4771</v>
      </c>
      <c r="F623" s="37"/>
      <c r="G623" s="37"/>
    </row>
    <row r="624" spans="1:7">
      <c r="A624" s="37"/>
      <c r="B624" s="37" t="s">
        <v>5239</v>
      </c>
      <c r="C624" s="37" t="s">
        <v>3029</v>
      </c>
      <c r="D624" s="37" t="s">
        <v>3030</v>
      </c>
      <c r="E624" s="37" t="s">
        <v>4771</v>
      </c>
      <c r="F624" s="37"/>
      <c r="G624" s="37"/>
    </row>
    <row r="625" spans="1:7">
      <c r="A625" s="37"/>
      <c r="B625" s="37" t="s">
        <v>5240</v>
      </c>
      <c r="C625" s="37" t="s">
        <v>3029</v>
      </c>
      <c r="D625" s="37" t="s">
        <v>3030</v>
      </c>
      <c r="E625" s="37" t="s">
        <v>4771</v>
      </c>
      <c r="F625" s="37"/>
      <c r="G625" s="37"/>
    </row>
    <row r="626" spans="1:7">
      <c r="A626" s="37"/>
      <c r="B626" s="37" t="s">
        <v>5241</v>
      </c>
      <c r="C626" s="37" t="s">
        <v>3029</v>
      </c>
      <c r="D626" s="37" t="s">
        <v>3030</v>
      </c>
      <c r="E626" s="37" t="s">
        <v>4771</v>
      </c>
      <c r="F626" s="37"/>
      <c r="G626" s="37"/>
    </row>
    <row r="627" spans="1:7">
      <c r="A627" s="37"/>
      <c r="B627" s="37" t="s">
        <v>5242</v>
      </c>
      <c r="C627" s="37" t="s">
        <v>3029</v>
      </c>
      <c r="D627" s="37" t="s">
        <v>3030</v>
      </c>
      <c r="E627" s="37" t="s">
        <v>4771</v>
      </c>
      <c r="F627" s="37"/>
      <c r="G627" s="37"/>
    </row>
    <row r="628" spans="1:7">
      <c r="A628" s="37"/>
      <c r="B628" s="37" t="s">
        <v>5243</v>
      </c>
      <c r="C628" s="37" t="s">
        <v>3029</v>
      </c>
      <c r="D628" s="37" t="s">
        <v>3030</v>
      </c>
      <c r="E628" s="37" t="s">
        <v>4771</v>
      </c>
      <c r="F628" s="37"/>
      <c r="G628" s="37"/>
    </row>
    <row r="629" spans="1:7">
      <c r="A629" s="37"/>
      <c r="B629" s="37" t="s">
        <v>5244</v>
      </c>
      <c r="C629" s="37" t="s">
        <v>3029</v>
      </c>
      <c r="D629" s="37" t="s">
        <v>3030</v>
      </c>
      <c r="E629" s="37" t="s">
        <v>4771</v>
      </c>
      <c r="F629" s="37"/>
      <c r="G629" s="37"/>
    </row>
    <row r="630" spans="1:7">
      <c r="A630" s="37"/>
      <c r="B630" s="37" t="s">
        <v>5245</v>
      </c>
      <c r="C630" s="37" t="s">
        <v>3029</v>
      </c>
      <c r="D630" s="37" t="s">
        <v>3030</v>
      </c>
      <c r="E630" s="37" t="s">
        <v>4771</v>
      </c>
      <c r="F630" s="37"/>
      <c r="G630" s="37"/>
    </row>
    <row r="631" spans="1:7">
      <c r="A631" s="37"/>
      <c r="B631" s="37" t="s">
        <v>5246</v>
      </c>
      <c r="C631" s="37" t="s">
        <v>3029</v>
      </c>
      <c r="D631" s="37" t="s">
        <v>3030</v>
      </c>
      <c r="E631" s="37" t="s">
        <v>4771</v>
      </c>
      <c r="F631" s="37"/>
      <c r="G631" s="37"/>
    </row>
    <row r="632" spans="1:7">
      <c r="A632" s="37"/>
      <c r="B632" s="37" t="s">
        <v>5247</v>
      </c>
      <c r="C632" s="37" t="s">
        <v>3029</v>
      </c>
      <c r="D632" s="37" t="s">
        <v>3030</v>
      </c>
      <c r="E632" s="37" t="s">
        <v>4771</v>
      </c>
      <c r="F632" s="37"/>
      <c r="G632" s="37"/>
    </row>
    <row r="633" spans="1:7">
      <c r="A633" s="37"/>
      <c r="B633" s="37" t="s">
        <v>5248</v>
      </c>
      <c r="C633" s="37" t="s">
        <v>3029</v>
      </c>
      <c r="D633" s="37" t="s">
        <v>3030</v>
      </c>
      <c r="E633" s="37" t="s">
        <v>4771</v>
      </c>
      <c r="F633" s="37"/>
      <c r="G633" s="37"/>
    </row>
    <row r="634" spans="1:7">
      <c r="A634" s="37"/>
      <c r="B634" s="37" t="s">
        <v>5249</v>
      </c>
      <c r="C634" s="37" t="s">
        <v>3029</v>
      </c>
      <c r="D634" s="37" t="s">
        <v>3030</v>
      </c>
      <c r="E634" s="37" t="s">
        <v>4771</v>
      </c>
      <c r="F634" s="37"/>
      <c r="G634" s="37"/>
    </row>
    <row r="635" spans="1:7">
      <c r="A635" s="37"/>
      <c r="B635" s="37" t="s">
        <v>5250</v>
      </c>
      <c r="C635" s="37" t="s">
        <v>3029</v>
      </c>
      <c r="D635" s="37" t="s">
        <v>3030</v>
      </c>
      <c r="E635" s="37" t="s">
        <v>4771</v>
      </c>
      <c r="F635" s="37"/>
      <c r="G635" s="37"/>
    </row>
    <row r="636" spans="1:7">
      <c r="A636" s="37"/>
      <c r="B636" s="37" t="s">
        <v>5251</v>
      </c>
      <c r="C636" s="37" t="s">
        <v>3029</v>
      </c>
      <c r="D636" s="37" t="s">
        <v>3030</v>
      </c>
      <c r="E636" s="37" t="s">
        <v>4771</v>
      </c>
      <c r="F636" s="37"/>
      <c r="G636" s="37"/>
    </row>
    <row r="637" spans="1:7">
      <c r="A637" s="37"/>
      <c r="B637" s="37" t="s">
        <v>5252</v>
      </c>
      <c r="C637" s="37" t="s">
        <v>3029</v>
      </c>
      <c r="D637" s="37" t="s">
        <v>3030</v>
      </c>
      <c r="E637" s="37" t="s">
        <v>4771</v>
      </c>
      <c r="F637" s="37"/>
      <c r="G637" s="37"/>
    </row>
    <row r="638" spans="1:7">
      <c r="A638" s="37"/>
      <c r="B638" s="37" t="s">
        <v>5253</v>
      </c>
      <c r="C638" s="37" t="s">
        <v>3029</v>
      </c>
      <c r="D638" s="37" t="s">
        <v>3030</v>
      </c>
      <c r="E638" s="37" t="s">
        <v>4771</v>
      </c>
      <c r="F638" s="37"/>
      <c r="G638" s="37"/>
    </row>
    <row r="639" spans="1:7">
      <c r="A639" s="37"/>
      <c r="B639" s="37" t="s">
        <v>5254</v>
      </c>
      <c r="C639" s="37" t="s">
        <v>3029</v>
      </c>
      <c r="D639" s="37" t="s">
        <v>3030</v>
      </c>
      <c r="E639" s="37" t="s">
        <v>4771</v>
      </c>
      <c r="F639" s="37"/>
      <c r="G639" s="37"/>
    </row>
    <row r="640" spans="1:7">
      <c r="A640" s="37"/>
      <c r="B640" s="37" t="s">
        <v>5255</v>
      </c>
      <c r="C640" s="37" t="s">
        <v>3029</v>
      </c>
      <c r="D640" s="37" t="s">
        <v>3030</v>
      </c>
      <c r="E640" s="37" t="s">
        <v>4771</v>
      </c>
      <c r="F640" s="37"/>
      <c r="G640" s="37"/>
    </row>
    <row r="641" spans="1:7">
      <c r="A641" s="37"/>
      <c r="B641" s="37" t="s">
        <v>5256</v>
      </c>
      <c r="C641" s="37" t="s">
        <v>3029</v>
      </c>
      <c r="D641" s="37" t="s">
        <v>3030</v>
      </c>
      <c r="E641" s="37" t="s">
        <v>4771</v>
      </c>
      <c r="F641" s="37"/>
      <c r="G641" s="37"/>
    </row>
    <row r="642" spans="1:7">
      <c r="A642" s="37"/>
      <c r="B642" s="37" t="s">
        <v>5257</v>
      </c>
      <c r="C642" s="37" t="s">
        <v>3029</v>
      </c>
      <c r="D642" s="37" t="s">
        <v>3030</v>
      </c>
      <c r="E642" s="37" t="s">
        <v>4771</v>
      </c>
      <c r="F642" s="37"/>
      <c r="G642" s="37"/>
    </row>
    <row r="643" spans="1:7">
      <c r="A643" s="37"/>
      <c r="B643" s="37" t="s">
        <v>5258</v>
      </c>
      <c r="C643" s="37" t="s">
        <v>3029</v>
      </c>
      <c r="D643" s="37" t="s">
        <v>3030</v>
      </c>
      <c r="E643" s="37" t="s">
        <v>4771</v>
      </c>
      <c r="F643" s="37"/>
      <c r="G643" s="37"/>
    </row>
    <row r="644" spans="1:7">
      <c r="A644" s="37"/>
      <c r="B644" s="37" t="s">
        <v>5259</v>
      </c>
      <c r="C644" s="37" t="s">
        <v>3029</v>
      </c>
      <c r="D644" s="37" t="s">
        <v>3030</v>
      </c>
      <c r="E644" s="37" t="s">
        <v>4771</v>
      </c>
      <c r="F644" s="37"/>
      <c r="G644" s="37"/>
    </row>
    <row r="645" spans="1:7">
      <c r="A645" s="37"/>
      <c r="B645" s="37" t="s">
        <v>5260</v>
      </c>
      <c r="C645" s="37" t="s">
        <v>3029</v>
      </c>
      <c r="D645" s="37" t="s">
        <v>3030</v>
      </c>
      <c r="E645" s="37" t="s">
        <v>4771</v>
      </c>
      <c r="F645" s="37"/>
      <c r="G645" s="37"/>
    </row>
    <row r="646" spans="1:7">
      <c r="A646" s="37"/>
      <c r="B646" s="37" t="s">
        <v>5261</v>
      </c>
      <c r="C646" s="37" t="s">
        <v>3029</v>
      </c>
      <c r="D646" s="37" t="s">
        <v>3030</v>
      </c>
      <c r="E646" s="37" t="s">
        <v>4771</v>
      </c>
      <c r="F646" s="37"/>
      <c r="G646" s="37"/>
    </row>
    <row r="647" spans="1:7">
      <c r="A647" s="37"/>
      <c r="B647" s="37" t="s">
        <v>5262</v>
      </c>
      <c r="C647" s="37" t="s">
        <v>3029</v>
      </c>
      <c r="D647" s="37" t="s">
        <v>3030</v>
      </c>
      <c r="E647" s="37" t="s">
        <v>4771</v>
      </c>
      <c r="F647" s="37"/>
      <c r="G647" s="37"/>
    </row>
    <row r="648" spans="1:7">
      <c r="A648" s="37"/>
      <c r="B648" s="37" t="s">
        <v>5263</v>
      </c>
      <c r="C648" s="37" t="s">
        <v>3029</v>
      </c>
      <c r="D648" s="37" t="s">
        <v>3030</v>
      </c>
      <c r="E648" s="37" t="s">
        <v>4771</v>
      </c>
      <c r="F648" s="37"/>
      <c r="G648" s="37"/>
    </row>
    <row r="649" spans="1:7">
      <c r="A649" s="37"/>
      <c r="B649" s="37" t="s">
        <v>5264</v>
      </c>
      <c r="C649" s="37" t="s">
        <v>3029</v>
      </c>
      <c r="D649" s="37" t="s">
        <v>3030</v>
      </c>
      <c r="E649" s="37" t="s">
        <v>4771</v>
      </c>
      <c r="F649" s="37"/>
      <c r="G649" s="37"/>
    </row>
    <row r="650" spans="1:7">
      <c r="A650" s="37"/>
      <c r="B650" s="37" t="s">
        <v>5265</v>
      </c>
      <c r="C650" s="37" t="s">
        <v>3029</v>
      </c>
      <c r="D650" s="37" t="s">
        <v>3030</v>
      </c>
      <c r="E650" s="37" t="s">
        <v>4771</v>
      </c>
      <c r="F650" s="37"/>
      <c r="G650" s="37"/>
    </row>
    <row r="651" spans="1:7">
      <c r="A651" s="37"/>
      <c r="B651" s="37" t="s">
        <v>5266</v>
      </c>
      <c r="C651" s="37" t="s">
        <v>3029</v>
      </c>
      <c r="D651" s="37" t="s">
        <v>3030</v>
      </c>
      <c r="E651" s="37" t="s">
        <v>4771</v>
      </c>
      <c r="F651" s="37"/>
      <c r="G651" s="37"/>
    </row>
    <row r="652" spans="1:7">
      <c r="A652" s="37"/>
      <c r="B652" s="37" t="s">
        <v>5267</v>
      </c>
      <c r="C652" s="37" t="s">
        <v>3029</v>
      </c>
      <c r="D652" s="37" t="s">
        <v>3030</v>
      </c>
      <c r="E652" s="37" t="s">
        <v>4771</v>
      </c>
      <c r="F652" s="37"/>
      <c r="G652" s="37"/>
    </row>
    <row r="653" spans="1:7">
      <c r="A653" s="37"/>
      <c r="B653" s="37" t="s">
        <v>5268</v>
      </c>
      <c r="C653" s="37" t="s">
        <v>3029</v>
      </c>
      <c r="D653" s="37" t="s">
        <v>3030</v>
      </c>
      <c r="E653" s="37" t="s">
        <v>4771</v>
      </c>
      <c r="F653" s="37"/>
      <c r="G653" s="37"/>
    </row>
    <row r="654" spans="1:7">
      <c r="A654" s="37"/>
      <c r="B654" s="37" t="s">
        <v>5269</v>
      </c>
      <c r="C654" s="37" t="s">
        <v>3029</v>
      </c>
      <c r="D654" s="37" t="s">
        <v>3030</v>
      </c>
      <c r="E654" s="37" t="s">
        <v>4771</v>
      </c>
      <c r="F654" s="37"/>
      <c r="G654" s="37"/>
    </row>
    <row r="655" spans="1:7">
      <c r="A655" s="37"/>
      <c r="B655" s="37" t="s">
        <v>5270</v>
      </c>
      <c r="C655" s="37" t="s">
        <v>3029</v>
      </c>
      <c r="D655" s="37" t="s">
        <v>3030</v>
      </c>
      <c r="E655" s="37" t="s">
        <v>4771</v>
      </c>
      <c r="F655" s="37"/>
      <c r="G655" s="37"/>
    </row>
    <row r="656" spans="1:7">
      <c r="A656" s="37"/>
      <c r="B656" s="37" t="s">
        <v>5271</v>
      </c>
      <c r="C656" s="37" t="s">
        <v>3029</v>
      </c>
      <c r="D656" s="37" t="s">
        <v>3030</v>
      </c>
      <c r="E656" s="37" t="s">
        <v>4771</v>
      </c>
      <c r="F656" s="37"/>
      <c r="G656" s="37"/>
    </row>
    <row r="657" spans="1:7">
      <c r="A657" s="37"/>
      <c r="B657" s="37" t="s">
        <v>5272</v>
      </c>
      <c r="C657" s="37" t="s">
        <v>3029</v>
      </c>
      <c r="D657" s="37" t="s">
        <v>3030</v>
      </c>
      <c r="E657" s="37" t="s">
        <v>4771</v>
      </c>
      <c r="F657" s="37"/>
      <c r="G657" s="37"/>
    </row>
    <row r="658" spans="1:7">
      <c r="A658" s="37"/>
      <c r="B658" s="37" t="s">
        <v>5273</v>
      </c>
      <c r="C658" s="37" t="s">
        <v>3029</v>
      </c>
      <c r="D658" s="37" t="s">
        <v>3030</v>
      </c>
      <c r="E658" s="37" t="s">
        <v>4771</v>
      </c>
      <c r="F658" s="37"/>
      <c r="G658" s="37"/>
    </row>
    <row r="659" spans="1:7">
      <c r="A659" s="37"/>
      <c r="B659" s="37" t="s">
        <v>5274</v>
      </c>
      <c r="C659" s="37" t="s">
        <v>3029</v>
      </c>
      <c r="D659" s="37" t="s">
        <v>3030</v>
      </c>
      <c r="E659" s="37" t="s">
        <v>4771</v>
      </c>
      <c r="F659" s="37"/>
      <c r="G659" s="37"/>
    </row>
    <row r="660" spans="1:7">
      <c r="A660" s="37"/>
      <c r="B660" s="37" t="s">
        <v>5275</v>
      </c>
      <c r="C660" s="37" t="s">
        <v>3029</v>
      </c>
      <c r="D660" s="37" t="s">
        <v>3030</v>
      </c>
      <c r="E660" s="37" t="s">
        <v>4771</v>
      </c>
      <c r="F660" s="37"/>
      <c r="G660" s="37"/>
    </row>
    <row r="661" spans="1:7">
      <c r="A661" s="37"/>
      <c r="B661" s="37" t="s">
        <v>5276</v>
      </c>
      <c r="C661" s="37" t="s">
        <v>3029</v>
      </c>
      <c r="D661" s="37" t="s">
        <v>3030</v>
      </c>
      <c r="E661" s="37" t="s">
        <v>4771</v>
      </c>
      <c r="F661" s="37"/>
      <c r="G661" s="37"/>
    </row>
    <row r="662" spans="1:7">
      <c r="A662" s="37"/>
      <c r="B662" s="37" t="s">
        <v>5277</v>
      </c>
      <c r="C662" s="37" t="s">
        <v>3029</v>
      </c>
      <c r="D662" s="37" t="s">
        <v>3030</v>
      </c>
      <c r="E662" s="37" t="s">
        <v>4771</v>
      </c>
      <c r="F662" s="37"/>
      <c r="G662" s="37"/>
    </row>
    <row r="663" spans="1:7">
      <c r="A663" s="37"/>
      <c r="B663" s="37" t="s">
        <v>5278</v>
      </c>
      <c r="C663" s="37" t="s">
        <v>3029</v>
      </c>
      <c r="D663" s="37" t="s">
        <v>3030</v>
      </c>
      <c r="E663" s="37" t="s">
        <v>4771</v>
      </c>
      <c r="F663" s="37"/>
      <c r="G663" s="37"/>
    </row>
    <row r="664" spans="1:7">
      <c r="A664" s="37"/>
      <c r="B664" s="37" t="s">
        <v>5279</v>
      </c>
      <c r="C664" s="37" t="s">
        <v>3029</v>
      </c>
      <c r="D664" s="37" t="s">
        <v>3030</v>
      </c>
      <c r="E664" s="37" t="s">
        <v>4771</v>
      </c>
      <c r="F664" s="37"/>
      <c r="G664" s="37"/>
    </row>
    <row r="665" spans="1:7">
      <c r="A665" s="37"/>
      <c r="B665" s="37" t="s">
        <v>5280</v>
      </c>
      <c r="C665" s="37" t="s">
        <v>3029</v>
      </c>
      <c r="D665" s="37" t="s">
        <v>3030</v>
      </c>
      <c r="E665" s="37" t="s">
        <v>4771</v>
      </c>
      <c r="F665" s="37"/>
      <c r="G665" s="37"/>
    </row>
    <row r="666" spans="1:7">
      <c r="A666" s="37"/>
      <c r="B666" s="37" t="s">
        <v>5281</v>
      </c>
      <c r="C666" s="37" t="s">
        <v>3029</v>
      </c>
      <c r="D666" s="37" t="s">
        <v>3030</v>
      </c>
      <c r="E666" s="37" t="s">
        <v>4771</v>
      </c>
      <c r="F666" s="37"/>
      <c r="G666" s="37"/>
    </row>
    <row r="667" spans="1:7">
      <c r="A667" s="37"/>
      <c r="B667" s="37" t="s">
        <v>5282</v>
      </c>
      <c r="C667" s="37" t="s">
        <v>3029</v>
      </c>
      <c r="D667" s="37" t="s">
        <v>3030</v>
      </c>
      <c r="E667" s="37" t="s">
        <v>4771</v>
      </c>
      <c r="F667" s="37"/>
      <c r="G667" s="37"/>
    </row>
    <row r="668" spans="1:7">
      <c r="A668" s="37"/>
      <c r="B668" s="37" t="s">
        <v>5283</v>
      </c>
      <c r="C668" s="37" t="s">
        <v>3029</v>
      </c>
      <c r="D668" s="37" t="s">
        <v>3030</v>
      </c>
      <c r="E668" s="37" t="s">
        <v>4771</v>
      </c>
      <c r="F668" s="37"/>
      <c r="G668" s="37"/>
    </row>
    <row r="669" spans="1:7">
      <c r="A669" s="37"/>
      <c r="B669" s="37" t="s">
        <v>5284</v>
      </c>
      <c r="C669" s="37" t="s">
        <v>3029</v>
      </c>
      <c r="D669" s="37" t="s">
        <v>3030</v>
      </c>
      <c r="E669" s="37" t="s">
        <v>4771</v>
      </c>
      <c r="F669" s="37"/>
      <c r="G669" s="37"/>
    </row>
    <row r="670" spans="1:7">
      <c r="A670" s="37"/>
      <c r="B670" s="37" t="s">
        <v>5285</v>
      </c>
      <c r="C670" s="37" t="s">
        <v>3029</v>
      </c>
      <c r="D670" s="37" t="s">
        <v>3030</v>
      </c>
      <c r="E670" s="37" t="s">
        <v>4771</v>
      </c>
      <c r="F670" s="37"/>
      <c r="G670" s="37"/>
    </row>
    <row r="671" spans="1:7">
      <c r="A671" s="37"/>
      <c r="B671" s="37" t="s">
        <v>5286</v>
      </c>
      <c r="C671" s="37" t="s">
        <v>3029</v>
      </c>
      <c r="D671" s="37" t="s">
        <v>3030</v>
      </c>
      <c r="E671" s="37" t="s">
        <v>4771</v>
      </c>
      <c r="F671" s="37"/>
      <c r="G671" s="37"/>
    </row>
    <row r="672" spans="1:7">
      <c r="A672" s="37"/>
      <c r="B672" s="37" t="s">
        <v>5287</v>
      </c>
      <c r="C672" s="37" t="s">
        <v>3029</v>
      </c>
      <c r="D672" s="37" t="s">
        <v>3030</v>
      </c>
      <c r="E672" s="37" t="s">
        <v>4771</v>
      </c>
      <c r="F672" s="37"/>
      <c r="G672" s="37"/>
    </row>
    <row r="673" spans="1:7">
      <c r="A673" s="37"/>
      <c r="B673" s="37" t="s">
        <v>5288</v>
      </c>
      <c r="C673" s="37" t="s">
        <v>3029</v>
      </c>
      <c r="D673" s="37" t="s">
        <v>3030</v>
      </c>
      <c r="E673" s="37" t="s">
        <v>4771</v>
      </c>
      <c r="F673" s="37"/>
      <c r="G673" s="37"/>
    </row>
    <row r="674" spans="1:7">
      <c r="A674" s="37"/>
      <c r="B674" s="37" t="s">
        <v>5289</v>
      </c>
      <c r="C674" s="37" t="s">
        <v>3029</v>
      </c>
      <c r="D674" s="37" t="s">
        <v>3030</v>
      </c>
      <c r="E674" s="37" t="s">
        <v>4771</v>
      </c>
      <c r="F674" s="37"/>
      <c r="G674" s="37"/>
    </row>
    <row r="675" spans="1:7">
      <c r="A675" s="37"/>
      <c r="B675" s="37" t="s">
        <v>5290</v>
      </c>
      <c r="C675" s="37" t="s">
        <v>3029</v>
      </c>
      <c r="D675" s="37" t="s">
        <v>3030</v>
      </c>
      <c r="E675" s="37" t="s">
        <v>4771</v>
      </c>
      <c r="F675" s="37"/>
      <c r="G675" s="37"/>
    </row>
    <row r="676" spans="1:7">
      <c r="A676" s="37"/>
      <c r="B676" s="37" t="s">
        <v>5291</v>
      </c>
      <c r="C676" s="37" t="s">
        <v>3029</v>
      </c>
      <c r="D676" s="37" t="s">
        <v>3030</v>
      </c>
      <c r="E676" s="37" t="s">
        <v>4771</v>
      </c>
      <c r="F676" s="37"/>
      <c r="G676" s="37"/>
    </row>
    <row r="677" spans="1:7">
      <c r="A677" s="37"/>
      <c r="B677" s="37" t="s">
        <v>5292</v>
      </c>
      <c r="C677" s="37" t="s">
        <v>3029</v>
      </c>
      <c r="D677" s="37" t="s">
        <v>3030</v>
      </c>
      <c r="E677" s="37" t="s">
        <v>4771</v>
      </c>
      <c r="F677" s="37"/>
      <c r="G677" s="37"/>
    </row>
    <row r="678" spans="1:7">
      <c r="A678" s="37"/>
      <c r="B678" s="37" t="s">
        <v>5293</v>
      </c>
      <c r="C678" s="37" t="s">
        <v>3029</v>
      </c>
      <c r="D678" s="37" t="s">
        <v>3030</v>
      </c>
      <c r="E678" s="37" t="s">
        <v>4771</v>
      </c>
      <c r="F678" s="37"/>
      <c r="G678" s="37"/>
    </row>
    <row r="679" spans="1:7">
      <c r="A679" s="37"/>
      <c r="B679" s="37" t="s">
        <v>5294</v>
      </c>
      <c r="C679" s="37" t="s">
        <v>3029</v>
      </c>
      <c r="D679" s="37" t="s">
        <v>3030</v>
      </c>
      <c r="E679" s="37" t="s">
        <v>4771</v>
      </c>
      <c r="F679" s="37"/>
      <c r="G679" s="37"/>
    </row>
    <row r="680" spans="1:7">
      <c r="A680" s="37"/>
      <c r="B680" s="37" t="s">
        <v>5295</v>
      </c>
      <c r="C680" s="37" t="s">
        <v>3029</v>
      </c>
      <c r="D680" s="37" t="s">
        <v>3030</v>
      </c>
      <c r="E680" s="37" t="s">
        <v>4771</v>
      </c>
      <c r="F680" s="37"/>
      <c r="G680" s="37"/>
    </row>
    <row r="681" spans="1:7">
      <c r="A681" s="37"/>
      <c r="B681" s="37" t="s">
        <v>5296</v>
      </c>
      <c r="C681" s="37" t="s">
        <v>3029</v>
      </c>
      <c r="D681" s="37" t="s">
        <v>3030</v>
      </c>
      <c r="E681" s="37" t="s">
        <v>4771</v>
      </c>
      <c r="F681" s="37"/>
      <c r="G681" s="37"/>
    </row>
    <row r="682" spans="1:7">
      <c r="A682" s="37"/>
      <c r="B682" s="37" t="s">
        <v>5297</v>
      </c>
      <c r="C682" s="37" t="s">
        <v>3029</v>
      </c>
      <c r="D682" s="37" t="s">
        <v>3030</v>
      </c>
      <c r="E682" s="37" t="s">
        <v>4771</v>
      </c>
      <c r="F682" s="37"/>
      <c r="G682" s="37"/>
    </row>
    <row r="683" spans="1:7">
      <c r="A683" s="37"/>
      <c r="B683" s="37" t="s">
        <v>5298</v>
      </c>
      <c r="C683" s="37" t="s">
        <v>3029</v>
      </c>
      <c r="D683" s="37" t="s">
        <v>3030</v>
      </c>
      <c r="E683" s="37" t="s">
        <v>4771</v>
      </c>
      <c r="F683" s="37"/>
      <c r="G683" s="37"/>
    </row>
    <row r="684" spans="1:7">
      <c r="A684" s="37"/>
      <c r="B684" s="37" t="s">
        <v>5299</v>
      </c>
      <c r="C684" s="37" t="s">
        <v>3029</v>
      </c>
      <c r="D684" s="37" t="s">
        <v>3030</v>
      </c>
      <c r="E684" s="37" t="s">
        <v>4771</v>
      </c>
      <c r="F684" s="37"/>
      <c r="G684" s="37"/>
    </row>
    <row r="685" spans="1:7">
      <c r="A685" s="37"/>
      <c r="B685" s="37" t="s">
        <v>5300</v>
      </c>
      <c r="C685" s="37" t="s">
        <v>3029</v>
      </c>
      <c r="D685" s="37" t="s">
        <v>3030</v>
      </c>
      <c r="E685" s="37" t="s">
        <v>4771</v>
      </c>
      <c r="F685" s="37"/>
      <c r="G685" s="37"/>
    </row>
    <row r="686" spans="1:7">
      <c r="A686" s="37"/>
      <c r="B686" s="37" t="s">
        <v>5301</v>
      </c>
      <c r="C686" s="37" t="s">
        <v>3029</v>
      </c>
      <c r="D686" s="37" t="s">
        <v>3030</v>
      </c>
      <c r="E686" s="37" t="s">
        <v>4771</v>
      </c>
      <c r="F686" s="37"/>
      <c r="G686" s="37"/>
    </row>
    <row r="687" spans="1:7">
      <c r="A687" s="37"/>
      <c r="B687" s="37" t="s">
        <v>5302</v>
      </c>
      <c r="C687" s="37" t="s">
        <v>3029</v>
      </c>
      <c r="D687" s="37" t="s">
        <v>3030</v>
      </c>
      <c r="E687" s="37" t="s">
        <v>4771</v>
      </c>
      <c r="F687" s="37"/>
      <c r="G687" s="37"/>
    </row>
    <row r="688" spans="1:7">
      <c r="A688" s="37"/>
      <c r="B688" s="37" t="s">
        <v>5303</v>
      </c>
      <c r="C688" s="37" t="s">
        <v>3029</v>
      </c>
      <c r="D688" s="37" t="s">
        <v>3030</v>
      </c>
      <c r="E688" s="37" t="s">
        <v>4771</v>
      </c>
      <c r="F688" s="37"/>
      <c r="G688" s="37"/>
    </row>
    <row r="689" spans="1:7">
      <c r="A689" s="37"/>
      <c r="B689" s="37" t="s">
        <v>5304</v>
      </c>
      <c r="C689" s="37" t="s">
        <v>3029</v>
      </c>
      <c r="D689" s="37" t="s">
        <v>3030</v>
      </c>
      <c r="E689" s="37" t="s">
        <v>4771</v>
      </c>
      <c r="F689" s="37"/>
      <c r="G689" s="37"/>
    </row>
    <row r="690" spans="1:7">
      <c r="A690" s="37"/>
      <c r="B690" s="37" t="s">
        <v>5305</v>
      </c>
      <c r="C690" s="37" t="s">
        <v>3029</v>
      </c>
      <c r="D690" s="37" t="s">
        <v>3030</v>
      </c>
      <c r="E690" s="37" t="s">
        <v>4771</v>
      </c>
      <c r="F690" s="37"/>
      <c r="G690" s="37"/>
    </row>
    <row r="691" spans="1:7">
      <c r="A691" s="37"/>
      <c r="B691" s="37" t="s">
        <v>5306</v>
      </c>
      <c r="C691" s="37" t="s">
        <v>3029</v>
      </c>
      <c r="D691" s="37" t="s">
        <v>3030</v>
      </c>
      <c r="E691" s="37" t="s">
        <v>4771</v>
      </c>
      <c r="F691" s="37"/>
      <c r="G691" s="37"/>
    </row>
    <row r="692" spans="1:7">
      <c r="A692" s="37"/>
      <c r="B692" s="37" t="s">
        <v>5307</v>
      </c>
      <c r="C692" s="37" t="s">
        <v>3029</v>
      </c>
      <c r="D692" s="37" t="s">
        <v>3030</v>
      </c>
      <c r="E692" s="37" t="s">
        <v>4771</v>
      </c>
      <c r="F692" s="37"/>
      <c r="G692" s="37"/>
    </row>
    <row r="693" spans="1:7">
      <c r="A693" s="37"/>
      <c r="B693" s="37" t="s">
        <v>5308</v>
      </c>
      <c r="C693" s="37" t="s">
        <v>3029</v>
      </c>
      <c r="D693" s="37" t="s">
        <v>3030</v>
      </c>
      <c r="E693" s="37" t="s">
        <v>4771</v>
      </c>
      <c r="F693" s="37"/>
      <c r="G693" s="37"/>
    </row>
    <row r="694" spans="1:7">
      <c r="A694" s="37"/>
      <c r="B694" s="37" t="s">
        <v>5309</v>
      </c>
      <c r="C694" s="37" t="s">
        <v>3029</v>
      </c>
      <c r="D694" s="37" t="s">
        <v>3030</v>
      </c>
      <c r="E694" s="37" t="s">
        <v>4771</v>
      </c>
      <c r="F694" s="37"/>
      <c r="G694" s="37"/>
    </row>
    <row r="695" spans="1:7">
      <c r="A695" s="37"/>
      <c r="B695" s="37" t="s">
        <v>5310</v>
      </c>
      <c r="C695" s="37" t="s">
        <v>3029</v>
      </c>
      <c r="D695" s="37" t="s">
        <v>3030</v>
      </c>
      <c r="E695" s="37" t="s">
        <v>4771</v>
      </c>
      <c r="F695" s="37"/>
      <c r="G695" s="37"/>
    </row>
    <row r="696" spans="1:7">
      <c r="A696" s="37"/>
      <c r="B696" s="37" t="s">
        <v>5311</v>
      </c>
      <c r="C696" s="37" t="s">
        <v>3029</v>
      </c>
      <c r="D696" s="37" t="s">
        <v>3030</v>
      </c>
      <c r="E696" s="37" t="s">
        <v>4771</v>
      </c>
      <c r="F696" s="37"/>
      <c r="G696" s="37"/>
    </row>
    <row r="697" spans="1:7">
      <c r="A697" s="37"/>
      <c r="B697" s="37" t="s">
        <v>5312</v>
      </c>
      <c r="C697" s="37" t="s">
        <v>3029</v>
      </c>
      <c r="D697" s="37" t="s">
        <v>3030</v>
      </c>
      <c r="E697" s="37" t="s">
        <v>4771</v>
      </c>
      <c r="F697" s="37"/>
      <c r="G697" s="37"/>
    </row>
    <row r="698" spans="1:7">
      <c r="A698" s="37"/>
      <c r="B698" s="37" t="s">
        <v>5313</v>
      </c>
      <c r="C698" s="37" t="s">
        <v>3029</v>
      </c>
      <c r="D698" s="37" t="s">
        <v>3030</v>
      </c>
      <c r="E698" s="37" t="s">
        <v>4771</v>
      </c>
      <c r="F698" s="37"/>
      <c r="G698" s="37"/>
    </row>
    <row r="699" spans="1:7">
      <c r="A699" s="37"/>
      <c r="B699" s="37" t="s">
        <v>5314</v>
      </c>
      <c r="C699" s="37" t="s">
        <v>3029</v>
      </c>
      <c r="D699" s="37" t="s">
        <v>3030</v>
      </c>
      <c r="E699" s="37" t="s">
        <v>4771</v>
      </c>
      <c r="F699" s="37"/>
      <c r="G699" s="37"/>
    </row>
    <row r="700" spans="1:7">
      <c r="A700" s="37"/>
      <c r="B700" s="37" t="s">
        <v>5315</v>
      </c>
      <c r="C700" s="37" t="s">
        <v>3029</v>
      </c>
      <c r="D700" s="37" t="s">
        <v>3030</v>
      </c>
      <c r="E700" s="37" t="s">
        <v>4771</v>
      </c>
      <c r="F700" s="37"/>
      <c r="G700" s="37"/>
    </row>
    <row r="701" spans="1:7">
      <c r="A701" s="37"/>
      <c r="B701" s="37" t="s">
        <v>5316</v>
      </c>
      <c r="C701" s="37" t="s">
        <v>3029</v>
      </c>
      <c r="D701" s="37" t="s">
        <v>3030</v>
      </c>
      <c r="E701" s="37" t="s">
        <v>4771</v>
      </c>
      <c r="F701" s="37"/>
      <c r="G701" s="37"/>
    </row>
    <row r="702" spans="1:7">
      <c r="A702" s="37"/>
      <c r="B702" s="37" t="s">
        <v>5317</v>
      </c>
      <c r="C702" s="37" t="s">
        <v>3029</v>
      </c>
      <c r="D702" s="37" t="s">
        <v>3030</v>
      </c>
      <c r="E702" s="37" t="s">
        <v>4771</v>
      </c>
      <c r="F702" s="37"/>
      <c r="G702" s="37"/>
    </row>
    <row r="703" spans="1:7">
      <c r="A703" s="37"/>
      <c r="B703" s="37" t="s">
        <v>5318</v>
      </c>
      <c r="C703" s="37" t="s">
        <v>3029</v>
      </c>
      <c r="D703" s="37" t="s">
        <v>3030</v>
      </c>
      <c r="E703" s="37" t="s">
        <v>4771</v>
      </c>
      <c r="F703" s="37"/>
      <c r="G703" s="37"/>
    </row>
    <row r="704" spans="1:7">
      <c r="A704" s="37"/>
      <c r="B704" s="37" t="s">
        <v>5319</v>
      </c>
      <c r="C704" s="37" t="s">
        <v>3029</v>
      </c>
      <c r="D704" s="37" t="s">
        <v>3030</v>
      </c>
      <c r="E704" s="37" t="s">
        <v>4771</v>
      </c>
      <c r="F704" s="37"/>
      <c r="G704" s="37"/>
    </row>
    <row r="705" spans="1:7">
      <c r="A705" s="37"/>
      <c r="B705" s="37" t="s">
        <v>5320</v>
      </c>
      <c r="C705" s="37" t="s">
        <v>3029</v>
      </c>
      <c r="D705" s="37" t="s">
        <v>3030</v>
      </c>
      <c r="E705" s="37" t="s">
        <v>4771</v>
      </c>
      <c r="F705" s="37"/>
      <c r="G705" s="37"/>
    </row>
    <row r="706" spans="1:7">
      <c r="A706" s="37"/>
      <c r="B706" s="37" t="s">
        <v>5321</v>
      </c>
      <c r="C706" s="37" t="s">
        <v>3029</v>
      </c>
      <c r="D706" s="37" t="s">
        <v>3030</v>
      </c>
      <c r="E706" s="37" t="s">
        <v>4771</v>
      </c>
      <c r="F706" s="37"/>
      <c r="G706" s="37"/>
    </row>
    <row r="707" spans="1:7">
      <c r="A707" s="37"/>
      <c r="B707" s="37" t="s">
        <v>5322</v>
      </c>
      <c r="C707" s="37" t="s">
        <v>3029</v>
      </c>
      <c r="D707" s="37" t="s">
        <v>3030</v>
      </c>
      <c r="E707" s="37" t="s">
        <v>4771</v>
      </c>
      <c r="F707" s="37"/>
      <c r="G707" s="37"/>
    </row>
    <row r="708" spans="1:7">
      <c r="A708" s="37"/>
      <c r="B708" s="37" t="s">
        <v>5323</v>
      </c>
      <c r="C708" s="37" t="s">
        <v>3029</v>
      </c>
      <c r="D708" s="37" t="s">
        <v>3030</v>
      </c>
      <c r="E708" s="37" t="s">
        <v>4771</v>
      </c>
      <c r="F708" s="37"/>
      <c r="G708" s="37"/>
    </row>
    <row r="709" spans="1:7">
      <c r="A709" s="37"/>
      <c r="B709" s="37" t="s">
        <v>5324</v>
      </c>
      <c r="C709" s="37" t="s">
        <v>3029</v>
      </c>
      <c r="D709" s="37" t="s">
        <v>3030</v>
      </c>
      <c r="E709" s="37" t="s">
        <v>4771</v>
      </c>
      <c r="F709" s="37"/>
      <c r="G709" s="37"/>
    </row>
    <row r="710" spans="1:7">
      <c r="A710" s="37"/>
      <c r="B710" s="37" t="s">
        <v>5325</v>
      </c>
      <c r="C710" s="37" t="s">
        <v>3029</v>
      </c>
      <c r="D710" s="37" t="s">
        <v>3030</v>
      </c>
      <c r="E710" s="37" t="s">
        <v>4771</v>
      </c>
      <c r="F710" s="37"/>
      <c r="G710" s="37"/>
    </row>
    <row r="711" spans="1:7">
      <c r="A711" s="37"/>
      <c r="B711" s="37" t="s">
        <v>5326</v>
      </c>
      <c r="C711" s="37" t="s">
        <v>3029</v>
      </c>
      <c r="D711" s="37" t="s">
        <v>3030</v>
      </c>
      <c r="E711" s="37" t="s">
        <v>4771</v>
      </c>
      <c r="F711" s="37"/>
      <c r="G711" s="37"/>
    </row>
    <row r="712" spans="1:7">
      <c r="A712" s="37"/>
      <c r="B712" s="37" t="s">
        <v>5327</v>
      </c>
      <c r="C712" s="37" t="s">
        <v>3029</v>
      </c>
      <c r="D712" s="37" t="s">
        <v>3030</v>
      </c>
      <c r="E712" s="37" t="s">
        <v>4771</v>
      </c>
      <c r="F712" s="37"/>
      <c r="G712" s="37"/>
    </row>
    <row r="713" spans="1:7">
      <c r="A713" s="37"/>
      <c r="B713" s="37" t="s">
        <v>5328</v>
      </c>
      <c r="C713" s="37" t="s">
        <v>3029</v>
      </c>
      <c r="D713" s="37" t="s">
        <v>3030</v>
      </c>
      <c r="E713" s="37" t="s">
        <v>4771</v>
      </c>
      <c r="F713" s="37"/>
      <c r="G713" s="37"/>
    </row>
    <row r="714" spans="1:7">
      <c r="A714" s="37"/>
      <c r="B714" s="37" t="s">
        <v>5329</v>
      </c>
      <c r="C714" s="37" t="s">
        <v>3029</v>
      </c>
      <c r="D714" s="37" t="s">
        <v>3030</v>
      </c>
      <c r="E714" s="37" t="s">
        <v>4771</v>
      </c>
      <c r="F714" s="37"/>
      <c r="G714" s="37"/>
    </row>
    <row r="715" spans="1:7">
      <c r="A715" s="37"/>
      <c r="B715" s="37" t="s">
        <v>5330</v>
      </c>
      <c r="C715" s="37" t="s">
        <v>3029</v>
      </c>
      <c r="D715" s="37" t="s">
        <v>3030</v>
      </c>
      <c r="E715" s="37" t="s">
        <v>4771</v>
      </c>
      <c r="F715" s="37"/>
      <c r="G715" s="37"/>
    </row>
    <row r="716" spans="1:7">
      <c r="A716" s="37"/>
      <c r="B716" s="37" t="s">
        <v>5331</v>
      </c>
      <c r="C716" s="37" t="s">
        <v>3029</v>
      </c>
      <c r="D716" s="37" t="s">
        <v>3030</v>
      </c>
      <c r="E716" s="37" t="s">
        <v>4771</v>
      </c>
      <c r="F716" s="37"/>
      <c r="G716" s="37"/>
    </row>
    <row r="717" spans="1:7">
      <c r="A717" s="37"/>
      <c r="B717" s="37" t="s">
        <v>5332</v>
      </c>
      <c r="C717" s="37" t="s">
        <v>3029</v>
      </c>
      <c r="D717" s="37" t="s">
        <v>3030</v>
      </c>
      <c r="E717" s="37" t="s">
        <v>4771</v>
      </c>
      <c r="F717" s="37"/>
      <c r="G717" s="37"/>
    </row>
    <row r="718" spans="1:7">
      <c r="A718" s="37"/>
      <c r="B718" s="37" t="s">
        <v>5333</v>
      </c>
      <c r="C718" s="37" t="s">
        <v>3029</v>
      </c>
      <c r="D718" s="37" t="s">
        <v>3030</v>
      </c>
      <c r="E718" s="37" t="s">
        <v>4771</v>
      </c>
      <c r="F718" s="37"/>
      <c r="G718" s="37"/>
    </row>
    <row r="719" spans="1:7">
      <c r="A719" s="37"/>
      <c r="B719" s="37" t="s">
        <v>5334</v>
      </c>
      <c r="C719" s="37" t="s">
        <v>3029</v>
      </c>
      <c r="D719" s="37" t="s">
        <v>3030</v>
      </c>
      <c r="E719" s="37" t="s">
        <v>4771</v>
      </c>
      <c r="F719" s="37"/>
      <c r="G719" s="37"/>
    </row>
    <row r="720" spans="1:7">
      <c r="A720" s="37"/>
      <c r="B720" s="37" t="s">
        <v>5335</v>
      </c>
      <c r="C720" s="37" t="s">
        <v>3029</v>
      </c>
      <c r="D720" s="37" t="s">
        <v>3030</v>
      </c>
      <c r="E720" s="37" t="s">
        <v>4771</v>
      </c>
      <c r="F720" s="37"/>
      <c r="G720" s="37"/>
    </row>
    <row r="721" spans="1:7">
      <c r="A721" s="37"/>
      <c r="B721" s="37" t="s">
        <v>5336</v>
      </c>
      <c r="C721" s="37" t="s">
        <v>3029</v>
      </c>
      <c r="D721" s="37" t="s">
        <v>3030</v>
      </c>
      <c r="E721" s="37" t="s">
        <v>4771</v>
      </c>
      <c r="F721" s="37"/>
      <c r="G721" s="37"/>
    </row>
    <row r="722" spans="1:7">
      <c r="A722" s="37"/>
      <c r="B722" s="37" t="s">
        <v>5337</v>
      </c>
      <c r="C722" s="37" t="s">
        <v>3029</v>
      </c>
      <c r="D722" s="37" t="s">
        <v>3030</v>
      </c>
      <c r="E722" s="37" t="s">
        <v>4771</v>
      </c>
      <c r="F722" s="37"/>
      <c r="G722" s="37"/>
    </row>
    <row r="723" spans="1:7">
      <c r="A723" s="37"/>
      <c r="B723" s="37" t="s">
        <v>5338</v>
      </c>
      <c r="C723" s="37" t="s">
        <v>3029</v>
      </c>
      <c r="D723" s="37" t="s">
        <v>3030</v>
      </c>
      <c r="E723" s="37" t="s">
        <v>4771</v>
      </c>
      <c r="F723" s="37"/>
      <c r="G723" s="37"/>
    </row>
    <row r="724" spans="1:7">
      <c r="A724" s="37"/>
      <c r="B724" s="37" t="s">
        <v>5339</v>
      </c>
      <c r="C724" s="37" t="s">
        <v>3029</v>
      </c>
      <c r="D724" s="37" t="s">
        <v>3030</v>
      </c>
      <c r="E724" s="37" t="s">
        <v>4771</v>
      </c>
      <c r="F724" s="37"/>
      <c r="G724" s="37"/>
    </row>
    <row r="725" spans="1:7">
      <c r="A725" s="37"/>
      <c r="B725" s="37" t="s">
        <v>5340</v>
      </c>
      <c r="C725" s="37" t="s">
        <v>3029</v>
      </c>
      <c r="D725" s="37" t="s">
        <v>3030</v>
      </c>
      <c r="E725" s="37" t="s">
        <v>4771</v>
      </c>
      <c r="F725" s="37"/>
      <c r="G725" s="37"/>
    </row>
    <row r="726" spans="1:7">
      <c r="A726" s="37"/>
      <c r="B726" s="37" t="s">
        <v>5341</v>
      </c>
      <c r="C726" s="37" t="s">
        <v>3029</v>
      </c>
      <c r="D726" s="37" t="s">
        <v>3030</v>
      </c>
      <c r="E726" s="37" t="s">
        <v>4771</v>
      </c>
      <c r="F726" s="37"/>
      <c r="G726" s="37"/>
    </row>
    <row r="727" spans="1:7">
      <c r="A727" s="37"/>
      <c r="B727" s="37" t="s">
        <v>5342</v>
      </c>
      <c r="C727" s="37" t="s">
        <v>3029</v>
      </c>
      <c r="D727" s="37" t="s">
        <v>3030</v>
      </c>
      <c r="E727" s="37" t="s">
        <v>4771</v>
      </c>
      <c r="F727" s="37"/>
      <c r="G727" s="37"/>
    </row>
    <row r="728" spans="1:7">
      <c r="A728" s="37"/>
      <c r="B728" s="37" t="s">
        <v>5343</v>
      </c>
      <c r="C728" s="37" t="s">
        <v>3029</v>
      </c>
      <c r="D728" s="37" t="s">
        <v>3030</v>
      </c>
      <c r="E728" s="37" t="s">
        <v>4771</v>
      </c>
      <c r="F728" s="37"/>
      <c r="G728" s="37"/>
    </row>
    <row r="729" spans="1:7">
      <c r="A729" s="37"/>
      <c r="B729" s="37" t="s">
        <v>5344</v>
      </c>
      <c r="C729" s="37" t="s">
        <v>3029</v>
      </c>
      <c r="D729" s="37" t="s">
        <v>3030</v>
      </c>
      <c r="E729" s="37" t="s">
        <v>4771</v>
      </c>
      <c r="F729" s="37"/>
      <c r="G729" s="37"/>
    </row>
    <row r="730" spans="1:7">
      <c r="A730" s="37"/>
      <c r="B730" s="37" t="s">
        <v>5345</v>
      </c>
      <c r="C730" s="37" t="s">
        <v>3029</v>
      </c>
      <c r="D730" s="37" t="s">
        <v>3030</v>
      </c>
      <c r="E730" s="37" t="s">
        <v>4771</v>
      </c>
      <c r="F730" s="37"/>
      <c r="G730" s="37"/>
    </row>
    <row r="731" spans="1:7">
      <c r="A731" s="37"/>
      <c r="B731" s="37" t="s">
        <v>5346</v>
      </c>
      <c r="C731" s="37" t="s">
        <v>3029</v>
      </c>
      <c r="D731" s="37" t="s">
        <v>3030</v>
      </c>
      <c r="E731" s="37" t="s">
        <v>4771</v>
      </c>
      <c r="F731" s="37"/>
      <c r="G731" s="37"/>
    </row>
    <row r="732" spans="1:7">
      <c r="A732" s="37"/>
      <c r="B732" s="37" t="s">
        <v>5347</v>
      </c>
      <c r="C732" s="37" t="s">
        <v>3029</v>
      </c>
      <c r="D732" s="37" t="s">
        <v>3030</v>
      </c>
      <c r="E732" s="37" t="s">
        <v>4771</v>
      </c>
      <c r="F732" s="37"/>
      <c r="G732" s="37"/>
    </row>
    <row r="733" spans="1:7">
      <c r="A733" s="37"/>
      <c r="B733" s="37" t="s">
        <v>5348</v>
      </c>
      <c r="C733" s="37" t="s">
        <v>3029</v>
      </c>
      <c r="D733" s="37" t="s">
        <v>3030</v>
      </c>
      <c r="E733" s="37" t="s">
        <v>4771</v>
      </c>
      <c r="F733" s="37"/>
      <c r="G733" s="37"/>
    </row>
    <row r="734" spans="1:7">
      <c r="A734" s="37"/>
      <c r="B734" s="37" t="s">
        <v>5349</v>
      </c>
      <c r="C734" s="37" t="s">
        <v>3029</v>
      </c>
      <c r="D734" s="37" t="s">
        <v>3030</v>
      </c>
      <c r="E734" s="37" t="s">
        <v>4771</v>
      </c>
      <c r="F734" s="37"/>
      <c r="G734" s="37"/>
    </row>
    <row r="735" spans="1:7">
      <c r="A735" s="37"/>
      <c r="B735" s="37" t="s">
        <v>5350</v>
      </c>
      <c r="C735" s="37" t="s">
        <v>3029</v>
      </c>
      <c r="D735" s="37" t="s">
        <v>3030</v>
      </c>
      <c r="E735" s="37" t="s">
        <v>4771</v>
      </c>
      <c r="F735" s="37"/>
      <c r="G735" s="37"/>
    </row>
    <row r="736" spans="1:7">
      <c r="A736" s="37"/>
      <c r="B736" s="37" t="s">
        <v>5351</v>
      </c>
      <c r="C736" s="37" t="s">
        <v>3029</v>
      </c>
      <c r="D736" s="37" t="s">
        <v>3030</v>
      </c>
      <c r="E736" s="37" t="s">
        <v>4771</v>
      </c>
      <c r="F736" s="37"/>
      <c r="G736" s="37"/>
    </row>
    <row r="737" spans="1:7">
      <c r="A737" s="37"/>
      <c r="B737" s="37" t="s">
        <v>5352</v>
      </c>
      <c r="C737" s="37" t="s">
        <v>3029</v>
      </c>
      <c r="D737" s="37" t="s">
        <v>3030</v>
      </c>
      <c r="E737" s="37" t="s">
        <v>4771</v>
      </c>
      <c r="F737" s="37"/>
      <c r="G737" s="37"/>
    </row>
    <row r="738" spans="1:7">
      <c r="A738" s="37"/>
      <c r="B738" s="37" t="s">
        <v>5353</v>
      </c>
      <c r="C738" s="37" t="s">
        <v>3029</v>
      </c>
      <c r="D738" s="37" t="s">
        <v>3030</v>
      </c>
      <c r="E738" s="37" t="s">
        <v>4771</v>
      </c>
      <c r="F738" s="37"/>
      <c r="G738" s="37"/>
    </row>
    <row r="739" spans="1:7">
      <c r="A739" s="37"/>
      <c r="B739" s="37" t="s">
        <v>5354</v>
      </c>
      <c r="C739" s="37" t="s">
        <v>3029</v>
      </c>
      <c r="D739" s="37" t="s">
        <v>3030</v>
      </c>
      <c r="E739" s="37" t="s">
        <v>4771</v>
      </c>
      <c r="F739" s="37"/>
      <c r="G739" s="37"/>
    </row>
    <row r="740" spans="1:7">
      <c r="A740" s="37"/>
      <c r="B740" s="37" t="s">
        <v>5355</v>
      </c>
      <c r="C740" s="37" t="s">
        <v>3029</v>
      </c>
      <c r="D740" s="37" t="s">
        <v>3030</v>
      </c>
      <c r="E740" s="37" t="s">
        <v>4771</v>
      </c>
      <c r="F740" s="37"/>
      <c r="G740" s="37"/>
    </row>
    <row r="741" spans="1:7">
      <c r="A741" s="37"/>
      <c r="B741" s="37" t="s">
        <v>5356</v>
      </c>
      <c r="C741" s="37" t="s">
        <v>3029</v>
      </c>
      <c r="D741" s="37" t="s">
        <v>3030</v>
      </c>
      <c r="E741" s="37" t="s">
        <v>4771</v>
      </c>
      <c r="F741" s="37"/>
      <c r="G741" s="37"/>
    </row>
    <row r="742" spans="1:7">
      <c r="A742" s="37"/>
      <c r="B742" s="37" t="s">
        <v>5357</v>
      </c>
      <c r="C742" s="37" t="s">
        <v>3029</v>
      </c>
      <c r="D742" s="37" t="s">
        <v>3030</v>
      </c>
      <c r="E742" s="37" t="s">
        <v>4771</v>
      </c>
      <c r="F742" s="37"/>
      <c r="G742" s="37"/>
    </row>
    <row r="743" spans="1:7">
      <c r="A743" s="37"/>
      <c r="B743" s="37" t="s">
        <v>5358</v>
      </c>
      <c r="C743" s="37" t="s">
        <v>3029</v>
      </c>
      <c r="D743" s="37" t="s">
        <v>3030</v>
      </c>
      <c r="E743" s="37" t="s">
        <v>4771</v>
      </c>
      <c r="F743" s="37"/>
      <c r="G743" s="37"/>
    </row>
    <row r="744" spans="1:7">
      <c r="A744" s="37"/>
      <c r="B744" s="37" t="s">
        <v>5359</v>
      </c>
      <c r="C744" s="37" t="s">
        <v>3029</v>
      </c>
      <c r="D744" s="37" t="s">
        <v>3030</v>
      </c>
      <c r="E744" s="37" t="s">
        <v>4771</v>
      </c>
      <c r="F744" s="37"/>
      <c r="G744" s="37"/>
    </row>
    <row r="745" spans="1:7">
      <c r="A745" s="37"/>
      <c r="B745" s="37" t="s">
        <v>5360</v>
      </c>
      <c r="C745" s="37" t="s">
        <v>3029</v>
      </c>
      <c r="D745" s="37" t="s">
        <v>3030</v>
      </c>
      <c r="E745" s="37" t="s">
        <v>4771</v>
      </c>
      <c r="F745" s="37"/>
      <c r="G745" s="37"/>
    </row>
    <row r="746" spans="1:7">
      <c r="A746" s="37"/>
      <c r="B746" s="37" t="s">
        <v>5361</v>
      </c>
      <c r="C746" s="37" t="s">
        <v>3029</v>
      </c>
      <c r="D746" s="37" t="s">
        <v>3030</v>
      </c>
      <c r="E746" s="37" t="s">
        <v>4771</v>
      </c>
      <c r="F746" s="37"/>
      <c r="G746" s="37"/>
    </row>
    <row r="747" spans="1:7">
      <c r="A747" s="37"/>
      <c r="B747" s="37" t="s">
        <v>5362</v>
      </c>
      <c r="C747" s="37" t="s">
        <v>3029</v>
      </c>
      <c r="D747" s="37" t="s">
        <v>3030</v>
      </c>
      <c r="E747" s="37" t="s">
        <v>4771</v>
      </c>
      <c r="F747" s="37"/>
      <c r="G747" s="37"/>
    </row>
    <row r="748" spans="1:7">
      <c r="A748" s="37"/>
      <c r="B748" s="37" t="s">
        <v>5363</v>
      </c>
      <c r="C748" s="37" t="s">
        <v>3029</v>
      </c>
      <c r="D748" s="37" t="s">
        <v>3030</v>
      </c>
      <c r="E748" s="37" t="s">
        <v>4771</v>
      </c>
      <c r="F748" s="37"/>
      <c r="G748" s="37"/>
    </row>
    <row r="749" spans="1:7">
      <c r="A749" s="37"/>
      <c r="B749" s="37" t="s">
        <v>5364</v>
      </c>
      <c r="C749" s="37" t="s">
        <v>3029</v>
      </c>
      <c r="D749" s="37" t="s">
        <v>3030</v>
      </c>
      <c r="E749" s="37" t="s">
        <v>4771</v>
      </c>
      <c r="F749" s="37"/>
      <c r="G749" s="37"/>
    </row>
    <row r="750" spans="1:7">
      <c r="A750" s="37"/>
      <c r="B750" s="37" t="s">
        <v>5365</v>
      </c>
      <c r="C750" s="37" t="s">
        <v>3029</v>
      </c>
      <c r="D750" s="37" t="s">
        <v>3030</v>
      </c>
      <c r="E750" s="37" t="s">
        <v>4771</v>
      </c>
      <c r="F750" s="37"/>
      <c r="G750" s="37"/>
    </row>
    <row r="751" spans="1:7">
      <c r="A751" s="37"/>
      <c r="B751" s="37" t="s">
        <v>5366</v>
      </c>
      <c r="C751" s="37" t="s">
        <v>3029</v>
      </c>
      <c r="D751" s="37" t="s">
        <v>3030</v>
      </c>
      <c r="E751" s="37" t="s">
        <v>4771</v>
      </c>
      <c r="F751" s="37"/>
      <c r="G751" s="37"/>
    </row>
    <row r="752" spans="1:7">
      <c r="A752" s="37"/>
      <c r="B752" s="37" t="s">
        <v>5367</v>
      </c>
      <c r="C752" s="37" t="s">
        <v>3029</v>
      </c>
      <c r="D752" s="37" t="s">
        <v>3030</v>
      </c>
      <c r="E752" s="37" t="s">
        <v>4771</v>
      </c>
      <c r="F752" s="37"/>
      <c r="G752" s="37"/>
    </row>
    <row r="753" spans="1:7">
      <c r="A753" s="37"/>
      <c r="B753" s="37" t="s">
        <v>5368</v>
      </c>
      <c r="C753" s="37" t="s">
        <v>3029</v>
      </c>
      <c r="D753" s="37" t="s">
        <v>3030</v>
      </c>
      <c r="E753" s="37" t="s">
        <v>4771</v>
      </c>
      <c r="F753" s="37"/>
      <c r="G753" s="37"/>
    </row>
    <row r="754" spans="1:7">
      <c r="A754" s="37"/>
      <c r="B754" s="37" t="s">
        <v>5369</v>
      </c>
      <c r="C754" s="37" t="s">
        <v>3029</v>
      </c>
      <c r="D754" s="37" t="s">
        <v>3030</v>
      </c>
      <c r="E754" s="37" t="s">
        <v>4771</v>
      </c>
      <c r="F754" s="37"/>
      <c r="G754" s="37"/>
    </row>
    <row r="755" spans="1:7">
      <c r="A755" s="37"/>
      <c r="B755" s="37" t="s">
        <v>5370</v>
      </c>
      <c r="C755" s="37" t="s">
        <v>3029</v>
      </c>
      <c r="D755" s="37" t="s">
        <v>3030</v>
      </c>
      <c r="E755" s="37" t="s">
        <v>4771</v>
      </c>
      <c r="F755" s="37"/>
      <c r="G755" s="37"/>
    </row>
    <row r="756" spans="1:7">
      <c r="A756" s="37"/>
      <c r="B756" s="37" t="s">
        <v>5371</v>
      </c>
      <c r="C756" s="37" t="s">
        <v>3029</v>
      </c>
      <c r="D756" s="37" t="s">
        <v>3030</v>
      </c>
      <c r="E756" s="37" t="s">
        <v>4771</v>
      </c>
      <c r="F756" s="37"/>
      <c r="G756" s="37"/>
    </row>
    <row r="757" spans="1:7">
      <c r="A757" s="37"/>
      <c r="B757" s="37" t="s">
        <v>5372</v>
      </c>
      <c r="C757" s="37" t="s">
        <v>3029</v>
      </c>
      <c r="D757" s="37" t="s">
        <v>3030</v>
      </c>
      <c r="E757" s="37" t="s">
        <v>4771</v>
      </c>
      <c r="F757" s="37"/>
      <c r="G757" s="37"/>
    </row>
    <row r="758" spans="1:7">
      <c r="A758" s="37"/>
      <c r="B758" s="37" t="s">
        <v>5373</v>
      </c>
      <c r="C758" s="37" t="s">
        <v>3029</v>
      </c>
      <c r="D758" s="37" t="s">
        <v>3030</v>
      </c>
      <c r="E758" s="37" t="s">
        <v>4771</v>
      </c>
      <c r="F758" s="37"/>
      <c r="G758" s="37"/>
    </row>
    <row r="759" spans="1:7">
      <c r="A759" s="37"/>
      <c r="B759" s="37" t="s">
        <v>5374</v>
      </c>
      <c r="C759" s="37" t="s">
        <v>3029</v>
      </c>
      <c r="D759" s="37" t="s">
        <v>3030</v>
      </c>
      <c r="E759" s="37" t="s">
        <v>4771</v>
      </c>
      <c r="F759" s="37"/>
      <c r="G759" s="37"/>
    </row>
    <row r="760" spans="1:7">
      <c r="A760" s="37"/>
      <c r="B760" s="37" t="s">
        <v>5375</v>
      </c>
      <c r="C760" s="37" t="s">
        <v>3029</v>
      </c>
      <c r="D760" s="37" t="s">
        <v>3030</v>
      </c>
      <c r="E760" s="37" t="s">
        <v>4771</v>
      </c>
      <c r="F760" s="37"/>
      <c r="G760" s="37"/>
    </row>
    <row r="761" spans="1:7">
      <c r="A761" s="37"/>
      <c r="B761" s="37" t="s">
        <v>5376</v>
      </c>
      <c r="C761" s="37" t="s">
        <v>3029</v>
      </c>
      <c r="D761" s="37" t="s">
        <v>3030</v>
      </c>
      <c r="E761" s="37" t="s">
        <v>4771</v>
      </c>
      <c r="F761" s="37"/>
      <c r="G761" s="37"/>
    </row>
    <row r="762" spans="1:7">
      <c r="A762" s="37"/>
      <c r="B762" s="37" t="s">
        <v>5377</v>
      </c>
      <c r="C762" s="37" t="s">
        <v>3029</v>
      </c>
      <c r="D762" s="37" t="s">
        <v>3030</v>
      </c>
      <c r="E762" s="37" t="s">
        <v>4771</v>
      </c>
      <c r="F762" s="37"/>
      <c r="G762" s="37"/>
    </row>
    <row r="763" spans="1:7">
      <c r="A763" s="37"/>
      <c r="B763" s="37" t="s">
        <v>5378</v>
      </c>
      <c r="C763" s="37" t="s">
        <v>3029</v>
      </c>
      <c r="D763" s="37" t="s">
        <v>3030</v>
      </c>
      <c r="E763" s="37" t="s">
        <v>4771</v>
      </c>
      <c r="F763" s="37"/>
      <c r="G763" s="37"/>
    </row>
    <row r="764" spans="1:7">
      <c r="A764" s="37"/>
      <c r="B764" s="37" t="s">
        <v>5379</v>
      </c>
      <c r="C764" s="37" t="s">
        <v>3029</v>
      </c>
      <c r="D764" s="37" t="s">
        <v>3030</v>
      </c>
      <c r="E764" s="37" t="s">
        <v>4771</v>
      </c>
      <c r="F764" s="37"/>
      <c r="G764" s="37"/>
    </row>
    <row r="765" spans="1:7">
      <c r="A765" s="37"/>
      <c r="B765" s="37" t="s">
        <v>5380</v>
      </c>
      <c r="C765" s="37" t="s">
        <v>3029</v>
      </c>
      <c r="D765" s="37" t="s">
        <v>3030</v>
      </c>
      <c r="E765" s="37" t="s">
        <v>4771</v>
      </c>
      <c r="F765" s="37"/>
      <c r="G765" s="37"/>
    </row>
    <row r="766" spans="1:7">
      <c r="A766" s="37"/>
      <c r="B766" s="37" t="s">
        <v>5381</v>
      </c>
      <c r="C766" s="37" t="s">
        <v>3029</v>
      </c>
      <c r="D766" s="37" t="s">
        <v>3030</v>
      </c>
      <c r="E766" s="37" t="s">
        <v>4771</v>
      </c>
      <c r="F766" s="37"/>
      <c r="G766" s="37"/>
    </row>
    <row r="767" spans="1:7">
      <c r="A767" s="37"/>
      <c r="B767" s="37" t="s">
        <v>5382</v>
      </c>
      <c r="C767" s="37" t="s">
        <v>3029</v>
      </c>
      <c r="D767" s="37" t="s">
        <v>3030</v>
      </c>
      <c r="E767" s="37" t="s">
        <v>4771</v>
      </c>
      <c r="F767" s="37"/>
      <c r="G767" s="37"/>
    </row>
    <row r="768" spans="1:7">
      <c r="A768" s="37"/>
      <c r="B768" s="37" t="s">
        <v>5383</v>
      </c>
      <c r="C768" s="37" t="s">
        <v>3029</v>
      </c>
      <c r="D768" s="37" t="s">
        <v>3030</v>
      </c>
      <c r="E768" s="37" t="s">
        <v>4771</v>
      </c>
      <c r="F768" s="37"/>
      <c r="G768" s="37"/>
    </row>
    <row r="769" spans="1:7">
      <c r="A769" s="37"/>
      <c r="B769" s="37" t="s">
        <v>5384</v>
      </c>
      <c r="C769" s="37" t="s">
        <v>3029</v>
      </c>
      <c r="D769" s="37" t="s">
        <v>3030</v>
      </c>
      <c r="E769" s="37" t="s">
        <v>4771</v>
      </c>
      <c r="F769" s="37"/>
      <c r="G769" s="37"/>
    </row>
    <row r="770" spans="1:7">
      <c r="A770" s="37"/>
      <c r="B770" s="37" t="s">
        <v>5385</v>
      </c>
      <c r="C770" s="37" t="s">
        <v>3029</v>
      </c>
      <c r="D770" s="37" t="s">
        <v>3030</v>
      </c>
      <c r="E770" s="37" t="s">
        <v>4771</v>
      </c>
      <c r="F770" s="37"/>
      <c r="G770" s="37"/>
    </row>
    <row r="771" spans="1:7">
      <c r="A771" s="37"/>
      <c r="B771" s="37" t="s">
        <v>5386</v>
      </c>
      <c r="C771" s="37" t="s">
        <v>3029</v>
      </c>
      <c r="D771" s="37" t="s">
        <v>3030</v>
      </c>
      <c r="E771" s="37" t="s">
        <v>4771</v>
      </c>
      <c r="F771" s="37"/>
      <c r="G771" s="37"/>
    </row>
    <row r="772" spans="1:7">
      <c r="A772" s="37"/>
      <c r="B772" s="37" t="s">
        <v>5387</v>
      </c>
      <c r="C772" s="37" t="s">
        <v>3029</v>
      </c>
      <c r="D772" s="37" t="s">
        <v>3030</v>
      </c>
      <c r="E772" s="37" t="s">
        <v>4771</v>
      </c>
      <c r="F772" s="37"/>
      <c r="G772" s="37"/>
    </row>
    <row r="773" spans="1:7">
      <c r="A773" s="37"/>
      <c r="B773" s="37" t="s">
        <v>5388</v>
      </c>
      <c r="C773" s="37" t="s">
        <v>3029</v>
      </c>
      <c r="D773" s="37" t="s">
        <v>3030</v>
      </c>
      <c r="E773" s="37" t="s">
        <v>4771</v>
      </c>
      <c r="F773" s="37"/>
      <c r="G773" s="37"/>
    </row>
    <row r="774" spans="1:7">
      <c r="A774" s="37"/>
      <c r="B774" s="37" t="s">
        <v>5389</v>
      </c>
      <c r="C774" s="37" t="s">
        <v>3029</v>
      </c>
      <c r="D774" s="37" t="s">
        <v>3030</v>
      </c>
      <c r="E774" s="37" t="s">
        <v>4771</v>
      </c>
      <c r="F774" s="37"/>
      <c r="G774" s="37"/>
    </row>
    <row r="775" spans="1:7">
      <c r="A775" s="37"/>
      <c r="B775" s="37" t="s">
        <v>5390</v>
      </c>
      <c r="C775" s="37" t="s">
        <v>3029</v>
      </c>
      <c r="D775" s="37" t="s">
        <v>3030</v>
      </c>
      <c r="E775" s="37" t="s">
        <v>4771</v>
      </c>
      <c r="F775" s="37"/>
      <c r="G775" s="37"/>
    </row>
    <row r="776" spans="1:7">
      <c r="A776" s="37"/>
      <c r="B776" s="37" t="s">
        <v>5391</v>
      </c>
      <c r="C776" s="37" t="s">
        <v>3029</v>
      </c>
      <c r="D776" s="37" t="s">
        <v>3030</v>
      </c>
      <c r="E776" s="37" t="s">
        <v>4771</v>
      </c>
      <c r="F776" s="37"/>
      <c r="G776" s="37"/>
    </row>
    <row r="777" spans="1:7">
      <c r="A777" s="37"/>
      <c r="B777" s="37" t="s">
        <v>5392</v>
      </c>
      <c r="C777" s="37" t="s">
        <v>3029</v>
      </c>
      <c r="D777" s="37" t="s">
        <v>3030</v>
      </c>
      <c r="E777" s="37" t="s">
        <v>4771</v>
      </c>
      <c r="F777" s="37"/>
      <c r="G777" s="37"/>
    </row>
    <row r="778" spans="1:7">
      <c r="A778" s="37"/>
      <c r="B778" s="37" t="s">
        <v>5393</v>
      </c>
      <c r="C778" s="37" t="s">
        <v>3029</v>
      </c>
      <c r="D778" s="37" t="s">
        <v>3030</v>
      </c>
      <c r="E778" s="37" t="s">
        <v>4771</v>
      </c>
      <c r="F778" s="37"/>
      <c r="G778" s="37"/>
    </row>
    <row r="779" spans="1:7">
      <c r="A779" s="37"/>
      <c r="B779" s="37" t="s">
        <v>5394</v>
      </c>
      <c r="C779" s="37" t="s">
        <v>3044</v>
      </c>
      <c r="D779" s="37" t="s">
        <v>3045</v>
      </c>
      <c r="E779" s="37" t="s">
        <v>4771</v>
      </c>
      <c r="F779" s="37"/>
      <c r="G779" s="37"/>
    </row>
    <row r="780" spans="1:7">
      <c r="A780" s="37"/>
      <c r="B780" s="37" t="s">
        <v>5395</v>
      </c>
      <c r="C780" s="37" t="s">
        <v>3044</v>
      </c>
      <c r="D780" s="37" t="s">
        <v>3045</v>
      </c>
      <c r="E780" s="37" t="s">
        <v>4771</v>
      </c>
      <c r="F780" s="37"/>
      <c r="G780" s="37"/>
    </row>
    <row r="781" spans="1:7">
      <c r="A781" s="37"/>
      <c r="B781" s="37" t="s">
        <v>5396</v>
      </c>
      <c r="C781" s="37" t="s">
        <v>3058</v>
      </c>
      <c r="D781" s="37" t="s">
        <v>3059</v>
      </c>
      <c r="E781" s="37" t="s">
        <v>4771</v>
      </c>
      <c r="F781" s="37"/>
      <c r="G781" s="37"/>
    </row>
    <row r="782" spans="1:7">
      <c r="A782" s="37"/>
      <c r="B782" s="37" t="s">
        <v>5397</v>
      </c>
      <c r="C782" s="37" t="s">
        <v>3058</v>
      </c>
      <c r="D782" s="37" t="s">
        <v>3059</v>
      </c>
      <c r="E782" s="37" t="s">
        <v>4771</v>
      </c>
      <c r="F782" s="37"/>
      <c r="G782" s="37"/>
    </row>
    <row r="783" spans="1:7">
      <c r="A783" s="37"/>
      <c r="B783" s="37" t="s">
        <v>5398</v>
      </c>
      <c r="C783" s="37" t="s">
        <v>3072</v>
      </c>
      <c r="D783" s="37" t="s">
        <v>3073</v>
      </c>
      <c r="E783" s="37" t="s">
        <v>4771</v>
      </c>
      <c r="F783" s="37"/>
      <c r="G783" s="37"/>
    </row>
    <row r="784" spans="1:7">
      <c r="A784" s="37"/>
      <c r="B784" s="37" t="s">
        <v>5399</v>
      </c>
      <c r="C784" s="37" t="s">
        <v>3072</v>
      </c>
      <c r="D784" s="37" t="s">
        <v>3073</v>
      </c>
      <c r="E784" s="37" t="s">
        <v>4771</v>
      </c>
      <c r="F784" s="37"/>
      <c r="G784" s="37"/>
    </row>
    <row r="785" spans="1:7">
      <c r="A785" s="37"/>
      <c r="B785" s="37" t="s">
        <v>5400</v>
      </c>
      <c r="C785" s="37" t="s">
        <v>3072</v>
      </c>
      <c r="D785" s="37" t="s">
        <v>3073</v>
      </c>
      <c r="E785" s="37" t="s">
        <v>4771</v>
      </c>
      <c r="F785" s="37"/>
      <c r="G785" s="37"/>
    </row>
    <row r="786" spans="1:7">
      <c r="A786" s="37"/>
      <c r="B786" s="37" t="s">
        <v>3092</v>
      </c>
      <c r="C786" s="37" t="s">
        <v>3087</v>
      </c>
      <c r="D786" s="37" t="s">
        <v>3088</v>
      </c>
      <c r="E786" s="37" t="s">
        <v>4771</v>
      </c>
      <c r="F786" s="37"/>
      <c r="G786" s="37"/>
    </row>
    <row r="787" spans="1:7">
      <c r="A787" s="37"/>
      <c r="B787" s="37" t="s">
        <v>5401</v>
      </c>
      <c r="C787" s="37" t="s">
        <v>3101</v>
      </c>
      <c r="D787" s="37" t="s">
        <v>3102</v>
      </c>
      <c r="E787" s="37" t="s">
        <v>4771</v>
      </c>
      <c r="F787" s="37"/>
      <c r="G787" s="37"/>
    </row>
    <row r="788" spans="1:7">
      <c r="A788" s="37"/>
      <c r="B788" s="37" t="s">
        <v>5402</v>
      </c>
      <c r="C788" s="37" t="s">
        <v>3101</v>
      </c>
      <c r="D788" s="37" t="s">
        <v>3102</v>
      </c>
      <c r="E788" s="37" t="s">
        <v>4771</v>
      </c>
      <c r="F788" s="37"/>
      <c r="G788" s="37"/>
    </row>
    <row r="789" spans="1:7">
      <c r="A789" s="37"/>
      <c r="B789" s="37" t="s">
        <v>5403</v>
      </c>
      <c r="C789" s="37" t="s">
        <v>3101</v>
      </c>
      <c r="D789" s="37" t="s">
        <v>3102</v>
      </c>
      <c r="E789" s="37" t="s">
        <v>4771</v>
      </c>
      <c r="F789" s="37"/>
      <c r="G789" s="37"/>
    </row>
    <row r="790" spans="1:7">
      <c r="A790" s="37"/>
      <c r="B790" s="37" t="s">
        <v>5404</v>
      </c>
      <c r="C790" s="37" t="s">
        <v>3101</v>
      </c>
      <c r="D790" s="37" t="s">
        <v>3102</v>
      </c>
      <c r="E790" s="37" t="s">
        <v>4771</v>
      </c>
      <c r="F790" s="37"/>
      <c r="G790" s="37"/>
    </row>
    <row r="791" spans="1:7">
      <c r="A791" s="37"/>
      <c r="B791" s="37" t="s">
        <v>5405</v>
      </c>
      <c r="C791" s="37" t="s">
        <v>3101</v>
      </c>
      <c r="D791" s="37" t="s">
        <v>3102</v>
      </c>
      <c r="E791" s="37" t="s">
        <v>4771</v>
      </c>
      <c r="F791" s="37"/>
      <c r="G791" s="37"/>
    </row>
    <row r="792" spans="1:7">
      <c r="A792" s="37"/>
      <c r="B792" s="37" t="s">
        <v>5406</v>
      </c>
      <c r="C792" s="37" t="s">
        <v>3101</v>
      </c>
      <c r="D792" s="37" t="s">
        <v>3102</v>
      </c>
      <c r="E792" s="37" t="s">
        <v>4771</v>
      </c>
      <c r="F792" s="37"/>
      <c r="G792" s="37"/>
    </row>
    <row r="793" spans="1:7">
      <c r="A793" s="37"/>
      <c r="B793" s="37" t="s">
        <v>5407</v>
      </c>
      <c r="C793" s="37" t="s">
        <v>3101</v>
      </c>
      <c r="D793" s="37" t="s">
        <v>3102</v>
      </c>
      <c r="E793" s="37" t="s">
        <v>4771</v>
      </c>
      <c r="F793" s="37"/>
      <c r="G793" s="37"/>
    </row>
    <row r="794" spans="1:7">
      <c r="A794" s="37"/>
      <c r="B794" s="37" t="s">
        <v>5408</v>
      </c>
      <c r="C794" s="37" t="s">
        <v>3101</v>
      </c>
      <c r="D794" s="37" t="s">
        <v>3102</v>
      </c>
      <c r="E794" s="37" t="s">
        <v>4771</v>
      </c>
      <c r="F794" s="37"/>
      <c r="G794" s="37"/>
    </row>
    <row r="795" spans="1:7">
      <c r="A795" s="37"/>
      <c r="B795" s="37" t="s">
        <v>5409</v>
      </c>
      <c r="C795" s="37" t="s">
        <v>3101</v>
      </c>
      <c r="D795" s="37" t="s">
        <v>3102</v>
      </c>
      <c r="E795" s="37" t="s">
        <v>4771</v>
      </c>
      <c r="F795" s="37"/>
      <c r="G795" s="37"/>
    </row>
    <row r="796" spans="1:7">
      <c r="A796" s="37"/>
      <c r="B796" s="37" t="s">
        <v>5410</v>
      </c>
      <c r="C796" s="37" t="s">
        <v>3101</v>
      </c>
      <c r="D796" s="37" t="s">
        <v>3102</v>
      </c>
      <c r="E796" s="37" t="s">
        <v>4771</v>
      </c>
      <c r="F796" s="37"/>
      <c r="G796" s="37"/>
    </row>
    <row r="797" spans="1:7">
      <c r="A797" s="37"/>
      <c r="B797" s="37" t="s">
        <v>5411</v>
      </c>
      <c r="C797" s="37" t="s">
        <v>3101</v>
      </c>
      <c r="D797" s="37" t="s">
        <v>3102</v>
      </c>
      <c r="E797" s="37" t="s">
        <v>4771</v>
      </c>
      <c r="F797" s="37"/>
      <c r="G797" s="37"/>
    </row>
    <row r="798" spans="1:7">
      <c r="A798" s="37"/>
      <c r="B798" s="37" t="s">
        <v>5412</v>
      </c>
      <c r="C798" s="37" t="s">
        <v>3101</v>
      </c>
      <c r="D798" s="37" t="s">
        <v>3102</v>
      </c>
      <c r="E798" s="37" t="s">
        <v>4771</v>
      </c>
      <c r="F798" s="37"/>
      <c r="G798" s="37"/>
    </row>
    <row r="799" spans="1:7">
      <c r="A799" s="37"/>
      <c r="B799" s="37" t="s">
        <v>5413</v>
      </c>
      <c r="C799" s="37" t="s">
        <v>3101</v>
      </c>
      <c r="D799" s="37" t="s">
        <v>3102</v>
      </c>
      <c r="E799" s="37" t="s">
        <v>4771</v>
      </c>
      <c r="F799" s="37"/>
      <c r="G799" s="37"/>
    </row>
    <row r="800" spans="1:7">
      <c r="A800" s="37"/>
      <c r="B800" s="37" t="s">
        <v>5414</v>
      </c>
      <c r="C800" s="37" t="s">
        <v>3101</v>
      </c>
      <c r="D800" s="37" t="s">
        <v>3102</v>
      </c>
      <c r="E800" s="37" t="s">
        <v>4771</v>
      </c>
      <c r="F800" s="37"/>
      <c r="G800" s="37"/>
    </row>
    <row r="801" spans="1:7">
      <c r="A801" s="37"/>
      <c r="B801" s="37" t="s">
        <v>5415</v>
      </c>
      <c r="C801" s="37" t="s">
        <v>3101</v>
      </c>
      <c r="D801" s="37" t="s">
        <v>3102</v>
      </c>
      <c r="E801" s="37" t="s">
        <v>4771</v>
      </c>
      <c r="F801" s="37"/>
      <c r="G801" s="37"/>
    </row>
    <row r="802" spans="1:7">
      <c r="A802" s="37"/>
      <c r="B802" s="37" t="s">
        <v>5416</v>
      </c>
      <c r="C802" s="37" t="s">
        <v>3101</v>
      </c>
      <c r="D802" s="37" t="s">
        <v>3102</v>
      </c>
      <c r="E802" s="37" t="s">
        <v>4771</v>
      </c>
      <c r="F802" s="37"/>
      <c r="G802" s="37"/>
    </row>
    <row r="803" spans="1:7">
      <c r="A803" s="37"/>
      <c r="B803" s="37" t="s">
        <v>5417</v>
      </c>
      <c r="C803" s="37" t="s">
        <v>3115</v>
      </c>
      <c r="D803" s="37" t="s">
        <v>3116</v>
      </c>
      <c r="E803" s="37" t="s">
        <v>4771</v>
      </c>
      <c r="F803" s="37"/>
      <c r="G803" s="37"/>
    </row>
    <row r="804" spans="1:7">
      <c r="A804" s="37"/>
      <c r="B804" s="37" t="s">
        <v>5418</v>
      </c>
      <c r="C804" s="37" t="s">
        <v>3115</v>
      </c>
      <c r="D804" s="37" t="s">
        <v>3116</v>
      </c>
      <c r="E804" s="37" t="s">
        <v>4771</v>
      </c>
      <c r="F804" s="37"/>
      <c r="G804" s="37"/>
    </row>
    <row r="805" spans="1:7">
      <c r="A805" s="37"/>
      <c r="B805" s="37" t="s">
        <v>5419</v>
      </c>
      <c r="C805" s="37" t="s">
        <v>3129</v>
      </c>
      <c r="D805" s="37" t="s">
        <v>3130</v>
      </c>
      <c r="E805" s="37" t="s">
        <v>4771</v>
      </c>
      <c r="F805" s="37"/>
      <c r="G805" s="37"/>
    </row>
    <row r="806" spans="1:7">
      <c r="A806" s="37"/>
      <c r="B806" s="37" t="s">
        <v>5420</v>
      </c>
      <c r="C806" s="37" t="s">
        <v>3129</v>
      </c>
      <c r="D806" s="37" t="s">
        <v>3130</v>
      </c>
      <c r="E806" s="37" t="s">
        <v>4771</v>
      </c>
      <c r="F806" s="37"/>
      <c r="G806" s="37"/>
    </row>
    <row r="807" spans="1:7">
      <c r="A807" s="37"/>
      <c r="B807" s="37" t="s">
        <v>3148</v>
      </c>
      <c r="C807" s="37" t="s">
        <v>3143</v>
      </c>
      <c r="D807" s="37" t="s">
        <v>3144</v>
      </c>
      <c r="E807" s="37" t="s">
        <v>4771</v>
      </c>
      <c r="F807" s="37"/>
      <c r="G807" s="37"/>
    </row>
    <row r="808" spans="1:7">
      <c r="A808" s="37"/>
      <c r="B808" s="37" t="s">
        <v>5421</v>
      </c>
      <c r="C808" s="37" t="s">
        <v>3157</v>
      </c>
      <c r="D808" s="37" t="s">
        <v>3158</v>
      </c>
      <c r="E808" s="37" t="s">
        <v>4771</v>
      </c>
      <c r="F808" s="37"/>
      <c r="G808" s="37"/>
    </row>
    <row r="809" spans="1:7">
      <c r="A809" s="37"/>
      <c r="B809" s="37" t="s">
        <v>5422</v>
      </c>
      <c r="C809" s="37" t="s">
        <v>3157</v>
      </c>
      <c r="D809" s="37" t="s">
        <v>3158</v>
      </c>
      <c r="E809" s="37" t="s">
        <v>4771</v>
      </c>
      <c r="F809" s="37"/>
      <c r="G809" s="37"/>
    </row>
    <row r="810" spans="1:7">
      <c r="A810" s="37"/>
      <c r="B810" s="37" t="s">
        <v>5423</v>
      </c>
      <c r="C810" s="37" t="s">
        <v>3170</v>
      </c>
      <c r="D810" s="37" t="s">
        <v>3171</v>
      </c>
      <c r="E810" s="37" t="s">
        <v>4771</v>
      </c>
      <c r="F810" s="37"/>
      <c r="G810" s="37"/>
    </row>
    <row r="811" spans="1:7">
      <c r="A811" s="37"/>
      <c r="B811" s="37" t="s">
        <v>5424</v>
      </c>
      <c r="C811" s="37" t="s">
        <v>3170</v>
      </c>
      <c r="D811" s="37" t="s">
        <v>3171</v>
      </c>
      <c r="E811" s="37" t="s">
        <v>4771</v>
      </c>
      <c r="F811" s="37"/>
      <c r="G811" s="37"/>
    </row>
    <row r="812" spans="1:7">
      <c r="A812" s="37"/>
      <c r="B812" s="37" t="s">
        <v>5425</v>
      </c>
      <c r="C812" s="37" t="s">
        <v>3170</v>
      </c>
      <c r="D812" s="37" t="s">
        <v>3171</v>
      </c>
      <c r="E812" s="37" t="s">
        <v>4771</v>
      </c>
      <c r="F812" s="37"/>
      <c r="G812" s="37"/>
    </row>
    <row r="813" spans="1:7">
      <c r="A813" s="37"/>
      <c r="B813" s="37" t="s">
        <v>5426</v>
      </c>
      <c r="C813" s="37" t="s">
        <v>3170</v>
      </c>
      <c r="D813" s="37" t="s">
        <v>3171</v>
      </c>
      <c r="E813" s="37" t="s">
        <v>4771</v>
      </c>
      <c r="F813" s="37"/>
      <c r="G813" s="37"/>
    </row>
    <row r="814" spans="1:7">
      <c r="A814" s="37"/>
      <c r="B814" s="37" t="s">
        <v>5427</v>
      </c>
      <c r="C814" s="37" t="s">
        <v>3170</v>
      </c>
      <c r="D814" s="37" t="s">
        <v>3171</v>
      </c>
      <c r="E814" s="37" t="s">
        <v>4771</v>
      </c>
      <c r="F814" s="37"/>
      <c r="G814" s="37"/>
    </row>
    <row r="815" spans="1:7">
      <c r="A815" s="37"/>
      <c r="B815" s="37" t="s">
        <v>5428</v>
      </c>
      <c r="C815" s="37" t="s">
        <v>3170</v>
      </c>
      <c r="D815" s="37" t="s">
        <v>3171</v>
      </c>
      <c r="E815" s="37" t="s">
        <v>4771</v>
      </c>
      <c r="F815" s="37"/>
      <c r="G815" s="37"/>
    </row>
    <row r="816" spans="1:7">
      <c r="A816" s="37"/>
      <c r="B816" s="37" t="s">
        <v>5429</v>
      </c>
      <c r="C816" s="37" t="s">
        <v>3170</v>
      </c>
      <c r="D816" s="37" t="s">
        <v>3171</v>
      </c>
      <c r="E816" s="37" t="s">
        <v>4771</v>
      </c>
      <c r="F816" s="37"/>
      <c r="G816" s="37"/>
    </row>
    <row r="817" spans="1:7">
      <c r="A817" s="37"/>
      <c r="B817" s="37" t="s">
        <v>5430</v>
      </c>
      <c r="C817" s="37" t="s">
        <v>3170</v>
      </c>
      <c r="D817" s="37" t="s">
        <v>3171</v>
      </c>
      <c r="E817" s="37" t="s">
        <v>4771</v>
      </c>
      <c r="F817" s="37"/>
      <c r="G817" s="37"/>
    </row>
    <row r="818" spans="1:7">
      <c r="A818" s="37"/>
      <c r="B818" s="37" t="s">
        <v>5431</v>
      </c>
      <c r="C818" s="37" t="s">
        <v>3170</v>
      </c>
      <c r="D818" s="37" t="s">
        <v>3171</v>
      </c>
      <c r="E818" s="37" t="s">
        <v>4771</v>
      </c>
      <c r="F818" s="37"/>
      <c r="G818" s="37"/>
    </row>
    <row r="819" spans="1:7">
      <c r="A819" s="37"/>
      <c r="B819" s="37" t="s">
        <v>5432</v>
      </c>
      <c r="C819" s="37" t="s">
        <v>3170</v>
      </c>
      <c r="D819" s="37" t="s">
        <v>3171</v>
      </c>
      <c r="E819" s="37" t="s">
        <v>4771</v>
      </c>
      <c r="F819" s="37"/>
      <c r="G819" s="37"/>
    </row>
    <row r="820" spans="1:7">
      <c r="A820" s="37"/>
      <c r="B820" s="37" t="s">
        <v>5433</v>
      </c>
      <c r="C820" s="37" t="s">
        <v>3170</v>
      </c>
      <c r="D820" s="37" t="s">
        <v>3171</v>
      </c>
      <c r="E820" s="37" t="s">
        <v>4771</v>
      </c>
      <c r="F820" s="37"/>
      <c r="G820" s="37"/>
    </row>
    <row r="821" spans="1:7">
      <c r="A821" s="37"/>
      <c r="B821" s="37" t="s">
        <v>5434</v>
      </c>
      <c r="C821" s="37" t="s">
        <v>3170</v>
      </c>
      <c r="D821" s="37" t="s">
        <v>3171</v>
      </c>
      <c r="E821" s="37" t="s">
        <v>4771</v>
      </c>
      <c r="F821" s="37"/>
      <c r="G821" s="37"/>
    </row>
    <row r="822" spans="1:7">
      <c r="A822" s="37"/>
      <c r="B822" s="37" t="s">
        <v>5435</v>
      </c>
      <c r="C822" s="37" t="s">
        <v>3170</v>
      </c>
      <c r="D822" s="37" t="s">
        <v>3171</v>
      </c>
      <c r="E822" s="37" t="s">
        <v>4771</v>
      </c>
      <c r="F822" s="37"/>
      <c r="G822" s="37"/>
    </row>
    <row r="823" spans="1:7">
      <c r="A823" s="37"/>
      <c r="B823" s="37" t="s">
        <v>5436</v>
      </c>
      <c r="C823" s="37" t="s">
        <v>3170</v>
      </c>
      <c r="D823" s="37" t="s">
        <v>3171</v>
      </c>
      <c r="E823" s="37" t="s">
        <v>4771</v>
      </c>
      <c r="F823" s="37"/>
      <c r="G823" s="37"/>
    </row>
    <row r="824" spans="1:7">
      <c r="A824" s="37"/>
      <c r="B824" s="37" t="s">
        <v>5437</v>
      </c>
      <c r="C824" s="37" t="s">
        <v>3170</v>
      </c>
      <c r="D824" s="37" t="s">
        <v>3171</v>
      </c>
      <c r="E824" s="37" t="s">
        <v>4771</v>
      </c>
      <c r="F824" s="37"/>
      <c r="G824" s="37"/>
    </row>
    <row r="825" spans="1:7">
      <c r="A825" s="37"/>
      <c r="B825" s="37" t="s">
        <v>5438</v>
      </c>
      <c r="C825" s="37" t="s">
        <v>3170</v>
      </c>
      <c r="D825" s="37" t="s">
        <v>3171</v>
      </c>
      <c r="E825" s="37" t="s">
        <v>4771</v>
      </c>
      <c r="F825" s="37"/>
      <c r="G825" s="37"/>
    </row>
    <row r="826" spans="1:7">
      <c r="A826" s="37"/>
      <c r="B826" s="37" t="s">
        <v>5439</v>
      </c>
      <c r="C826" s="37" t="s">
        <v>3185</v>
      </c>
      <c r="D826" s="37" t="s">
        <v>3186</v>
      </c>
      <c r="E826" s="37" t="s">
        <v>4771</v>
      </c>
      <c r="F826" s="37"/>
      <c r="G826" s="37"/>
    </row>
    <row r="827" spans="1:7">
      <c r="A827" s="37"/>
      <c r="B827" s="37" t="s">
        <v>5440</v>
      </c>
      <c r="C827" s="37" t="s">
        <v>3185</v>
      </c>
      <c r="D827" s="37" t="s">
        <v>3186</v>
      </c>
      <c r="E827" s="37" t="s">
        <v>4771</v>
      </c>
      <c r="F827" s="37"/>
      <c r="G827" s="37"/>
    </row>
    <row r="828" spans="1:7">
      <c r="A828" s="37"/>
      <c r="B828" s="37" t="s">
        <v>5441</v>
      </c>
      <c r="C828" s="37" t="s">
        <v>3185</v>
      </c>
      <c r="D828" s="37" t="s">
        <v>3186</v>
      </c>
      <c r="E828" s="37" t="s">
        <v>4771</v>
      </c>
      <c r="F828" s="37"/>
      <c r="G828" s="37"/>
    </row>
    <row r="829" spans="1:7">
      <c r="A829" s="37"/>
      <c r="B829" s="37" t="s">
        <v>5442</v>
      </c>
      <c r="C829" s="37" t="s">
        <v>3185</v>
      </c>
      <c r="D829" s="37" t="s">
        <v>3186</v>
      </c>
      <c r="E829" s="37" t="s">
        <v>4771</v>
      </c>
      <c r="F829" s="37"/>
      <c r="G829" s="37"/>
    </row>
    <row r="830" spans="1:7">
      <c r="A830" s="37"/>
      <c r="B830" s="37" t="s">
        <v>5443</v>
      </c>
      <c r="C830" s="37" t="s">
        <v>3185</v>
      </c>
      <c r="D830" s="37" t="s">
        <v>3186</v>
      </c>
      <c r="E830" s="37" t="s">
        <v>4771</v>
      </c>
      <c r="F830" s="37"/>
      <c r="G830" s="37"/>
    </row>
    <row r="831" spans="1:7">
      <c r="A831" s="37"/>
      <c r="B831" s="37" t="s">
        <v>5444</v>
      </c>
      <c r="C831" s="37" t="s">
        <v>3185</v>
      </c>
      <c r="D831" s="37" t="s">
        <v>3186</v>
      </c>
      <c r="E831" s="37" t="s">
        <v>4771</v>
      </c>
      <c r="F831" s="37"/>
      <c r="G831" s="37"/>
    </row>
    <row r="832" spans="1:7">
      <c r="A832" s="37"/>
      <c r="B832" s="37" t="s">
        <v>5445</v>
      </c>
      <c r="C832" s="37" t="s">
        <v>3185</v>
      </c>
      <c r="D832" s="37" t="s">
        <v>3186</v>
      </c>
      <c r="E832" s="37" t="s">
        <v>4771</v>
      </c>
      <c r="F832" s="37"/>
      <c r="G832" s="37"/>
    </row>
    <row r="833" spans="1:7">
      <c r="A833" s="37"/>
      <c r="B833" s="37" t="s">
        <v>5446</v>
      </c>
      <c r="C833" s="37" t="s">
        <v>3185</v>
      </c>
      <c r="D833" s="37" t="s">
        <v>3186</v>
      </c>
      <c r="E833" s="37" t="s">
        <v>4771</v>
      </c>
      <c r="F833" s="37"/>
      <c r="G833" s="37"/>
    </row>
    <row r="834" spans="1:7">
      <c r="A834" s="37"/>
      <c r="B834" s="37" t="s">
        <v>5447</v>
      </c>
      <c r="C834" s="37" t="s">
        <v>3185</v>
      </c>
      <c r="D834" s="37" t="s">
        <v>3186</v>
      </c>
      <c r="E834" s="37" t="s">
        <v>4771</v>
      </c>
      <c r="F834" s="37"/>
      <c r="G834" s="37"/>
    </row>
    <row r="835" spans="1:7">
      <c r="A835" s="37"/>
      <c r="B835" s="37" t="s">
        <v>5448</v>
      </c>
      <c r="C835" s="37" t="s">
        <v>3185</v>
      </c>
      <c r="D835" s="37" t="s">
        <v>3186</v>
      </c>
      <c r="E835" s="37" t="s">
        <v>4771</v>
      </c>
      <c r="F835" s="37"/>
      <c r="G835" s="37"/>
    </row>
    <row r="836" spans="1:7">
      <c r="A836" s="37"/>
      <c r="B836" s="37" t="s">
        <v>5449</v>
      </c>
      <c r="C836" s="37" t="s">
        <v>3185</v>
      </c>
      <c r="D836" s="37" t="s">
        <v>3186</v>
      </c>
      <c r="E836" s="37" t="s">
        <v>4771</v>
      </c>
      <c r="F836" s="37"/>
      <c r="G836" s="37"/>
    </row>
    <row r="837" spans="1:7">
      <c r="A837" s="37"/>
      <c r="B837" s="37" t="s">
        <v>5450</v>
      </c>
      <c r="C837" s="37" t="s">
        <v>3185</v>
      </c>
      <c r="D837" s="37" t="s">
        <v>3186</v>
      </c>
      <c r="E837" s="37" t="s">
        <v>4771</v>
      </c>
      <c r="F837" s="37"/>
      <c r="G837" s="37"/>
    </row>
    <row r="838" spans="1:7">
      <c r="A838" s="37"/>
      <c r="B838" s="37" t="s">
        <v>5451</v>
      </c>
      <c r="C838" s="37" t="s">
        <v>3185</v>
      </c>
      <c r="D838" s="37" t="s">
        <v>3186</v>
      </c>
      <c r="E838" s="37" t="s">
        <v>4771</v>
      </c>
      <c r="F838" s="37"/>
      <c r="G838" s="37"/>
    </row>
    <row r="839" spans="1:7">
      <c r="A839" s="37"/>
      <c r="B839" s="37" t="s">
        <v>5452</v>
      </c>
      <c r="C839" s="37" t="s">
        <v>3185</v>
      </c>
      <c r="D839" s="37" t="s">
        <v>3186</v>
      </c>
      <c r="E839" s="37" t="s">
        <v>4771</v>
      </c>
      <c r="F839" s="37"/>
      <c r="G839" s="37"/>
    </row>
    <row r="840" spans="1:7">
      <c r="A840" s="37"/>
      <c r="B840" s="37" t="s">
        <v>5453</v>
      </c>
      <c r="C840" s="37" t="s">
        <v>3185</v>
      </c>
      <c r="D840" s="37" t="s">
        <v>3186</v>
      </c>
      <c r="E840" s="37" t="s">
        <v>4771</v>
      </c>
      <c r="F840" s="37"/>
      <c r="G840" s="37"/>
    </row>
    <row r="841" spans="1:7">
      <c r="A841" s="37"/>
      <c r="B841" s="37" t="s">
        <v>5454</v>
      </c>
      <c r="C841" s="37" t="s">
        <v>3185</v>
      </c>
      <c r="D841" s="37" t="s">
        <v>3186</v>
      </c>
      <c r="E841" s="37" t="s">
        <v>4771</v>
      </c>
      <c r="F841" s="37"/>
      <c r="G841" s="37"/>
    </row>
    <row r="842" spans="1:7">
      <c r="A842" s="37"/>
      <c r="B842" s="37" t="s">
        <v>5455</v>
      </c>
      <c r="C842" s="37" t="s">
        <v>3185</v>
      </c>
      <c r="D842" s="37" t="s">
        <v>3186</v>
      </c>
      <c r="E842" s="37" t="s">
        <v>4771</v>
      </c>
      <c r="F842" s="37"/>
      <c r="G842" s="37"/>
    </row>
    <row r="843" spans="1:7">
      <c r="A843" s="37"/>
      <c r="B843" s="37" t="s">
        <v>5456</v>
      </c>
      <c r="C843" s="37" t="s">
        <v>3185</v>
      </c>
      <c r="D843" s="37" t="s">
        <v>3186</v>
      </c>
      <c r="E843" s="37" t="s">
        <v>4771</v>
      </c>
      <c r="F843" s="37"/>
      <c r="G843" s="37"/>
    </row>
    <row r="844" spans="1:7">
      <c r="A844" s="37"/>
      <c r="B844" s="37" t="s">
        <v>5457</v>
      </c>
      <c r="C844" s="37" t="s">
        <v>3185</v>
      </c>
      <c r="D844" s="37" t="s">
        <v>3186</v>
      </c>
      <c r="E844" s="37" t="s">
        <v>4771</v>
      </c>
      <c r="F844" s="37"/>
      <c r="G844" s="37"/>
    </row>
    <row r="845" spans="1:7">
      <c r="A845" s="37"/>
      <c r="B845" s="37" t="s">
        <v>5458</v>
      </c>
      <c r="C845" s="37" t="s">
        <v>3185</v>
      </c>
      <c r="D845" s="37" t="s">
        <v>3186</v>
      </c>
      <c r="E845" s="37" t="s">
        <v>4771</v>
      </c>
      <c r="F845" s="37"/>
      <c r="G845" s="37"/>
    </row>
    <row r="846" spans="1:7">
      <c r="A846" s="37"/>
      <c r="B846" s="37" t="s">
        <v>5459</v>
      </c>
      <c r="C846" s="37" t="s">
        <v>3185</v>
      </c>
      <c r="D846" s="37" t="s">
        <v>3186</v>
      </c>
      <c r="E846" s="37" t="s">
        <v>4771</v>
      </c>
      <c r="F846" s="37"/>
      <c r="G846" s="37"/>
    </row>
    <row r="847" spans="1:7">
      <c r="A847" s="37"/>
      <c r="B847" s="37" t="s">
        <v>3205</v>
      </c>
      <c r="C847" s="37" t="s">
        <v>3200</v>
      </c>
      <c r="D847" s="37" t="s">
        <v>3201</v>
      </c>
      <c r="E847" s="37" t="s">
        <v>4771</v>
      </c>
      <c r="F847" s="37"/>
      <c r="G847" s="37"/>
    </row>
    <row r="848" spans="1:7">
      <c r="A848" s="37"/>
      <c r="B848" s="37" t="s">
        <v>3219</v>
      </c>
      <c r="C848" s="37" t="s">
        <v>3214</v>
      </c>
      <c r="D848" s="37" t="s">
        <v>3215</v>
      </c>
      <c r="E848" s="37" t="s">
        <v>4771</v>
      </c>
      <c r="F848" s="37"/>
      <c r="G848" s="37"/>
    </row>
    <row r="849" spans="1:7">
      <c r="A849" s="37"/>
      <c r="B849" s="37" t="s">
        <v>5460</v>
      </c>
      <c r="C849" s="37" t="s">
        <v>3228</v>
      </c>
      <c r="D849" s="37" t="s">
        <v>3229</v>
      </c>
      <c r="E849" s="37" t="s">
        <v>4771</v>
      </c>
      <c r="F849" s="37"/>
      <c r="G849" s="37"/>
    </row>
    <row r="850" spans="1:7">
      <c r="A850" s="37"/>
      <c r="B850" s="37" t="s">
        <v>5461</v>
      </c>
      <c r="C850" s="37" t="s">
        <v>3228</v>
      </c>
      <c r="D850" s="37" t="s">
        <v>3229</v>
      </c>
      <c r="E850" s="37" t="s">
        <v>4771</v>
      </c>
      <c r="F850" s="37"/>
      <c r="G850" s="37"/>
    </row>
    <row r="851" spans="1:7">
      <c r="A851" s="37"/>
      <c r="B851" s="37" t="s">
        <v>5462</v>
      </c>
      <c r="C851" s="37" t="s">
        <v>3228</v>
      </c>
      <c r="D851" s="37" t="s">
        <v>3229</v>
      </c>
      <c r="E851" s="37" t="s">
        <v>4771</v>
      </c>
      <c r="F851" s="37"/>
      <c r="G851" s="37"/>
    </row>
    <row r="852" spans="1:7">
      <c r="A852" s="37"/>
      <c r="B852" s="37" t="s">
        <v>5463</v>
      </c>
      <c r="C852" s="37" t="s">
        <v>3228</v>
      </c>
      <c r="D852" s="37" t="s">
        <v>3229</v>
      </c>
      <c r="E852" s="37" t="s">
        <v>4771</v>
      </c>
      <c r="F852" s="37"/>
      <c r="G852" s="37"/>
    </row>
    <row r="853" spans="1:7">
      <c r="A853" s="37"/>
      <c r="B853" s="37" t="s">
        <v>5464</v>
      </c>
      <c r="C853" s="37" t="s">
        <v>3228</v>
      </c>
      <c r="D853" s="37" t="s">
        <v>3229</v>
      </c>
      <c r="E853" s="37" t="s">
        <v>4771</v>
      </c>
      <c r="F853" s="37"/>
      <c r="G853" s="37"/>
    </row>
    <row r="854" spans="1:7">
      <c r="A854" s="37"/>
      <c r="B854" s="37" t="s">
        <v>5465</v>
      </c>
      <c r="C854" s="37" t="s">
        <v>3228</v>
      </c>
      <c r="D854" s="37" t="s">
        <v>3229</v>
      </c>
      <c r="E854" s="37" t="s">
        <v>4771</v>
      </c>
      <c r="F854" s="37"/>
      <c r="G854" s="37"/>
    </row>
    <row r="855" spans="1:7">
      <c r="A855" s="37"/>
      <c r="B855" s="37" t="s">
        <v>5466</v>
      </c>
      <c r="C855" s="37" t="s">
        <v>3228</v>
      </c>
      <c r="D855" s="37" t="s">
        <v>3229</v>
      </c>
      <c r="E855" s="37" t="s">
        <v>4771</v>
      </c>
      <c r="F855" s="37"/>
      <c r="G855" s="37"/>
    </row>
    <row r="856" spans="1:7">
      <c r="A856" s="37"/>
      <c r="B856" s="37" t="s">
        <v>5467</v>
      </c>
      <c r="C856" s="37" t="s">
        <v>3228</v>
      </c>
      <c r="D856" s="37" t="s">
        <v>3229</v>
      </c>
      <c r="E856" s="37" t="s">
        <v>4771</v>
      </c>
      <c r="F856" s="37"/>
      <c r="G856" s="37"/>
    </row>
    <row r="857" spans="1:7">
      <c r="A857" s="37"/>
      <c r="B857" s="37" t="s">
        <v>5468</v>
      </c>
      <c r="C857" s="37" t="s">
        <v>3228</v>
      </c>
      <c r="D857" s="37" t="s">
        <v>3229</v>
      </c>
      <c r="E857" s="37" t="s">
        <v>4771</v>
      </c>
      <c r="F857" s="37"/>
      <c r="G857" s="37"/>
    </row>
    <row r="858" spans="1:7">
      <c r="A858" s="37"/>
      <c r="B858" s="37" t="s">
        <v>5469</v>
      </c>
      <c r="C858" s="37" t="s">
        <v>3228</v>
      </c>
      <c r="D858" s="37" t="s">
        <v>3229</v>
      </c>
      <c r="E858" s="37" t="s">
        <v>4771</v>
      </c>
      <c r="F858" s="37"/>
      <c r="G858" s="37"/>
    </row>
    <row r="859" spans="1:7">
      <c r="A859" s="37"/>
      <c r="B859" s="37" t="s">
        <v>5470</v>
      </c>
      <c r="C859" s="37" t="s">
        <v>3228</v>
      </c>
      <c r="D859" s="37" t="s">
        <v>3229</v>
      </c>
      <c r="E859" s="37" t="s">
        <v>4771</v>
      </c>
      <c r="F859" s="37"/>
      <c r="G859" s="37"/>
    </row>
    <row r="860" spans="1:7">
      <c r="A860" s="37"/>
      <c r="B860" s="37" t="s">
        <v>5471</v>
      </c>
      <c r="C860" s="37" t="s">
        <v>3228</v>
      </c>
      <c r="D860" s="37" t="s">
        <v>3229</v>
      </c>
      <c r="E860" s="37" t="s">
        <v>4771</v>
      </c>
      <c r="F860" s="37"/>
      <c r="G860" s="37"/>
    </row>
    <row r="861" spans="1:7">
      <c r="A861" s="37"/>
      <c r="B861" s="37" t="s">
        <v>5472</v>
      </c>
      <c r="C861" s="37" t="s">
        <v>3228</v>
      </c>
      <c r="D861" s="37" t="s">
        <v>3229</v>
      </c>
      <c r="E861" s="37" t="s">
        <v>4771</v>
      </c>
      <c r="F861" s="37"/>
      <c r="G861" s="37"/>
    </row>
    <row r="862" spans="1:7">
      <c r="A862" s="37"/>
      <c r="B862" s="37" t="s">
        <v>5473</v>
      </c>
      <c r="C862" s="37" t="s">
        <v>3228</v>
      </c>
      <c r="D862" s="37" t="s">
        <v>3229</v>
      </c>
      <c r="E862" s="37" t="s">
        <v>4771</v>
      </c>
      <c r="F862" s="37"/>
      <c r="G862" s="37"/>
    </row>
    <row r="863" spans="1:7">
      <c r="A863" s="37"/>
      <c r="B863" s="37" t="s">
        <v>5474</v>
      </c>
      <c r="C863" s="37" t="s">
        <v>3228</v>
      </c>
      <c r="D863" s="37" t="s">
        <v>3229</v>
      </c>
      <c r="E863" s="37" t="s">
        <v>4771</v>
      </c>
      <c r="F863" s="37"/>
      <c r="G863" s="37"/>
    </row>
    <row r="864" spans="1:7">
      <c r="A864" s="37"/>
      <c r="B864" s="37" t="s">
        <v>5475</v>
      </c>
      <c r="C864" s="37" t="s">
        <v>3228</v>
      </c>
      <c r="D864" s="37" t="s">
        <v>3229</v>
      </c>
      <c r="E864" s="37" t="s">
        <v>4771</v>
      </c>
      <c r="F864" s="37"/>
      <c r="G864" s="37"/>
    </row>
    <row r="865" spans="1:7">
      <c r="A865" s="37"/>
      <c r="B865" s="37" t="s">
        <v>3247</v>
      </c>
      <c r="C865" s="37" t="s">
        <v>3242</v>
      </c>
      <c r="D865" s="37" t="s">
        <v>3243</v>
      </c>
      <c r="E865" s="37" t="s">
        <v>4771</v>
      </c>
      <c r="F865" s="37"/>
      <c r="G865" s="37"/>
    </row>
    <row r="866" spans="1:7">
      <c r="A866" s="37"/>
      <c r="B866" s="37" t="s">
        <v>5476</v>
      </c>
      <c r="C866" s="37" t="s">
        <v>3256</v>
      </c>
      <c r="D866" s="37" t="s">
        <v>3257</v>
      </c>
      <c r="E866" s="37" t="s">
        <v>4771</v>
      </c>
      <c r="F866" s="37"/>
      <c r="G866" s="37"/>
    </row>
    <row r="867" spans="1:7">
      <c r="A867" s="37"/>
      <c r="B867" s="37" t="s">
        <v>5477</v>
      </c>
      <c r="C867" s="37" t="s">
        <v>3256</v>
      </c>
      <c r="D867" s="37" t="s">
        <v>3257</v>
      </c>
      <c r="E867" s="37" t="s">
        <v>4771</v>
      </c>
      <c r="F867" s="37"/>
      <c r="G867" s="37"/>
    </row>
    <row r="868" spans="1:7">
      <c r="A868" s="37"/>
      <c r="B868" s="37" t="s">
        <v>5478</v>
      </c>
      <c r="C868" s="37" t="s">
        <v>3270</v>
      </c>
      <c r="D868" s="37" t="s">
        <v>3271</v>
      </c>
      <c r="E868" s="37" t="s">
        <v>4771</v>
      </c>
      <c r="F868" s="37"/>
      <c r="G868" s="37"/>
    </row>
    <row r="869" spans="1:7">
      <c r="A869" s="37"/>
      <c r="B869" s="37" t="s">
        <v>5479</v>
      </c>
      <c r="C869" s="37" t="s">
        <v>3270</v>
      </c>
      <c r="D869" s="37" t="s">
        <v>3271</v>
      </c>
      <c r="E869" s="37" t="s">
        <v>4771</v>
      </c>
      <c r="F869" s="37"/>
      <c r="G869" s="37"/>
    </row>
    <row r="870" spans="1:7">
      <c r="A870" s="37"/>
      <c r="B870" s="37" t="s">
        <v>3289</v>
      </c>
      <c r="C870" s="37" t="s">
        <v>3284</v>
      </c>
      <c r="D870" s="37" t="s">
        <v>3285</v>
      </c>
      <c r="E870" s="37" t="s">
        <v>4771</v>
      </c>
      <c r="F870" s="37"/>
      <c r="G870" s="37"/>
    </row>
    <row r="871" spans="1:7">
      <c r="A871" s="37"/>
      <c r="B871" s="37" t="s">
        <v>5480</v>
      </c>
      <c r="C871" s="37" t="s">
        <v>3298</v>
      </c>
      <c r="D871" s="37" t="s">
        <v>3299</v>
      </c>
      <c r="E871" s="37" t="s">
        <v>4771</v>
      </c>
      <c r="F871" s="37"/>
      <c r="G871" s="37"/>
    </row>
    <row r="872" spans="1:7">
      <c r="A872" s="37"/>
      <c r="B872" s="37" t="s">
        <v>5481</v>
      </c>
      <c r="C872" s="37" t="s">
        <v>3298</v>
      </c>
      <c r="D872" s="37" t="s">
        <v>3299</v>
      </c>
      <c r="E872" s="37" t="s">
        <v>4771</v>
      </c>
      <c r="F872" s="37"/>
      <c r="G872" s="37"/>
    </row>
    <row r="873" spans="1:7">
      <c r="A873" s="37"/>
      <c r="B873" s="37" t="s">
        <v>5482</v>
      </c>
      <c r="C873" s="37" t="s">
        <v>3298</v>
      </c>
      <c r="D873" s="37" t="s">
        <v>3299</v>
      </c>
      <c r="E873" s="37" t="s">
        <v>4771</v>
      </c>
      <c r="F873" s="37"/>
      <c r="G873" s="37"/>
    </row>
    <row r="874" spans="1:7">
      <c r="A874" s="37"/>
      <c r="B874" s="37" t="s">
        <v>5483</v>
      </c>
      <c r="C874" s="37" t="s">
        <v>3298</v>
      </c>
      <c r="D874" s="37" t="s">
        <v>3299</v>
      </c>
      <c r="E874" s="37" t="s">
        <v>4771</v>
      </c>
      <c r="F874" s="37"/>
      <c r="G874" s="37"/>
    </row>
    <row r="875" spans="1:7">
      <c r="A875" s="37"/>
      <c r="B875" s="37" t="s">
        <v>5484</v>
      </c>
      <c r="C875" s="37" t="s">
        <v>3298</v>
      </c>
      <c r="D875" s="37" t="s">
        <v>3299</v>
      </c>
      <c r="E875" s="37" t="s">
        <v>4771</v>
      </c>
      <c r="F875" s="37"/>
      <c r="G875" s="37"/>
    </row>
    <row r="876" spans="1:7">
      <c r="A876" s="37"/>
      <c r="B876" s="37" t="s">
        <v>5485</v>
      </c>
      <c r="C876" s="37" t="s">
        <v>3298</v>
      </c>
      <c r="D876" s="37" t="s">
        <v>3299</v>
      </c>
      <c r="E876" s="37" t="s">
        <v>4771</v>
      </c>
      <c r="F876" s="37"/>
      <c r="G876" s="37"/>
    </row>
    <row r="877" spans="1:7">
      <c r="A877" s="37"/>
      <c r="B877" s="37" t="s">
        <v>5486</v>
      </c>
      <c r="C877" s="37" t="s">
        <v>3298</v>
      </c>
      <c r="D877" s="37" t="s">
        <v>3299</v>
      </c>
      <c r="E877" s="37" t="s">
        <v>4771</v>
      </c>
      <c r="F877" s="37"/>
      <c r="G877" s="37"/>
    </row>
    <row r="878" spans="1:7">
      <c r="A878" s="37"/>
      <c r="B878" s="37" t="s">
        <v>5487</v>
      </c>
      <c r="C878" s="37" t="s">
        <v>3298</v>
      </c>
      <c r="D878" s="37" t="s">
        <v>3299</v>
      </c>
      <c r="E878" s="37" t="s">
        <v>4771</v>
      </c>
      <c r="F878" s="37"/>
      <c r="G878" s="37"/>
    </row>
    <row r="879" spans="1:7">
      <c r="A879" s="37"/>
      <c r="B879" s="37" t="s">
        <v>5488</v>
      </c>
      <c r="C879" s="37" t="s">
        <v>3298</v>
      </c>
      <c r="D879" s="37" t="s">
        <v>3299</v>
      </c>
      <c r="E879" s="37" t="s">
        <v>4771</v>
      </c>
      <c r="F879" s="37"/>
      <c r="G879" s="37"/>
    </row>
    <row r="880" spans="1:7">
      <c r="A880" s="37"/>
      <c r="B880" s="37" t="s">
        <v>5489</v>
      </c>
      <c r="C880" s="37" t="s">
        <v>3298</v>
      </c>
      <c r="D880" s="37" t="s">
        <v>3299</v>
      </c>
      <c r="E880" s="37" t="s">
        <v>4771</v>
      </c>
      <c r="F880" s="37"/>
      <c r="G880" s="37"/>
    </row>
    <row r="881" spans="1:7">
      <c r="A881" s="37"/>
      <c r="B881" s="37" t="s">
        <v>5490</v>
      </c>
      <c r="C881" s="37" t="s">
        <v>3298</v>
      </c>
      <c r="D881" s="37" t="s">
        <v>3299</v>
      </c>
      <c r="E881" s="37" t="s">
        <v>4771</v>
      </c>
      <c r="F881" s="37"/>
      <c r="G881" s="37"/>
    </row>
    <row r="882" spans="1:7">
      <c r="A882" s="37"/>
      <c r="B882" s="37" t="s">
        <v>5491</v>
      </c>
      <c r="C882" s="37" t="s">
        <v>3298</v>
      </c>
      <c r="D882" s="37" t="s">
        <v>3299</v>
      </c>
      <c r="E882" s="37" t="s">
        <v>4771</v>
      </c>
      <c r="F882" s="37"/>
      <c r="G882" s="37"/>
    </row>
    <row r="883" spans="1:7">
      <c r="A883" s="37"/>
      <c r="B883" s="37" t="s">
        <v>5492</v>
      </c>
      <c r="C883" s="37" t="s">
        <v>3312</v>
      </c>
      <c r="D883" s="37" t="s">
        <v>3313</v>
      </c>
      <c r="E883" s="37" t="s">
        <v>4771</v>
      </c>
      <c r="F883" s="37"/>
      <c r="G883" s="37"/>
    </row>
    <row r="884" spans="1:7">
      <c r="A884" s="37"/>
      <c r="B884" s="37" t="s">
        <v>5493</v>
      </c>
      <c r="C884" s="37" t="s">
        <v>3312</v>
      </c>
      <c r="D884" s="37" t="s">
        <v>3313</v>
      </c>
      <c r="E884" s="37" t="s">
        <v>4771</v>
      </c>
      <c r="F884" s="37"/>
      <c r="G884" s="37"/>
    </row>
    <row r="885" spans="1:7">
      <c r="A885" s="37"/>
      <c r="B885" s="37" t="s">
        <v>3331</v>
      </c>
      <c r="C885" s="37" t="s">
        <v>3326</v>
      </c>
      <c r="D885" s="37" t="s">
        <v>3327</v>
      </c>
      <c r="E885" s="37" t="s">
        <v>4771</v>
      </c>
      <c r="F885" s="37"/>
      <c r="G885" s="37"/>
    </row>
    <row r="886" spans="1:7">
      <c r="A886" s="37"/>
      <c r="B886" s="37" t="s">
        <v>5494</v>
      </c>
      <c r="C886" s="37" t="s">
        <v>3340</v>
      </c>
      <c r="D886" s="37" t="s">
        <v>3341</v>
      </c>
      <c r="E886" s="37" t="s">
        <v>4771</v>
      </c>
      <c r="F886" s="37"/>
      <c r="G886" s="37"/>
    </row>
    <row r="887" spans="1:7">
      <c r="A887" s="37"/>
      <c r="B887" s="37" t="s">
        <v>5495</v>
      </c>
      <c r="C887" s="37" t="s">
        <v>3340</v>
      </c>
      <c r="D887" s="37" t="s">
        <v>3341</v>
      </c>
      <c r="E887" s="37" t="s">
        <v>4771</v>
      </c>
      <c r="F887" s="37"/>
      <c r="G887" s="37"/>
    </row>
    <row r="888" spans="1:7">
      <c r="A888" s="37"/>
      <c r="B888" s="37" t="s">
        <v>5496</v>
      </c>
      <c r="C888" s="37" t="s">
        <v>3354</v>
      </c>
      <c r="D888" s="37" t="s">
        <v>3355</v>
      </c>
      <c r="E888" s="37" t="s">
        <v>4771</v>
      </c>
      <c r="F888" s="37"/>
      <c r="G888" s="37"/>
    </row>
    <row r="889" spans="1:7">
      <c r="A889" s="37"/>
      <c r="B889" s="37" t="s">
        <v>5497</v>
      </c>
      <c r="C889" s="37" t="s">
        <v>3354</v>
      </c>
      <c r="D889" s="37" t="s">
        <v>3355</v>
      </c>
      <c r="E889" s="37" t="s">
        <v>4771</v>
      </c>
      <c r="F889" s="37"/>
      <c r="G889" s="37"/>
    </row>
    <row r="890" spans="1:7">
      <c r="A890" s="37"/>
      <c r="B890" s="37" t="s">
        <v>5498</v>
      </c>
      <c r="C890" s="37" t="s">
        <v>3368</v>
      </c>
      <c r="D890" s="37" t="s">
        <v>3369</v>
      </c>
      <c r="E890" s="37" t="s">
        <v>4771</v>
      </c>
      <c r="F890" s="37"/>
      <c r="G890" s="37"/>
    </row>
    <row r="891" spans="1:7">
      <c r="A891" s="37"/>
      <c r="B891" s="37" t="s">
        <v>5499</v>
      </c>
      <c r="C891" s="37" t="s">
        <v>3368</v>
      </c>
      <c r="D891" s="37" t="s">
        <v>3369</v>
      </c>
      <c r="E891" s="37" t="s">
        <v>4771</v>
      </c>
      <c r="F891" s="37"/>
      <c r="G891" s="37"/>
    </row>
    <row r="892" spans="1:7">
      <c r="A892" s="37"/>
      <c r="B892" s="37" t="s">
        <v>3387</v>
      </c>
      <c r="C892" s="37" t="s">
        <v>3382</v>
      </c>
      <c r="D892" s="37" t="s">
        <v>3383</v>
      </c>
      <c r="E892" s="37" t="s">
        <v>4771</v>
      </c>
      <c r="F892" s="37"/>
      <c r="G892" s="37"/>
    </row>
    <row r="893" spans="1:7">
      <c r="A893" s="37"/>
      <c r="B893" s="37" t="s">
        <v>5500</v>
      </c>
      <c r="C893" s="37" t="s">
        <v>3396</v>
      </c>
      <c r="D893" s="37" t="s">
        <v>3397</v>
      </c>
      <c r="E893" s="37" t="s">
        <v>4771</v>
      </c>
      <c r="F893" s="37"/>
      <c r="G893" s="37"/>
    </row>
    <row r="894" spans="1:7">
      <c r="A894" s="37"/>
      <c r="B894" s="37" t="s">
        <v>5501</v>
      </c>
      <c r="C894" s="37" t="s">
        <v>3396</v>
      </c>
      <c r="D894" s="37" t="s">
        <v>3397</v>
      </c>
      <c r="E894" s="37" t="s">
        <v>4771</v>
      </c>
      <c r="F894" s="37"/>
      <c r="G894" s="37"/>
    </row>
    <row r="895" spans="1:7">
      <c r="A895" s="37"/>
      <c r="B895" s="37" t="s">
        <v>5502</v>
      </c>
      <c r="C895" s="37" t="s">
        <v>3410</v>
      </c>
      <c r="D895" s="37" t="s">
        <v>3411</v>
      </c>
      <c r="E895" s="37" t="s">
        <v>4771</v>
      </c>
      <c r="F895" s="37"/>
      <c r="G895" s="37"/>
    </row>
    <row r="896" spans="1:7">
      <c r="A896" s="37"/>
      <c r="B896" s="37" t="s">
        <v>5503</v>
      </c>
      <c r="C896" s="37" t="s">
        <v>3410</v>
      </c>
      <c r="D896" s="37" t="s">
        <v>3411</v>
      </c>
      <c r="E896" s="37" t="s">
        <v>4771</v>
      </c>
      <c r="F896" s="37"/>
      <c r="G896" s="37"/>
    </row>
    <row r="897" spans="1:7">
      <c r="A897" s="37"/>
      <c r="B897" s="37" t="s">
        <v>5504</v>
      </c>
      <c r="C897" s="37" t="s">
        <v>3410</v>
      </c>
      <c r="D897" s="37" t="s">
        <v>3411</v>
      </c>
      <c r="E897" s="37" t="s">
        <v>4771</v>
      </c>
      <c r="F897" s="37"/>
      <c r="G897" s="37"/>
    </row>
    <row r="898" spans="1:7">
      <c r="A898" s="37"/>
      <c r="B898" s="37" t="s">
        <v>5505</v>
      </c>
      <c r="C898" s="37" t="s">
        <v>3424</v>
      </c>
      <c r="D898" s="37" t="s">
        <v>3425</v>
      </c>
      <c r="E898" s="37" t="s">
        <v>4771</v>
      </c>
      <c r="F898" s="37"/>
      <c r="G898" s="37"/>
    </row>
    <row r="899" spans="1:7">
      <c r="A899" s="37"/>
      <c r="B899" s="37" t="s">
        <v>5506</v>
      </c>
      <c r="C899" s="37" t="s">
        <v>3424</v>
      </c>
      <c r="D899" s="37" t="s">
        <v>3425</v>
      </c>
      <c r="E899" s="37" t="s">
        <v>4771</v>
      </c>
      <c r="F899" s="37"/>
      <c r="G899" s="37"/>
    </row>
    <row r="900" spans="1:7">
      <c r="A900" s="37"/>
      <c r="B900" s="37" t="s">
        <v>3444</v>
      </c>
      <c r="C900" s="37" t="s">
        <v>3439</v>
      </c>
      <c r="D900" s="37" t="s">
        <v>3440</v>
      </c>
      <c r="E900" s="37" t="s">
        <v>4771</v>
      </c>
      <c r="F900" s="37"/>
      <c r="G900" s="37"/>
    </row>
    <row r="901" spans="1:7">
      <c r="A901" s="37"/>
      <c r="B901" s="37" t="s">
        <v>3458</v>
      </c>
      <c r="C901" s="37" t="s">
        <v>3454</v>
      </c>
      <c r="D901" s="37" t="s">
        <v>3455</v>
      </c>
      <c r="E901" s="37" t="s">
        <v>4771</v>
      </c>
      <c r="F901" s="37"/>
      <c r="G901" s="37"/>
    </row>
    <row r="902" spans="1:7">
      <c r="A902" s="37"/>
      <c r="B902" s="37" t="s">
        <v>3472</v>
      </c>
      <c r="C902" s="37" t="s">
        <v>3467</v>
      </c>
      <c r="D902" s="37" t="s">
        <v>3468</v>
      </c>
      <c r="E902" s="37" t="s">
        <v>4771</v>
      </c>
      <c r="F902" s="37"/>
      <c r="G902" s="37"/>
    </row>
    <row r="903" spans="1:7">
      <c r="A903" s="37"/>
      <c r="B903" s="37" t="s">
        <v>3486</v>
      </c>
      <c r="C903" s="37" t="s">
        <v>3481</v>
      </c>
      <c r="D903" s="37" t="s">
        <v>3482</v>
      </c>
      <c r="E903" s="37" t="s">
        <v>4771</v>
      </c>
      <c r="F903" s="37"/>
      <c r="G903" s="37"/>
    </row>
    <row r="904" spans="1:7">
      <c r="A904" s="37"/>
      <c r="B904" s="37" t="s">
        <v>5507</v>
      </c>
      <c r="C904" s="37" t="s">
        <v>3495</v>
      </c>
      <c r="D904" s="37" t="s">
        <v>3496</v>
      </c>
      <c r="E904" s="37" t="s">
        <v>4771</v>
      </c>
      <c r="F904" s="37"/>
      <c r="G904" s="37"/>
    </row>
    <row r="905" spans="1:7">
      <c r="A905" s="37"/>
      <c r="B905" s="37" t="s">
        <v>5508</v>
      </c>
      <c r="C905" s="37" t="s">
        <v>3495</v>
      </c>
      <c r="D905" s="37" t="s">
        <v>3496</v>
      </c>
      <c r="E905" s="37" t="s">
        <v>4771</v>
      </c>
      <c r="F905" s="37"/>
      <c r="G905" s="37"/>
    </row>
    <row r="906" spans="1:7">
      <c r="A906" s="37"/>
      <c r="B906" s="37" t="s">
        <v>5509</v>
      </c>
      <c r="C906" s="37" t="s">
        <v>3495</v>
      </c>
      <c r="D906" s="37" t="s">
        <v>3496</v>
      </c>
      <c r="E906" s="37" t="s">
        <v>4771</v>
      </c>
      <c r="F906" s="37"/>
      <c r="G906" s="37"/>
    </row>
    <row r="907" spans="1:7">
      <c r="A907" s="37"/>
      <c r="B907" s="37" t="s">
        <v>5510</v>
      </c>
      <c r="C907" s="37" t="s">
        <v>3495</v>
      </c>
      <c r="D907" s="37" t="s">
        <v>3496</v>
      </c>
      <c r="E907" s="37" t="s">
        <v>4771</v>
      </c>
      <c r="F907" s="37"/>
      <c r="G907" s="37"/>
    </row>
    <row r="908" spans="1:7">
      <c r="A908" s="37"/>
      <c r="B908" s="37" t="s">
        <v>5511</v>
      </c>
      <c r="C908" s="37" t="s">
        <v>3495</v>
      </c>
      <c r="D908" s="37" t="s">
        <v>3496</v>
      </c>
      <c r="E908" s="37" t="s">
        <v>4771</v>
      </c>
      <c r="F908" s="37"/>
      <c r="G908" s="37"/>
    </row>
    <row r="909" spans="1:7">
      <c r="A909" s="37"/>
      <c r="B909" s="37" t="s">
        <v>5512</v>
      </c>
      <c r="C909" s="37" t="s">
        <v>3495</v>
      </c>
      <c r="D909" s="37" t="s">
        <v>3496</v>
      </c>
      <c r="E909" s="37" t="s">
        <v>4771</v>
      </c>
      <c r="F909" s="37"/>
      <c r="G909" s="37"/>
    </row>
    <row r="910" spans="1:7">
      <c r="A910" s="37"/>
      <c r="B910" s="37" t="s">
        <v>3514</v>
      </c>
      <c r="C910" s="37" t="s">
        <v>3509</v>
      </c>
      <c r="D910" s="37" t="s">
        <v>3510</v>
      </c>
      <c r="E910" s="37" t="s">
        <v>4771</v>
      </c>
      <c r="F910" s="37"/>
      <c r="G910" s="37"/>
    </row>
    <row r="911" spans="1:7">
      <c r="A911" s="37"/>
      <c r="B911" s="37" t="s">
        <v>3528</v>
      </c>
      <c r="C911" s="37" t="s">
        <v>3523</v>
      </c>
      <c r="D911" s="37" t="s">
        <v>3524</v>
      </c>
      <c r="E911" s="37" t="s">
        <v>4771</v>
      </c>
      <c r="F911" s="37"/>
      <c r="G911" s="37"/>
    </row>
    <row r="912" spans="1:7">
      <c r="A912" s="37"/>
      <c r="B912" s="37" t="s">
        <v>3542</v>
      </c>
      <c r="C912" s="37" t="s">
        <v>3537</v>
      </c>
      <c r="D912" s="37" t="s">
        <v>3538</v>
      </c>
      <c r="E912" s="37" t="s">
        <v>4771</v>
      </c>
      <c r="F912" s="37"/>
      <c r="G912" s="37"/>
    </row>
    <row r="913" spans="1:7">
      <c r="A913" s="37"/>
      <c r="B913" s="37" t="s">
        <v>3556</v>
      </c>
      <c r="C913" s="37" t="s">
        <v>3551</v>
      </c>
      <c r="D913" s="37" t="s">
        <v>3552</v>
      </c>
      <c r="E913" s="37" t="s">
        <v>4771</v>
      </c>
      <c r="F913" s="37"/>
      <c r="G913" s="37"/>
    </row>
    <row r="914" spans="1:7">
      <c r="A914" s="37"/>
      <c r="B914" s="37" t="s">
        <v>3570</v>
      </c>
      <c r="C914" s="37" t="s">
        <v>3565</v>
      </c>
      <c r="D914" s="37" t="s">
        <v>3566</v>
      </c>
      <c r="E914" s="37" t="s">
        <v>4771</v>
      </c>
      <c r="F914" s="37"/>
      <c r="G914" s="37"/>
    </row>
    <row r="915" spans="1:7">
      <c r="A915" s="37"/>
      <c r="B915" s="37" t="s">
        <v>3584</v>
      </c>
      <c r="C915" s="37" t="s">
        <v>3579</v>
      </c>
      <c r="D915" s="37" t="s">
        <v>3580</v>
      </c>
      <c r="E915" s="37" t="s">
        <v>4771</v>
      </c>
      <c r="F915" s="37"/>
      <c r="G915" s="37"/>
    </row>
    <row r="916" spans="1:7">
      <c r="A916" s="37"/>
      <c r="B916" s="37" t="s">
        <v>5513</v>
      </c>
      <c r="C916" s="37" t="s">
        <v>3593</v>
      </c>
      <c r="D916" s="37" t="s">
        <v>3594</v>
      </c>
      <c r="E916" s="37" t="s">
        <v>4771</v>
      </c>
      <c r="F916" s="37"/>
      <c r="G916" s="37"/>
    </row>
    <row r="917" spans="1:7">
      <c r="A917" s="37"/>
      <c r="B917" s="37" t="s">
        <v>5514</v>
      </c>
      <c r="C917" s="37" t="s">
        <v>3593</v>
      </c>
      <c r="D917" s="37" t="s">
        <v>3594</v>
      </c>
      <c r="E917" s="37" t="s">
        <v>4771</v>
      </c>
      <c r="F917" s="37"/>
      <c r="G917" s="37"/>
    </row>
    <row r="918" spans="1:7">
      <c r="A918" s="37"/>
      <c r="B918" s="37" t="s">
        <v>3612</v>
      </c>
      <c r="C918" s="37" t="s">
        <v>3607</v>
      </c>
      <c r="D918" s="37" t="s">
        <v>3608</v>
      </c>
      <c r="E918" s="37" t="s">
        <v>4771</v>
      </c>
      <c r="F918" s="37"/>
      <c r="G918" s="37"/>
    </row>
    <row r="919" spans="1:7">
      <c r="A919" s="37"/>
      <c r="B919" s="37" t="s">
        <v>5515</v>
      </c>
      <c r="C919" s="37" t="s">
        <v>3621</v>
      </c>
      <c r="D919" s="37" t="s">
        <v>3622</v>
      </c>
      <c r="E919" s="37" t="s">
        <v>4771</v>
      </c>
      <c r="F919" s="37"/>
      <c r="G919" s="37"/>
    </row>
    <row r="920" spans="1:7">
      <c r="A920" s="37"/>
      <c r="B920" s="37" t="s">
        <v>5516</v>
      </c>
      <c r="C920" s="37" t="s">
        <v>3621</v>
      </c>
      <c r="D920" s="37" t="s">
        <v>3622</v>
      </c>
      <c r="E920" s="37" t="s">
        <v>4771</v>
      </c>
      <c r="F920" s="37"/>
      <c r="G920" s="37"/>
    </row>
    <row r="921" spans="1:7">
      <c r="A921" s="37"/>
      <c r="B921" s="37" t="s">
        <v>5517</v>
      </c>
      <c r="C921" s="37" t="s">
        <v>3621</v>
      </c>
      <c r="D921" s="37" t="s">
        <v>3622</v>
      </c>
      <c r="E921" s="37" t="s">
        <v>4771</v>
      </c>
      <c r="F921" s="37"/>
      <c r="G921" s="37"/>
    </row>
    <row r="922" spans="1:7">
      <c r="A922" s="37"/>
      <c r="B922" s="37" t="s">
        <v>5518</v>
      </c>
      <c r="C922" s="37" t="s">
        <v>3621</v>
      </c>
      <c r="D922" s="37" t="s">
        <v>3622</v>
      </c>
      <c r="E922" s="37" t="s">
        <v>4771</v>
      </c>
      <c r="F922" s="37"/>
      <c r="G922" s="37"/>
    </row>
    <row r="923" spans="1:7">
      <c r="A923" s="37"/>
      <c r="B923" s="37" t="s">
        <v>5519</v>
      </c>
      <c r="C923" s="37" t="s">
        <v>3635</v>
      </c>
      <c r="D923" s="37" t="s">
        <v>3636</v>
      </c>
      <c r="E923" s="37" t="s">
        <v>4771</v>
      </c>
      <c r="F923" s="37"/>
      <c r="G923" s="37"/>
    </row>
    <row r="924" spans="1:7">
      <c r="A924" s="37"/>
      <c r="B924" s="37" t="s">
        <v>5520</v>
      </c>
      <c r="C924" s="37" t="s">
        <v>3635</v>
      </c>
      <c r="D924" s="37" t="s">
        <v>3636</v>
      </c>
      <c r="E924" s="37" t="s">
        <v>4771</v>
      </c>
      <c r="F924" s="37"/>
      <c r="G924" s="37"/>
    </row>
    <row r="925" spans="1:7">
      <c r="A925" s="37"/>
      <c r="B925" s="37" t="s">
        <v>5521</v>
      </c>
      <c r="C925" s="37" t="s">
        <v>3635</v>
      </c>
      <c r="D925" s="37" t="s">
        <v>3636</v>
      </c>
      <c r="E925" s="37" t="s">
        <v>4771</v>
      </c>
      <c r="F925" s="37"/>
      <c r="G925" s="37"/>
    </row>
    <row r="926" spans="1:7">
      <c r="A926" s="37"/>
      <c r="B926" s="37" t="s">
        <v>5522</v>
      </c>
      <c r="C926" s="37" t="s">
        <v>3635</v>
      </c>
      <c r="D926" s="37" t="s">
        <v>3636</v>
      </c>
      <c r="E926" s="37" t="s">
        <v>4771</v>
      </c>
      <c r="F926" s="37"/>
      <c r="G926" s="37"/>
    </row>
    <row r="927" spans="1:7">
      <c r="A927" s="37"/>
      <c r="B927" s="37" t="s">
        <v>5523</v>
      </c>
      <c r="C927" s="37" t="s">
        <v>3635</v>
      </c>
      <c r="D927" s="37" t="s">
        <v>3636</v>
      </c>
      <c r="E927" s="37" t="s">
        <v>4771</v>
      </c>
      <c r="F927" s="37"/>
      <c r="G927" s="37"/>
    </row>
    <row r="928" spans="1:7">
      <c r="A928" s="37"/>
      <c r="B928" s="37" t="s">
        <v>5524</v>
      </c>
      <c r="C928" s="37" t="s">
        <v>3635</v>
      </c>
      <c r="D928" s="37" t="s">
        <v>3636</v>
      </c>
      <c r="E928" s="37" t="s">
        <v>4771</v>
      </c>
      <c r="F928" s="37"/>
      <c r="G928" s="37"/>
    </row>
    <row r="929" spans="1:7">
      <c r="A929" s="37"/>
      <c r="B929" s="37" t="s">
        <v>5525</v>
      </c>
      <c r="C929" s="37" t="s">
        <v>3635</v>
      </c>
      <c r="D929" s="37" t="s">
        <v>3636</v>
      </c>
      <c r="E929" s="37" t="s">
        <v>4771</v>
      </c>
      <c r="F929" s="37"/>
      <c r="G929" s="37"/>
    </row>
    <row r="930" spans="1:7">
      <c r="A930" s="37"/>
      <c r="B930" s="37" t="s">
        <v>5526</v>
      </c>
      <c r="C930" s="37" t="s">
        <v>3635</v>
      </c>
      <c r="D930" s="37" t="s">
        <v>3636</v>
      </c>
      <c r="E930" s="37" t="s">
        <v>4771</v>
      </c>
      <c r="F930" s="37"/>
      <c r="G930" s="37"/>
    </row>
    <row r="931" spans="1:7">
      <c r="A931" s="37"/>
      <c r="B931" s="37" t="s">
        <v>5527</v>
      </c>
      <c r="C931" s="37" t="s">
        <v>3635</v>
      </c>
      <c r="D931" s="37" t="s">
        <v>3636</v>
      </c>
      <c r="E931" s="37" t="s">
        <v>4771</v>
      </c>
      <c r="F931" s="37"/>
      <c r="G931" s="37"/>
    </row>
    <row r="932" spans="1:7">
      <c r="A932" s="37"/>
      <c r="B932" s="37" t="s">
        <v>5528</v>
      </c>
      <c r="C932" s="37" t="s">
        <v>3635</v>
      </c>
      <c r="D932" s="37" t="s">
        <v>3636</v>
      </c>
      <c r="E932" s="37" t="s">
        <v>4771</v>
      </c>
      <c r="F932" s="37"/>
      <c r="G932" s="37"/>
    </row>
    <row r="933" spans="1:7">
      <c r="A933" s="37"/>
      <c r="B933" s="37" t="s">
        <v>5529</v>
      </c>
      <c r="C933" s="37" t="s">
        <v>3635</v>
      </c>
      <c r="D933" s="37" t="s">
        <v>3636</v>
      </c>
      <c r="E933" s="37" t="s">
        <v>4771</v>
      </c>
      <c r="F933" s="37"/>
      <c r="G933" s="37"/>
    </row>
    <row r="934" spans="1:7">
      <c r="A934" s="37"/>
      <c r="B934" s="37" t="s">
        <v>5530</v>
      </c>
      <c r="C934" s="37" t="s">
        <v>3635</v>
      </c>
      <c r="D934" s="37" t="s">
        <v>3636</v>
      </c>
      <c r="E934" s="37" t="s">
        <v>4771</v>
      </c>
      <c r="F934" s="37"/>
      <c r="G934" s="37"/>
    </row>
    <row r="935" spans="1:7">
      <c r="A935" s="37"/>
      <c r="B935" s="37" t="s">
        <v>5531</v>
      </c>
      <c r="C935" s="37" t="s">
        <v>3635</v>
      </c>
      <c r="D935" s="37" t="s">
        <v>3636</v>
      </c>
      <c r="E935" s="37" t="s">
        <v>4771</v>
      </c>
      <c r="F935" s="37"/>
      <c r="G935" s="37"/>
    </row>
    <row r="936" spans="1:7">
      <c r="A936" s="37"/>
      <c r="B936" s="37" t="s">
        <v>5532</v>
      </c>
      <c r="C936" s="37" t="s">
        <v>3635</v>
      </c>
      <c r="D936" s="37" t="s">
        <v>3636</v>
      </c>
      <c r="E936" s="37" t="s">
        <v>4771</v>
      </c>
      <c r="F936" s="37"/>
      <c r="G936" s="37"/>
    </row>
    <row r="937" spans="1:7">
      <c r="A937" s="37"/>
      <c r="B937" s="37" t="s">
        <v>5533</v>
      </c>
      <c r="C937" s="37" t="s">
        <v>3650</v>
      </c>
      <c r="D937" s="37" t="s">
        <v>3651</v>
      </c>
      <c r="E937" s="37" t="s">
        <v>4771</v>
      </c>
      <c r="F937" s="37"/>
      <c r="G937" s="37"/>
    </row>
    <row r="938" spans="1:7">
      <c r="A938" s="37"/>
      <c r="B938" s="37" t="s">
        <v>5534</v>
      </c>
      <c r="C938" s="37" t="s">
        <v>3650</v>
      </c>
      <c r="D938" s="37" t="s">
        <v>3651</v>
      </c>
      <c r="E938" s="37" t="s">
        <v>4771</v>
      </c>
      <c r="F938" s="37"/>
      <c r="G938" s="37"/>
    </row>
    <row r="939" spans="1:7">
      <c r="A939" s="37"/>
      <c r="B939" s="37" t="s">
        <v>5535</v>
      </c>
      <c r="C939" s="37" t="s">
        <v>3664</v>
      </c>
      <c r="D939" s="37" t="s">
        <v>3665</v>
      </c>
      <c r="E939" s="37" t="s">
        <v>4771</v>
      </c>
      <c r="F939" s="37"/>
      <c r="G939" s="37"/>
    </row>
    <row r="940" spans="1:7">
      <c r="A940" s="37"/>
      <c r="B940" s="37" t="s">
        <v>5536</v>
      </c>
      <c r="C940" s="37" t="s">
        <v>3664</v>
      </c>
      <c r="D940" s="37" t="s">
        <v>3665</v>
      </c>
      <c r="E940" s="37" t="s">
        <v>4771</v>
      </c>
      <c r="F940" s="37"/>
      <c r="G940" s="37"/>
    </row>
    <row r="941" spans="1:7">
      <c r="A941" s="37"/>
      <c r="B941" s="37" t="s">
        <v>3683</v>
      </c>
      <c r="C941" s="37" t="s">
        <v>3678</v>
      </c>
      <c r="D941" s="37" t="s">
        <v>3679</v>
      </c>
      <c r="E941" s="37" t="s">
        <v>4771</v>
      </c>
      <c r="F941" s="37"/>
      <c r="G941" s="37"/>
    </row>
    <row r="942" spans="1:7">
      <c r="A942" s="37"/>
      <c r="B942" s="37" t="s">
        <v>3698</v>
      </c>
      <c r="C942" s="37" t="s">
        <v>3693</v>
      </c>
      <c r="D942" s="37" t="s">
        <v>3694</v>
      </c>
      <c r="E942" s="37" t="s">
        <v>4771</v>
      </c>
      <c r="F942" s="37"/>
      <c r="G942" s="37"/>
    </row>
    <row r="943" spans="1:7">
      <c r="A943" s="37"/>
      <c r="B943" s="37" t="s">
        <v>5537</v>
      </c>
      <c r="C943" s="37" t="s">
        <v>3707</v>
      </c>
      <c r="D943" s="37" t="s">
        <v>3708</v>
      </c>
      <c r="E943" s="37" t="s">
        <v>4771</v>
      </c>
      <c r="F943" s="37"/>
      <c r="G943" s="37"/>
    </row>
    <row r="944" spans="1:7">
      <c r="A944" s="37"/>
      <c r="B944" s="37" t="s">
        <v>5538</v>
      </c>
      <c r="C944" s="37" t="s">
        <v>3707</v>
      </c>
      <c r="D944" s="37" t="s">
        <v>3708</v>
      </c>
      <c r="E944" s="37" t="s">
        <v>4771</v>
      </c>
      <c r="F944" s="37"/>
      <c r="G944" s="37"/>
    </row>
    <row r="945" spans="1:7">
      <c r="A945" s="37"/>
      <c r="B945" s="37" t="s">
        <v>5539</v>
      </c>
      <c r="C945" s="37" t="s">
        <v>3707</v>
      </c>
      <c r="D945" s="37" t="s">
        <v>3708</v>
      </c>
      <c r="E945" s="37" t="s">
        <v>4771</v>
      </c>
      <c r="F945" s="37"/>
      <c r="G945" s="37"/>
    </row>
    <row r="946" spans="1:7">
      <c r="A946" s="37"/>
      <c r="B946" s="37" t="s">
        <v>5540</v>
      </c>
      <c r="C946" s="37" t="s">
        <v>3707</v>
      </c>
      <c r="D946" s="37" t="s">
        <v>3708</v>
      </c>
      <c r="E946" s="37" t="s">
        <v>4771</v>
      </c>
      <c r="F946" s="37"/>
      <c r="G946" s="37"/>
    </row>
    <row r="947" spans="1:7">
      <c r="A947" s="37"/>
      <c r="B947" s="37" t="s">
        <v>5541</v>
      </c>
      <c r="C947" s="37" t="s">
        <v>3707</v>
      </c>
      <c r="D947" s="37" t="s">
        <v>3708</v>
      </c>
      <c r="E947" s="37" t="s">
        <v>4771</v>
      </c>
      <c r="F947" s="37"/>
      <c r="G947" s="37"/>
    </row>
    <row r="948" spans="1:7">
      <c r="A948" s="37"/>
      <c r="B948" s="37" t="s">
        <v>5542</v>
      </c>
      <c r="C948" s="37" t="s">
        <v>3707</v>
      </c>
      <c r="D948" s="37" t="s">
        <v>3708</v>
      </c>
      <c r="E948" s="37" t="s">
        <v>4771</v>
      </c>
      <c r="F948" s="37"/>
      <c r="G948" s="37"/>
    </row>
    <row r="949" spans="1:7">
      <c r="A949" s="37"/>
      <c r="B949" s="37" t="s">
        <v>5543</v>
      </c>
      <c r="C949" s="37" t="s">
        <v>3707</v>
      </c>
      <c r="D949" s="37" t="s">
        <v>3708</v>
      </c>
      <c r="E949" s="37" t="s">
        <v>4771</v>
      </c>
      <c r="F949" s="37"/>
      <c r="G949" s="37"/>
    </row>
    <row r="950" spans="1:7">
      <c r="A950" s="37"/>
      <c r="B950" s="37" t="s">
        <v>5544</v>
      </c>
      <c r="C950" s="37" t="s">
        <v>3707</v>
      </c>
      <c r="D950" s="37" t="s">
        <v>3708</v>
      </c>
      <c r="E950" s="37" t="s">
        <v>4771</v>
      </c>
      <c r="F950" s="37"/>
      <c r="G950" s="37"/>
    </row>
    <row r="951" spans="1:7">
      <c r="A951" s="37"/>
      <c r="B951" s="37" t="s">
        <v>5545</v>
      </c>
      <c r="C951" s="37" t="s">
        <v>3707</v>
      </c>
      <c r="D951" s="37" t="s">
        <v>3708</v>
      </c>
      <c r="E951" s="37" t="s">
        <v>4771</v>
      </c>
      <c r="F951" s="37"/>
      <c r="G951" s="37"/>
    </row>
    <row r="952" spans="1:7">
      <c r="A952" s="37"/>
      <c r="B952" s="37" t="s">
        <v>5546</v>
      </c>
      <c r="C952" s="37" t="s">
        <v>3707</v>
      </c>
      <c r="D952" s="37" t="s">
        <v>3708</v>
      </c>
      <c r="E952" s="37" t="s">
        <v>4771</v>
      </c>
      <c r="F952" s="37"/>
      <c r="G952" s="37"/>
    </row>
    <row r="953" spans="1:7">
      <c r="A953" s="37"/>
      <c r="B953" s="37" t="s">
        <v>5547</v>
      </c>
      <c r="C953" s="37" t="s">
        <v>3707</v>
      </c>
      <c r="D953" s="37" t="s">
        <v>3708</v>
      </c>
      <c r="E953" s="37" t="s">
        <v>4771</v>
      </c>
      <c r="F953" s="37"/>
      <c r="G953" s="37"/>
    </row>
    <row r="954" spans="1:7">
      <c r="A954" s="37"/>
      <c r="B954" s="37" t="s">
        <v>5548</v>
      </c>
      <c r="C954" s="37" t="s">
        <v>3707</v>
      </c>
      <c r="D954" s="37" t="s">
        <v>3708</v>
      </c>
      <c r="E954" s="37" t="s">
        <v>4771</v>
      </c>
      <c r="F954" s="37"/>
      <c r="G954" s="37"/>
    </row>
    <row r="955" spans="1:7">
      <c r="A955" s="37"/>
      <c r="B955" s="37" t="s">
        <v>5549</v>
      </c>
      <c r="C955" s="37" t="s">
        <v>3707</v>
      </c>
      <c r="D955" s="37" t="s">
        <v>3708</v>
      </c>
      <c r="E955" s="37" t="s">
        <v>4771</v>
      </c>
      <c r="F955" s="37"/>
      <c r="G955" s="37"/>
    </row>
    <row r="956" spans="1:7">
      <c r="A956" s="37"/>
      <c r="B956" s="37" t="s">
        <v>5550</v>
      </c>
      <c r="C956" s="37" t="s">
        <v>3707</v>
      </c>
      <c r="D956" s="37" t="s">
        <v>3708</v>
      </c>
      <c r="E956" s="37" t="s">
        <v>4771</v>
      </c>
      <c r="F956" s="37"/>
      <c r="G956" s="37"/>
    </row>
    <row r="957" spans="1:7">
      <c r="A957" s="37"/>
      <c r="B957" s="37" t="s">
        <v>5551</v>
      </c>
      <c r="C957" s="37" t="s">
        <v>3707</v>
      </c>
      <c r="D957" s="37" t="s">
        <v>3708</v>
      </c>
      <c r="E957" s="37" t="s">
        <v>4771</v>
      </c>
      <c r="F957" s="37"/>
      <c r="G957" s="37"/>
    </row>
    <row r="958" spans="1:7">
      <c r="A958" s="37"/>
      <c r="B958" s="37" t="s">
        <v>5552</v>
      </c>
      <c r="C958" s="37" t="s">
        <v>3707</v>
      </c>
      <c r="D958" s="37" t="s">
        <v>3708</v>
      </c>
      <c r="E958" s="37" t="s">
        <v>4771</v>
      </c>
      <c r="F958" s="37"/>
      <c r="G958" s="37"/>
    </row>
    <row r="959" spans="1:7">
      <c r="A959" s="37"/>
      <c r="B959" s="37" t="s">
        <v>5553</v>
      </c>
      <c r="C959" s="37" t="s">
        <v>3707</v>
      </c>
      <c r="D959" s="37" t="s">
        <v>3708</v>
      </c>
      <c r="E959" s="37" t="s">
        <v>4771</v>
      </c>
      <c r="F959" s="37"/>
      <c r="G959" s="37"/>
    </row>
    <row r="960" spans="1:7">
      <c r="A960" s="37"/>
      <c r="B960" s="37" t="s">
        <v>5554</v>
      </c>
      <c r="C960" s="37" t="s">
        <v>3707</v>
      </c>
      <c r="D960" s="37" t="s">
        <v>3708</v>
      </c>
      <c r="E960" s="37" t="s">
        <v>4771</v>
      </c>
      <c r="F960" s="37"/>
      <c r="G960" s="37"/>
    </row>
    <row r="961" spans="1:7">
      <c r="A961" s="37"/>
      <c r="B961" s="37" t="s">
        <v>5555</v>
      </c>
      <c r="C961" s="37" t="s">
        <v>3707</v>
      </c>
      <c r="D961" s="37" t="s">
        <v>3708</v>
      </c>
      <c r="E961" s="37" t="s">
        <v>4771</v>
      </c>
      <c r="F961" s="37"/>
      <c r="G961" s="37"/>
    </row>
    <row r="962" spans="1:7">
      <c r="A962" s="37"/>
      <c r="B962" s="37" t="s">
        <v>5556</v>
      </c>
      <c r="C962" s="37" t="s">
        <v>3707</v>
      </c>
      <c r="D962" s="37" t="s">
        <v>3708</v>
      </c>
      <c r="E962" s="37" t="s">
        <v>4771</v>
      </c>
      <c r="F962" s="37"/>
      <c r="G962" s="37"/>
    </row>
    <row r="963" spans="1:7">
      <c r="A963" s="37"/>
      <c r="B963" s="37" t="s">
        <v>5557</v>
      </c>
      <c r="C963" s="37" t="s">
        <v>3707</v>
      </c>
      <c r="D963" s="37" t="s">
        <v>3708</v>
      </c>
      <c r="E963" s="37" t="s">
        <v>4771</v>
      </c>
      <c r="F963" s="37"/>
      <c r="G963" s="37"/>
    </row>
    <row r="964" spans="1:7">
      <c r="A964" s="37"/>
      <c r="B964" s="37" t="s">
        <v>5558</v>
      </c>
      <c r="C964" s="37" t="s">
        <v>3707</v>
      </c>
      <c r="D964" s="37" t="s">
        <v>3708</v>
      </c>
      <c r="E964" s="37" t="s">
        <v>4771</v>
      </c>
      <c r="F964" s="37"/>
      <c r="G964" s="37"/>
    </row>
    <row r="965" spans="1:7">
      <c r="A965" s="37"/>
      <c r="B965" s="37" t="s">
        <v>5559</v>
      </c>
      <c r="C965" s="37" t="s">
        <v>3707</v>
      </c>
      <c r="D965" s="37" t="s">
        <v>3708</v>
      </c>
      <c r="E965" s="37" t="s">
        <v>4771</v>
      </c>
      <c r="F965" s="37"/>
      <c r="G965" s="37"/>
    </row>
    <row r="966" spans="1:7">
      <c r="A966" s="37"/>
      <c r="B966" s="37" t="s">
        <v>5560</v>
      </c>
      <c r="C966" s="37" t="s">
        <v>3707</v>
      </c>
      <c r="D966" s="37" t="s">
        <v>3708</v>
      </c>
      <c r="E966" s="37" t="s">
        <v>4771</v>
      </c>
      <c r="F966" s="37"/>
      <c r="G966" s="37"/>
    </row>
    <row r="967" spans="1:7">
      <c r="A967" s="37"/>
      <c r="B967" s="37" t="s">
        <v>5561</v>
      </c>
      <c r="C967" s="37" t="s">
        <v>3720</v>
      </c>
      <c r="D967" s="37" t="s">
        <v>3721</v>
      </c>
      <c r="E967" s="37" t="s">
        <v>4771</v>
      </c>
      <c r="F967" s="37"/>
      <c r="G967" s="37"/>
    </row>
    <row r="968" spans="1:7">
      <c r="A968" s="37"/>
      <c r="B968" s="37" t="s">
        <v>5562</v>
      </c>
      <c r="C968" s="37" t="s">
        <v>3720</v>
      </c>
      <c r="D968" s="37" t="s">
        <v>3721</v>
      </c>
      <c r="E968" s="37" t="s">
        <v>4771</v>
      </c>
      <c r="F968" s="37"/>
      <c r="G968" s="37"/>
    </row>
    <row r="969" spans="1:7">
      <c r="A969" s="37"/>
      <c r="B969" s="37" t="s">
        <v>5563</v>
      </c>
      <c r="C969" s="37" t="s">
        <v>3720</v>
      </c>
      <c r="D969" s="37" t="s">
        <v>3721</v>
      </c>
      <c r="E969" s="37" t="s">
        <v>4771</v>
      </c>
      <c r="F969" s="37"/>
      <c r="G969" s="37"/>
    </row>
    <row r="970" spans="1:7">
      <c r="A970" s="37"/>
      <c r="B970" s="37" t="s">
        <v>5564</v>
      </c>
      <c r="C970" s="37" t="s">
        <v>3720</v>
      </c>
      <c r="D970" s="37" t="s">
        <v>3721</v>
      </c>
      <c r="E970" s="37" t="s">
        <v>4771</v>
      </c>
      <c r="F970" s="37"/>
      <c r="G970" s="37"/>
    </row>
    <row r="971" spans="1:7">
      <c r="A971" s="37"/>
      <c r="B971" s="37" t="s">
        <v>5565</v>
      </c>
      <c r="C971" s="37" t="s">
        <v>3720</v>
      </c>
      <c r="D971" s="37" t="s">
        <v>3721</v>
      </c>
      <c r="E971" s="37" t="s">
        <v>4771</v>
      </c>
      <c r="F971" s="37"/>
      <c r="G971" s="37"/>
    </row>
    <row r="972" spans="1:7">
      <c r="A972" s="37"/>
      <c r="B972" s="37" t="s">
        <v>5566</v>
      </c>
      <c r="C972" s="37" t="s">
        <v>3720</v>
      </c>
      <c r="D972" s="37" t="s">
        <v>3721</v>
      </c>
      <c r="E972" s="37" t="s">
        <v>4771</v>
      </c>
      <c r="F972" s="37"/>
      <c r="G972" s="37"/>
    </row>
    <row r="973" spans="1:7">
      <c r="A973" s="37"/>
      <c r="B973" s="37" t="s">
        <v>5567</v>
      </c>
      <c r="C973" s="37" t="s">
        <v>3720</v>
      </c>
      <c r="D973" s="37" t="s">
        <v>3721</v>
      </c>
      <c r="E973" s="37" t="s">
        <v>4771</v>
      </c>
      <c r="F973" s="37"/>
      <c r="G973" s="37"/>
    </row>
    <row r="974" spans="1:7">
      <c r="A974" s="37"/>
      <c r="B974" s="37" t="s">
        <v>5568</v>
      </c>
      <c r="C974" s="37" t="s">
        <v>3720</v>
      </c>
      <c r="D974" s="37" t="s">
        <v>3721</v>
      </c>
      <c r="E974" s="37" t="s">
        <v>4771</v>
      </c>
      <c r="F974" s="37"/>
      <c r="G974" s="37"/>
    </row>
    <row r="975" spans="1:7">
      <c r="A975" s="37"/>
      <c r="B975" s="37" t="s">
        <v>5569</v>
      </c>
      <c r="C975" s="37" t="s">
        <v>3720</v>
      </c>
      <c r="D975" s="37" t="s">
        <v>3721</v>
      </c>
      <c r="E975" s="37" t="s">
        <v>4771</v>
      </c>
      <c r="F975" s="37"/>
      <c r="G975" s="37"/>
    </row>
    <row r="976" spans="1:7">
      <c r="A976" s="37"/>
      <c r="B976" s="37" t="s">
        <v>5570</v>
      </c>
      <c r="C976" s="37" t="s">
        <v>3720</v>
      </c>
      <c r="D976" s="37" t="s">
        <v>3721</v>
      </c>
      <c r="E976" s="37" t="s">
        <v>4771</v>
      </c>
      <c r="F976" s="37"/>
      <c r="G976" s="37"/>
    </row>
    <row r="977" spans="1:7">
      <c r="A977" s="37"/>
      <c r="B977" s="37" t="s">
        <v>5571</v>
      </c>
      <c r="C977" s="37" t="s">
        <v>3720</v>
      </c>
      <c r="D977" s="37" t="s">
        <v>3721</v>
      </c>
      <c r="E977" s="37" t="s">
        <v>4771</v>
      </c>
      <c r="F977" s="37"/>
      <c r="G977" s="37"/>
    </row>
    <row r="978" spans="1:7">
      <c r="A978" s="37"/>
      <c r="B978" s="37" t="s">
        <v>5572</v>
      </c>
      <c r="C978" s="37" t="s">
        <v>3720</v>
      </c>
      <c r="D978" s="37" t="s">
        <v>3721</v>
      </c>
      <c r="E978" s="37" t="s">
        <v>4771</v>
      </c>
      <c r="F978" s="37"/>
      <c r="G978" s="37"/>
    </row>
    <row r="979" spans="1:7">
      <c r="A979" s="37"/>
      <c r="B979" s="37" t="s">
        <v>5573</v>
      </c>
      <c r="C979" s="37" t="s">
        <v>3720</v>
      </c>
      <c r="D979" s="37" t="s">
        <v>3721</v>
      </c>
      <c r="E979" s="37" t="s">
        <v>4771</v>
      </c>
      <c r="F979" s="37"/>
      <c r="G979" s="37"/>
    </row>
    <row r="980" spans="1:7">
      <c r="A980" s="37"/>
      <c r="B980" s="37" t="s">
        <v>5574</v>
      </c>
      <c r="C980" s="37" t="s">
        <v>3720</v>
      </c>
      <c r="D980" s="37" t="s">
        <v>3721</v>
      </c>
      <c r="E980" s="37" t="s">
        <v>4771</v>
      </c>
      <c r="F980" s="37"/>
      <c r="G980" s="37"/>
    </row>
    <row r="981" spans="1:7">
      <c r="A981" s="37"/>
      <c r="B981" s="37" t="s">
        <v>5575</v>
      </c>
      <c r="C981" s="37" t="s">
        <v>3720</v>
      </c>
      <c r="D981" s="37" t="s">
        <v>3721</v>
      </c>
      <c r="E981" s="37" t="s">
        <v>4771</v>
      </c>
      <c r="F981" s="37"/>
      <c r="G981" s="37"/>
    </row>
    <row r="982" spans="1:7">
      <c r="A982" s="37"/>
      <c r="B982" s="37" t="s">
        <v>5576</v>
      </c>
      <c r="C982" s="37" t="s">
        <v>3720</v>
      </c>
      <c r="D982" s="37" t="s">
        <v>3721</v>
      </c>
      <c r="E982" s="37" t="s">
        <v>4771</v>
      </c>
      <c r="F982" s="37"/>
      <c r="G982" s="37"/>
    </row>
    <row r="983" spans="1:7">
      <c r="A983" s="37"/>
      <c r="B983" s="37" t="s">
        <v>5577</v>
      </c>
      <c r="C983" s="37" t="s">
        <v>3720</v>
      </c>
      <c r="D983" s="37" t="s">
        <v>3721</v>
      </c>
      <c r="E983" s="37" t="s">
        <v>4771</v>
      </c>
      <c r="F983" s="37"/>
      <c r="G983" s="37"/>
    </row>
    <row r="984" spans="1:7">
      <c r="A984" s="37"/>
      <c r="B984" s="37" t="s">
        <v>5578</v>
      </c>
      <c r="C984" s="37" t="s">
        <v>3720</v>
      </c>
      <c r="D984" s="37" t="s">
        <v>3721</v>
      </c>
      <c r="E984" s="37" t="s">
        <v>4771</v>
      </c>
      <c r="F984" s="37"/>
      <c r="G984" s="37"/>
    </row>
    <row r="985" spans="1:7">
      <c r="A985" s="37"/>
      <c r="B985" s="37" t="s">
        <v>5579</v>
      </c>
      <c r="C985" s="37" t="s">
        <v>3720</v>
      </c>
      <c r="D985" s="37" t="s">
        <v>3721</v>
      </c>
      <c r="E985" s="37" t="s">
        <v>4771</v>
      </c>
      <c r="F985" s="37"/>
      <c r="G985" s="37"/>
    </row>
    <row r="986" spans="1:7">
      <c r="A986" s="37"/>
      <c r="B986" s="37" t="s">
        <v>5580</v>
      </c>
      <c r="C986" s="37" t="s">
        <v>3720</v>
      </c>
      <c r="D986" s="37" t="s">
        <v>3721</v>
      </c>
      <c r="E986" s="37" t="s">
        <v>4771</v>
      </c>
      <c r="F986" s="37"/>
      <c r="G986" s="37"/>
    </row>
    <row r="987" spans="1:7">
      <c r="A987" s="37"/>
      <c r="B987" s="37" t="s">
        <v>5581</v>
      </c>
      <c r="C987" s="37" t="s">
        <v>3720</v>
      </c>
      <c r="D987" s="37" t="s">
        <v>3721</v>
      </c>
      <c r="E987" s="37" t="s">
        <v>4771</v>
      </c>
      <c r="F987" s="37"/>
      <c r="G987" s="37"/>
    </row>
    <row r="988" spans="1:7">
      <c r="A988" s="37"/>
      <c r="B988" s="37" t="s">
        <v>5582</v>
      </c>
      <c r="C988" s="37" t="s">
        <v>3720</v>
      </c>
      <c r="D988" s="37" t="s">
        <v>3721</v>
      </c>
      <c r="E988" s="37" t="s">
        <v>4771</v>
      </c>
      <c r="F988" s="37"/>
      <c r="G988" s="37"/>
    </row>
    <row r="989" spans="1:7">
      <c r="A989" s="37"/>
      <c r="B989" s="37" t="s">
        <v>5583</v>
      </c>
      <c r="C989" s="37" t="s">
        <v>3720</v>
      </c>
      <c r="D989" s="37" t="s">
        <v>3721</v>
      </c>
      <c r="E989" s="37" t="s">
        <v>4771</v>
      </c>
      <c r="F989" s="37"/>
      <c r="G989" s="37"/>
    </row>
    <row r="990" spans="1:7">
      <c r="A990" s="37"/>
      <c r="B990" s="37" t="s">
        <v>5584</v>
      </c>
      <c r="C990" s="37" t="s">
        <v>3720</v>
      </c>
      <c r="D990" s="37" t="s">
        <v>3721</v>
      </c>
      <c r="E990" s="37" t="s">
        <v>4771</v>
      </c>
      <c r="F990" s="37"/>
      <c r="G990" s="37"/>
    </row>
    <row r="991" spans="1:7">
      <c r="A991" s="37"/>
      <c r="B991" s="37" t="s">
        <v>5585</v>
      </c>
      <c r="C991" s="37" t="s">
        <v>3720</v>
      </c>
      <c r="D991" s="37" t="s">
        <v>3721</v>
      </c>
      <c r="E991" s="37" t="s">
        <v>4771</v>
      </c>
      <c r="F991" s="37"/>
      <c r="G991" s="37"/>
    </row>
    <row r="992" spans="1:7">
      <c r="A992" s="37"/>
      <c r="B992" s="37" t="s">
        <v>5586</v>
      </c>
      <c r="C992" s="37" t="s">
        <v>3720</v>
      </c>
      <c r="D992" s="37" t="s">
        <v>3721</v>
      </c>
      <c r="E992" s="37" t="s">
        <v>4771</v>
      </c>
      <c r="F992" s="37"/>
      <c r="G992" s="37"/>
    </row>
    <row r="993" spans="1:7">
      <c r="A993" s="37"/>
      <c r="B993" s="37" t="s">
        <v>5587</v>
      </c>
      <c r="C993" s="37" t="s">
        <v>3720</v>
      </c>
      <c r="D993" s="37" t="s">
        <v>3721</v>
      </c>
      <c r="E993" s="37" t="s">
        <v>4771</v>
      </c>
      <c r="F993" s="37"/>
      <c r="G993" s="37"/>
    </row>
    <row r="994" spans="1:7">
      <c r="A994" s="37"/>
      <c r="B994" s="37" t="s">
        <v>5588</v>
      </c>
      <c r="C994" s="37" t="s">
        <v>3720</v>
      </c>
      <c r="D994" s="37" t="s">
        <v>3721</v>
      </c>
      <c r="E994" s="37" t="s">
        <v>4771</v>
      </c>
      <c r="F994" s="37"/>
      <c r="G994" s="37"/>
    </row>
    <row r="995" spans="1:7">
      <c r="A995" s="37"/>
      <c r="B995" s="37" t="s">
        <v>5589</v>
      </c>
      <c r="C995" s="37" t="s">
        <v>3720</v>
      </c>
      <c r="D995" s="37" t="s">
        <v>3721</v>
      </c>
      <c r="E995" s="37" t="s">
        <v>4771</v>
      </c>
      <c r="F995" s="37"/>
      <c r="G995" s="37"/>
    </row>
    <row r="996" spans="1:7">
      <c r="A996" s="37"/>
      <c r="B996" s="37" t="s">
        <v>5590</v>
      </c>
      <c r="C996" s="37" t="s">
        <v>3720</v>
      </c>
      <c r="D996" s="37" t="s">
        <v>3721</v>
      </c>
      <c r="E996" s="37" t="s">
        <v>4771</v>
      </c>
      <c r="F996" s="37"/>
      <c r="G996" s="37"/>
    </row>
    <row r="997" spans="1:7">
      <c r="A997" s="37"/>
      <c r="B997" s="37" t="s">
        <v>5591</v>
      </c>
      <c r="C997" s="37" t="s">
        <v>3720</v>
      </c>
      <c r="D997" s="37" t="s">
        <v>3721</v>
      </c>
      <c r="E997" s="37" t="s">
        <v>4771</v>
      </c>
      <c r="F997" s="37"/>
      <c r="G997" s="37"/>
    </row>
    <row r="998" spans="1:7">
      <c r="A998" s="37"/>
      <c r="B998" s="37" t="s">
        <v>5592</v>
      </c>
      <c r="C998" s="37" t="s">
        <v>3720</v>
      </c>
      <c r="D998" s="37" t="s">
        <v>3721</v>
      </c>
      <c r="E998" s="37" t="s">
        <v>4771</v>
      </c>
      <c r="F998" s="37"/>
      <c r="G998" s="37"/>
    </row>
    <row r="999" spans="1:7">
      <c r="A999" s="37"/>
      <c r="B999" s="37" t="s">
        <v>3739</v>
      </c>
      <c r="C999" s="37" t="s">
        <v>3734</v>
      </c>
      <c r="D999" s="37" t="s">
        <v>3735</v>
      </c>
      <c r="E999" s="37" t="s">
        <v>4771</v>
      </c>
      <c r="F999" s="37"/>
      <c r="G999" s="37"/>
    </row>
    <row r="1000" spans="1:7">
      <c r="A1000" s="37"/>
      <c r="B1000" s="37" t="s">
        <v>5593</v>
      </c>
      <c r="C1000" s="37" t="s">
        <v>3748</v>
      </c>
      <c r="D1000" s="37" t="s">
        <v>3749</v>
      </c>
      <c r="E1000" s="37" t="s">
        <v>4771</v>
      </c>
      <c r="F1000" s="37"/>
      <c r="G1000" s="37"/>
    </row>
    <row r="1001" spans="1:7">
      <c r="A1001" s="37"/>
      <c r="B1001" s="37" t="s">
        <v>5594</v>
      </c>
      <c r="C1001" s="37" t="s">
        <v>3748</v>
      </c>
      <c r="D1001" s="37" t="s">
        <v>3749</v>
      </c>
      <c r="E1001" s="37" t="s">
        <v>4771</v>
      </c>
      <c r="F1001" s="37"/>
      <c r="G1001" s="37"/>
    </row>
    <row r="1002" spans="1:7">
      <c r="A1002" s="37"/>
      <c r="B1002" s="37" t="s">
        <v>5595</v>
      </c>
      <c r="C1002" s="37" t="s">
        <v>3748</v>
      </c>
      <c r="D1002" s="37" t="s">
        <v>3749</v>
      </c>
      <c r="E1002" s="37" t="s">
        <v>4771</v>
      </c>
      <c r="F1002" s="37"/>
      <c r="G1002" s="37"/>
    </row>
    <row r="1003" spans="1:7">
      <c r="A1003" s="37"/>
      <c r="B1003" s="37" t="s">
        <v>5596</v>
      </c>
      <c r="C1003" s="37" t="s">
        <v>3748</v>
      </c>
      <c r="D1003" s="37" t="s">
        <v>3749</v>
      </c>
      <c r="E1003" s="37" t="s">
        <v>4771</v>
      </c>
      <c r="F1003" s="37"/>
      <c r="G1003" s="37"/>
    </row>
    <row r="1004" spans="1:7">
      <c r="A1004" s="37"/>
      <c r="B1004" s="37" t="s">
        <v>5597</v>
      </c>
      <c r="C1004" s="37" t="s">
        <v>3748</v>
      </c>
      <c r="D1004" s="37" t="s">
        <v>3749</v>
      </c>
      <c r="E1004" s="37" t="s">
        <v>4771</v>
      </c>
      <c r="F1004" s="37"/>
      <c r="G1004" s="37"/>
    </row>
    <row r="1005" spans="1:7">
      <c r="A1005" s="37"/>
      <c r="B1005" s="37" t="s">
        <v>5598</v>
      </c>
      <c r="C1005" s="37" t="s">
        <v>3748</v>
      </c>
      <c r="D1005" s="37" t="s">
        <v>3749</v>
      </c>
      <c r="E1005" s="37" t="s">
        <v>4771</v>
      </c>
      <c r="F1005" s="37"/>
      <c r="G1005" s="37"/>
    </row>
    <row r="1006" spans="1:7">
      <c r="A1006" s="37"/>
      <c r="B1006" s="37" t="s">
        <v>5599</v>
      </c>
      <c r="C1006" s="37" t="s">
        <v>3748</v>
      </c>
      <c r="D1006" s="37" t="s">
        <v>3749</v>
      </c>
      <c r="E1006" s="37" t="s">
        <v>4771</v>
      </c>
      <c r="F1006" s="37"/>
      <c r="G1006" s="37"/>
    </row>
    <row r="1007" spans="1:7">
      <c r="A1007" s="37"/>
      <c r="B1007" s="37" t="s">
        <v>5600</v>
      </c>
      <c r="C1007" s="37" t="s">
        <v>3748</v>
      </c>
      <c r="D1007" s="37" t="s">
        <v>3749</v>
      </c>
      <c r="E1007" s="37" t="s">
        <v>4771</v>
      </c>
      <c r="F1007" s="37"/>
      <c r="G1007" s="37"/>
    </row>
    <row r="1008" spans="1:7">
      <c r="A1008" s="37"/>
      <c r="B1008" s="37" t="s">
        <v>5601</v>
      </c>
      <c r="C1008" s="37" t="s">
        <v>3748</v>
      </c>
      <c r="D1008" s="37" t="s">
        <v>3749</v>
      </c>
      <c r="E1008" s="37" t="s">
        <v>4771</v>
      </c>
      <c r="F1008" s="37"/>
      <c r="G1008" s="37"/>
    </row>
    <row r="1009" spans="1:7">
      <c r="A1009" s="37"/>
      <c r="B1009" s="37" t="s">
        <v>5602</v>
      </c>
      <c r="C1009" s="37" t="s">
        <v>3748</v>
      </c>
      <c r="D1009" s="37" t="s">
        <v>3749</v>
      </c>
      <c r="E1009" s="37" t="s">
        <v>4771</v>
      </c>
      <c r="F1009" s="37"/>
      <c r="G1009" s="37"/>
    </row>
    <row r="1010" spans="1:7">
      <c r="A1010" s="37"/>
      <c r="B1010" s="37" t="s">
        <v>5603</v>
      </c>
      <c r="C1010" s="37" t="s">
        <v>3748</v>
      </c>
      <c r="D1010" s="37" t="s">
        <v>3749</v>
      </c>
      <c r="E1010" s="37" t="s">
        <v>4771</v>
      </c>
      <c r="F1010" s="37"/>
      <c r="G1010" s="37"/>
    </row>
    <row r="1011" spans="1:7">
      <c r="A1011" s="37"/>
      <c r="B1011" s="37" t="s">
        <v>5604</v>
      </c>
      <c r="C1011" s="37" t="s">
        <v>3748</v>
      </c>
      <c r="D1011" s="37" t="s">
        <v>3749</v>
      </c>
      <c r="E1011" s="37" t="s">
        <v>4771</v>
      </c>
      <c r="F1011" s="37"/>
      <c r="G1011" s="37"/>
    </row>
    <row r="1012" spans="1:7">
      <c r="A1012" s="37"/>
      <c r="B1012" s="37" t="s">
        <v>5605</v>
      </c>
      <c r="C1012" s="37" t="s">
        <v>3748</v>
      </c>
      <c r="D1012" s="37" t="s">
        <v>3749</v>
      </c>
      <c r="E1012" s="37" t="s">
        <v>4771</v>
      </c>
      <c r="F1012" s="37"/>
      <c r="G1012" s="37"/>
    </row>
    <row r="1013" spans="1:7">
      <c r="A1013" s="37"/>
      <c r="B1013" s="37" t="s">
        <v>5606</v>
      </c>
      <c r="C1013" s="37" t="s">
        <v>3748</v>
      </c>
      <c r="D1013" s="37" t="s">
        <v>3749</v>
      </c>
      <c r="E1013" s="37" t="s">
        <v>4771</v>
      </c>
      <c r="F1013" s="37"/>
      <c r="G1013" s="37"/>
    </row>
    <row r="1014" spans="1:7">
      <c r="A1014" s="37"/>
      <c r="B1014" s="37" t="s">
        <v>5607</v>
      </c>
      <c r="C1014" s="37" t="s">
        <v>3748</v>
      </c>
      <c r="D1014" s="37" t="s">
        <v>3749</v>
      </c>
      <c r="E1014" s="37" t="s">
        <v>4771</v>
      </c>
      <c r="F1014" s="37"/>
      <c r="G1014" s="37"/>
    </row>
    <row r="1015" spans="1:7">
      <c r="A1015" s="37"/>
      <c r="B1015" s="37" t="s">
        <v>5608</v>
      </c>
      <c r="C1015" s="37" t="s">
        <v>3748</v>
      </c>
      <c r="D1015" s="37" t="s">
        <v>3749</v>
      </c>
      <c r="E1015" s="37" t="s">
        <v>4771</v>
      </c>
      <c r="F1015" s="37"/>
      <c r="G1015" s="37"/>
    </row>
    <row r="1016" spans="1:7">
      <c r="A1016" s="37"/>
      <c r="B1016" s="37" t="s">
        <v>5609</v>
      </c>
      <c r="C1016" s="37" t="s">
        <v>3762</v>
      </c>
      <c r="D1016" s="37" t="s">
        <v>3763</v>
      </c>
      <c r="E1016" s="37" t="s">
        <v>4771</v>
      </c>
      <c r="F1016" s="37"/>
      <c r="G1016" s="37"/>
    </row>
    <row r="1017" spans="1:7">
      <c r="A1017" s="37"/>
      <c r="B1017" s="37" t="s">
        <v>5610</v>
      </c>
      <c r="C1017" s="37" t="s">
        <v>3762</v>
      </c>
      <c r="D1017" s="37" t="s">
        <v>3763</v>
      </c>
      <c r="E1017" s="37" t="s">
        <v>4771</v>
      </c>
      <c r="F1017" s="37"/>
      <c r="G1017" s="37"/>
    </row>
    <row r="1018" spans="1:7">
      <c r="A1018" s="37"/>
      <c r="B1018" s="37" t="s">
        <v>5611</v>
      </c>
      <c r="C1018" s="37" t="s">
        <v>3776</v>
      </c>
      <c r="D1018" s="37" t="s">
        <v>3777</v>
      </c>
      <c r="E1018" s="37" t="s">
        <v>4771</v>
      </c>
      <c r="F1018" s="37"/>
      <c r="G1018" s="37"/>
    </row>
    <row r="1019" spans="1:7">
      <c r="A1019" s="37"/>
      <c r="B1019" s="37" t="s">
        <v>5612</v>
      </c>
      <c r="C1019" s="37" t="s">
        <v>3776</v>
      </c>
      <c r="D1019" s="37" t="s">
        <v>3777</v>
      </c>
      <c r="E1019" s="37" t="s">
        <v>4771</v>
      </c>
      <c r="F1019" s="37"/>
      <c r="G1019" s="37"/>
    </row>
    <row r="1020" spans="1:7">
      <c r="A1020" s="37"/>
      <c r="B1020" s="37" t="s">
        <v>5613</v>
      </c>
      <c r="C1020" s="37" t="s">
        <v>3790</v>
      </c>
      <c r="D1020" s="37" t="s">
        <v>3791</v>
      </c>
      <c r="E1020" s="37" t="s">
        <v>4771</v>
      </c>
      <c r="F1020" s="37"/>
      <c r="G1020" s="37"/>
    </row>
    <row r="1021" spans="1:7">
      <c r="A1021" s="37"/>
      <c r="B1021" s="37" t="s">
        <v>5614</v>
      </c>
      <c r="C1021" s="37" t="s">
        <v>3790</v>
      </c>
      <c r="D1021" s="37" t="s">
        <v>3791</v>
      </c>
      <c r="E1021" s="37" t="s">
        <v>4771</v>
      </c>
      <c r="F1021" s="37"/>
      <c r="G1021" s="37"/>
    </row>
    <row r="1022" spans="1:7">
      <c r="A1022" s="37"/>
      <c r="B1022" s="37" t="s">
        <v>3809</v>
      </c>
      <c r="C1022" s="37" t="s">
        <v>3804</v>
      </c>
      <c r="D1022" s="37" t="s">
        <v>3805</v>
      </c>
      <c r="E1022" s="37" t="s">
        <v>4771</v>
      </c>
      <c r="F1022" s="37"/>
      <c r="G1022" s="37"/>
    </row>
    <row r="1023" spans="1:7">
      <c r="A1023" s="37"/>
      <c r="B1023" s="37" t="s">
        <v>5615</v>
      </c>
      <c r="C1023" s="37" t="s">
        <v>3818</v>
      </c>
      <c r="D1023" s="37" t="s">
        <v>3819</v>
      </c>
      <c r="E1023" s="37" t="s">
        <v>4771</v>
      </c>
      <c r="F1023" s="37"/>
      <c r="G1023" s="37"/>
    </row>
    <row r="1024" spans="1:7">
      <c r="A1024" s="37"/>
      <c r="B1024" s="37" t="s">
        <v>5616</v>
      </c>
      <c r="C1024" s="37" t="s">
        <v>3818</v>
      </c>
      <c r="D1024" s="37" t="s">
        <v>3819</v>
      </c>
      <c r="E1024" s="37" t="s">
        <v>4771</v>
      </c>
      <c r="F1024" s="37"/>
      <c r="G1024" s="37"/>
    </row>
    <row r="1025" spans="1:7">
      <c r="A1025" s="37"/>
      <c r="B1025" s="37" t="s">
        <v>5617</v>
      </c>
      <c r="C1025" s="37" t="s">
        <v>3818</v>
      </c>
      <c r="D1025" s="37" t="s">
        <v>3819</v>
      </c>
      <c r="E1025" s="37" t="s">
        <v>4771</v>
      </c>
      <c r="F1025" s="37"/>
      <c r="G1025" s="37"/>
    </row>
    <row r="1026" spans="1:7">
      <c r="A1026" s="37"/>
      <c r="B1026" s="37" t="s">
        <v>5618</v>
      </c>
      <c r="C1026" s="37" t="s">
        <v>3818</v>
      </c>
      <c r="D1026" s="37" t="s">
        <v>3819</v>
      </c>
      <c r="E1026" s="37" t="s">
        <v>4771</v>
      </c>
      <c r="F1026" s="37"/>
      <c r="G1026" s="37"/>
    </row>
    <row r="1027" spans="1:7">
      <c r="A1027" s="37"/>
      <c r="B1027" s="37" t="s">
        <v>5619</v>
      </c>
      <c r="C1027" s="37" t="s">
        <v>3818</v>
      </c>
      <c r="D1027" s="37" t="s">
        <v>3819</v>
      </c>
      <c r="E1027" s="37" t="s">
        <v>4771</v>
      </c>
      <c r="F1027" s="37"/>
      <c r="G1027" s="37"/>
    </row>
    <row r="1028" spans="1:7">
      <c r="A1028" s="37"/>
      <c r="B1028" s="37" t="s">
        <v>5620</v>
      </c>
      <c r="C1028" s="37" t="s">
        <v>3818</v>
      </c>
      <c r="D1028" s="37" t="s">
        <v>3819</v>
      </c>
      <c r="E1028" s="37" t="s">
        <v>4771</v>
      </c>
      <c r="F1028" s="37"/>
      <c r="G1028" s="37"/>
    </row>
    <row r="1029" spans="1:7">
      <c r="A1029" s="37"/>
      <c r="B1029" s="37" t="s">
        <v>5621</v>
      </c>
      <c r="C1029" s="37" t="s">
        <v>3818</v>
      </c>
      <c r="D1029" s="37" t="s">
        <v>3819</v>
      </c>
      <c r="E1029" s="37" t="s">
        <v>4771</v>
      </c>
      <c r="F1029" s="37"/>
      <c r="G1029" s="37"/>
    </row>
    <row r="1030" spans="1:7">
      <c r="A1030" s="37"/>
      <c r="B1030" s="37" t="s">
        <v>5622</v>
      </c>
      <c r="C1030" s="37" t="s">
        <v>3818</v>
      </c>
      <c r="D1030" s="37" t="s">
        <v>3819</v>
      </c>
      <c r="E1030" s="37" t="s">
        <v>4771</v>
      </c>
      <c r="F1030" s="37"/>
      <c r="G1030" s="37"/>
    </row>
    <row r="1031" spans="1:7">
      <c r="A1031" s="37"/>
      <c r="B1031" s="37" t="s">
        <v>5623</v>
      </c>
      <c r="C1031" s="37" t="s">
        <v>3833</v>
      </c>
      <c r="D1031" s="37" t="s">
        <v>3834</v>
      </c>
      <c r="E1031" s="37" t="s">
        <v>4771</v>
      </c>
      <c r="F1031" s="37"/>
      <c r="G1031" s="37"/>
    </row>
    <row r="1032" spans="1:7">
      <c r="A1032" s="37"/>
      <c r="B1032" s="37" t="s">
        <v>5624</v>
      </c>
      <c r="C1032" s="37" t="s">
        <v>3833</v>
      </c>
      <c r="D1032" s="37" t="s">
        <v>3834</v>
      </c>
      <c r="E1032" s="37" t="s">
        <v>4771</v>
      </c>
      <c r="F1032" s="37"/>
      <c r="G1032" s="37"/>
    </row>
    <row r="1033" spans="1:7">
      <c r="A1033" s="37"/>
      <c r="B1033" s="37" t="s">
        <v>5625</v>
      </c>
      <c r="C1033" s="37" t="s">
        <v>3847</v>
      </c>
      <c r="D1033" s="37" t="s">
        <v>3848</v>
      </c>
      <c r="E1033" s="37" t="s">
        <v>4771</v>
      </c>
      <c r="F1033" s="37"/>
      <c r="G1033" s="37"/>
    </row>
    <row r="1034" spans="1:7">
      <c r="A1034" s="37"/>
      <c r="B1034" s="37" t="s">
        <v>5626</v>
      </c>
      <c r="C1034" s="37" t="s">
        <v>3847</v>
      </c>
      <c r="D1034" s="37" t="s">
        <v>3848</v>
      </c>
      <c r="E1034" s="37" t="s">
        <v>4771</v>
      </c>
      <c r="F1034" s="37"/>
      <c r="G1034" s="37"/>
    </row>
    <row r="1035" spans="1:7">
      <c r="A1035" s="37"/>
      <c r="B1035" s="37" t="s">
        <v>5627</v>
      </c>
      <c r="C1035" s="37" t="s">
        <v>3847</v>
      </c>
      <c r="D1035" s="37" t="s">
        <v>3848</v>
      </c>
      <c r="E1035" s="37" t="s">
        <v>4771</v>
      </c>
      <c r="F1035" s="37"/>
      <c r="G1035" s="37"/>
    </row>
    <row r="1036" spans="1:7">
      <c r="A1036" s="37"/>
      <c r="B1036" s="37" t="s">
        <v>5628</v>
      </c>
      <c r="C1036" s="37" t="s">
        <v>3847</v>
      </c>
      <c r="D1036" s="37" t="s">
        <v>3848</v>
      </c>
      <c r="E1036" s="37" t="s">
        <v>4771</v>
      </c>
      <c r="F1036" s="37"/>
      <c r="G1036" s="37"/>
    </row>
    <row r="1037" spans="1:7">
      <c r="A1037" s="37"/>
      <c r="B1037" s="37" t="s">
        <v>5629</v>
      </c>
      <c r="C1037" s="37" t="s">
        <v>3847</v>
      </c>
      <c r="D1037" s="37" t="s">
        <v>3848</v>
      </c>
      <c r="E1037" s="37" t="s">
        <v>4771</v>
      </c>
      <c r="F1037" s="37"/>
      <c r="G1037" s="37"/>
    </row>
    <row r="1038" spans="1:7">
      <c r="A1038" s="37"/>
      <c r="B1038" s="37" t="s">
        <v>5630</v>
      </c>
      <c r="C1038" s="37" t="s">
        <v>3847</v>
      </c>
      <c r="D1038" s="37" t="s">
        <v>3848</v>
      </c>
      <c r="E1038" s="37" t="s">
        <v>4771</v>
      </c>
      <c r="F1038" s="37"/>
      <c r="G1038" s="37"/>
    </row>
    <row r="1039" spans="1:7">
      <c r="A1039" s="37"/>
      <c r="B1039" s="37" t="s">
        <v>5631</v>
      </c>
      <c r="C1039" s="37" t="s">
        <v>3847</v>
      </c>
      <c r="D1039" s="37" t="s">
        <v>3848</v>
      </c>
      <c r="E1039" s="37" t="s">
        <v>4771</v>
      </c>
      <c r="F1039" s="37"/>
      <c r="G1039" s="37"/>
    </row>
    <row r="1040" spans="1:7">
      <c r="A1040" s="37"/>
      <c r="B1040" s="37" t="s">
        <v>5632</v>
      </c>
      <c r="C1040" s="37" t="s">
        <v>3847</v>
      </c>
      <c r="D1040" s="37" t="s">
        <v>3848</v>
      </c>
      <c r="E1040" s="37" t="s">
        <v>4771</v>
      </c>
      <c r="F1040" s="37"/>
      <c r="G1040" s="37"/>
    </row>
    <row r="1041" spans="1:7">
      <c r="A1041" s="37"/>
      <c r="B1041" s="37" t="s">
        <v>5633</v>
      </c>
      <c r="C1041" s="37" t="s">
        <v>3847</v>
      </c>
      <c r="D1041" s="37" t="s">
        <v>3848</v>
      </c>
      <c r="E1041" s="37" t="s">
        <v>4771</v>
      </c>
      <c r="F1041" s="37"/>
      <c r="G1041" s="37"/>
    </row>
    <row r="1042" spans="1:7">
      <c r="A1042" s="37"/>
      <c r="B1042" s="37" t="s">
        <v>5634</v>
      </c>
      <c r="C1042" s="37" t="s">
        <v>3847</v>
      </c>
      <c r="D1042" s="37" t="s">
        <v>3848</v>
      </c>
      <c r="E1042" s="37" t="s">
        <v>4771</v>
      </c>
      <c r="F1042" s="37"/>
      <c r="G1042" s="37"/>
    </row>
    <row r="1043" spans="1:7">
      <c r="A1043" s="37"/>
      <c r="B1043" s="37" t="s">
        <v>5635</v>
      </c>
      <c r="C1043" s="37" t="s">
        <v>3847</v>
      </c>
      <c r="D1043" s="37" t="s">
        <v>3848</v>
      </c>
      <c r="E1043" s="37" t="s">
        <v>4771</v>
      </c>
      <c r="F1043" s="37"/>
      <c r="G1043" s="37"/>
    </row>
    <row r="1044" spans="1:7">
      <c r="A1044" s="37"/>
      <c r="B1044" s="37" t="s">
        <v>5636</v>
      </c>
      <c r="C1044" s="37" t="s">
        <v>3847</v>
      </c>
      <c r="D1044" s="37" t="s">
        <v>3848</v>
      </c>
      <c r="E1044" s="37" t="s">
        <v>4771</v>
      </c>
      <c r="F1044" s="37"/>
      <c r="G1044" s="37"/>
    </row>
    <row r="1045" spans="1:7">
      <c r="A1045" s="37"/>
      <c r="B1045" s="37" t="s">
        <v>5637</v>
      </c>
      <c r="C1045" s="37" t="s">
        <v>3861</v>
      </c>
      <c r="D1045" s="37" t="s">
        <v>3862</v>
      </c>
      <c r="E1045" s="37" t="s">
        <v>4771</v>
      </c>
      <c r="F1045" s="37"/>
      <c r="G1045" s="37"/>
    </row>
    <row r="1046" spans="1:7">
      <c r="A1046" s="37"/>
      <c r="B1046" s="37" t="s">
        <v>5638</v>
      </c>
      <c r="C1046" s="37" t="s">
        <v>3861</v>
      </c>
      <c r="D1046" s="37" t="s">
        <v>3862</v>
      </c>
      <c r="E1046" s="37" t="s">
        <v>4771</v>
      </c>
      <c r="F1046" s="37"/>
      <c r="G1046" s="37"/>
    </row>
    <row r="1047" spans="1:7">
      <c r="A1047" s="37"/>
      <c r="B1047" s="37" t="s">
        <v>5639</v>
      </c>
      <c r="C1047" s="37" t="s">
        <v>3861</v>
      </c>
      <c r="D1047" s="37" t="s">
        <v>3862</v>
      </c>
      <c r="E1047" s="37" t="s">
        <v>4771</v>
      </c>
      <c r="F1047" s="37"/>
      <c r="G1047" s="37"/>
    </row>
    <row r="1048" spans="1:7">
      <c r="A1048" s="37"/>
      <c r="B1048" s="37" t="s">
        <v>5640</v>
      </c>
      <c r="C1048" s="37" t="s">
        <v>3861</v>
      </c>
      <c r="D1048" s="37" t="s">
        <v>3862</v>
      </c>
      <c r="E1048" s="37" t="s">
        <v>4771</v>
      </c>
      <c r="F1048" s="37"/>
      <c r="G1048" s="37"/>
    </row>
    <row r="1049" spans="1:7">
      <c r="A1049" s="37"/>
      <c r="B1049" s="37" t="s">
        <v>5641</v>
      </c>
      <c r="C1049" s="37" t="s">
        <v>3861</v>
      </c>
      <c r="D1049" s="37" t="s">
        <v>3862</v>
      </c>
      <c r="E1049" s="37" t="s">
        <v>4771</v>
      </c>
      <c r="F1049" s="37"/>
      <c r="G1049" s="37"/>
    </row>
    <row r="1050" spans="1:7">
      <c r="A1050" s="37"/>
      <c r="B1050" s="37" t="s">
        <v>5642</v>
      </c>
      <c r="C1050" s="37" t="s">
        <v>3861</v>
      </c>
      <c r="D1050" s="37" t="s">
        <v>3862</v>
      </c>
      <c r="E1050" s="37" t="s">
        <v>4771</v>
      </c>
      <c r="F1050" s="37"/>
      <c r="G1050" s="37"/>
    </row>
    <row r="1051" spans="1:7">
      <c r="A1051" s="37"/>
      <c r="B1051" s="37" t="s">
        <v>5643</v>
      </c>
      <c r="C1051" s="37" t="s">
        <v>3874</v>
      </c>
      <c r="D1051" s="37" t="s">
        <v>3875</v>
      </c>
      <c r="E1051" s="37" t="s">
        <v>4771</v>
      </c>
      <c r="F1051" s="37"/>
      <c r="G1051" s="37"/>
    </row>
    <row r="1052" spans="1:7">
      <c r="A1052" s="37"/>
      <c r="B1052" s="37" t="s">
        <v>5644</v>
      </c>
      <c r="C1052" s="37" t="s">
        <v>3874</v>
      </c>
      <c r="D1052" s="37" t="s">
        <v>3875</v>
      </c>
      <c r="E1052" s="37" t="s">
        <v>4771</v>
      </c>
      <c r="F1052" s="37"/>
      <c r="G1052" s="37"/>
    </row>
    <row r="1053" spans="1:7">
      <c r="A1053" s="37"/>
      <c r="B1053" s="37" t="s">
        <v>5645</v>
      </c>
      <c r="C1053" s="37" t="s">
        <v>3874</v>
      </c>
      <c r="D1053" s="37" t="s">
        <v>3875</v>
      </c>
      <c r="E1053" s="37" t="s">
        <v>4771</v>
      </c>
      <c r="F1053" s="37"/>
      <c r="G1053" s="37"/>
    </row>
    <row r="1054" spans="1:7">
      <c r="A1054" s="37"/>
      <c r="B1054" s="37" t="s">
        <v>5646</v>
      </c>
      <c r="C1054" s="37" t="s">
        <v>3874</v>
      </c>
      <c r="D1054" s="37" t="s">
        <v>3875</v>
      </c>
      <c r="E1054" s="37" t="s">
        <v>4771</v>
      </c>
      <c r="F1054" s="37"/>
      <c r="G1054" s="37"/>
    </row>
    <row r="1055" spans="1:7">
      <c r="A1055" s="37"/>
      <c r="B1055" s="37" t="s">
        <v>5647</v>
      </c>
      <c r="C1055" s="37" t="s">
        <v>3874</v>
      </c>
      <c r="D1055" s="37" t="s">
        <v>3875</v>
      </c>
      <c r="E1055" s="37" t="s">
        <v>4771</v>
      </c>
      <c r="F1055" s="37"/>
      <c r="G1055" s="37"/>
    </row>
    <row r="1056" spans="1:7">
      <c r="A1056" s="37"/>
      <c r="B1056" s="37" t="s">
        <v>5648</v>
      </c>
      <c r="C1056" s="37" t="s">
        <v>3874</v>
      </c>
      <c r="D1056" s="37" t="s">
        <v>3875</v>
      </c>
      <c r="E1056" s="37" t="s">
        <v>4771</v>
      </c>
      <c r="F1056" s="37"/>
      <c r="G1056" s="37"/>
    </row>
    <row r="1057" spans="1:7">
      <c r="A1057" s="37"/>
      <c r="B1057" s="37" t="s">
        <v>5649</v>
      </c>
      <c r="C1057" s="37" t="s">
        <v>3874</v>
      </c>
      <c r="D1057" s="37" t="s">
        <v>3875</v>
      </c>
      <c r="E1057" s="37" t="s">
        <v>4771</v>
      </c>
      <c r="F1057" s="37"/>
      <c r="G1057" s="37"/>
    </row>
    <row r="1058" spans="1:7">
      <c r="A1058" s="37"/>
      <c r="B1058" s="37" t="s">
        <v>5650</v>
      </c>
      <c r="C1058" s="37" t="s">
        <v>3874</v>
      </c>
      <c r="D1058" s="37" t="s">
        <v>3875</v>
      </c>
      <c r="E1058" s="37" t="s">
        <v>4771</v>
      </c>
      <c r="F1058" s="37"/>
      <c r="G1058" s="37"/>
    </row>
    <row r="1059" spans="1:7">
      <c r="A1059" s="37"/>
      <c r="B1059" s="37" t="s">
        <v>3893</v>
      </c>
      <c r="C1059" s="37" t="s">
        <v>3888</v>
      </c>
      <c r="D1059" s="37" t="s">
        <v>3889</v>
      </c>
      <c r="E1059" s="37" t="s">
        <v>4771</v>
      </c>
      <c r="F1059" s="37"/>
      <c r="G1059" s="37"/>
    </row>
    <row r="1060" spans="1:7">
      <c r="A1060" s="37"/>
      <c r="B1060" s="37" t="s">
        <v>3907</v>
      </c>
      <c r="C1060" s="37" t="s">
        <v>3902</v>
      </c>
      <c r="D1060" s="37" t="s">
        <v>3903</v>
      </c>
      <c r="E1060" s="37" t="s">
        <v>4771</v>
      </c>
      <c r="F1060" s="37"/>
      <c r="G1060" s="37"/>
    </row>
    <row r="1061" spans="1:7">
      <c r="A1061" s="37"/>
      <c r="B1061" s="37" t="s">
        <v>5651</v>
      </c>
      <c r="C1061" s="37" t="s">
        <v>3916</v>
      </c>
      <c r="D1061" s="37" t="s">
        <v>3917</v>
      </c>
      <c r="E1061" s="37" t="s">
        <v>4771</v>
      </c>
      <c r="F1061" s="37"/>
      <c r="G1061" s="37"/>
    </row>
    <row r="1062" spans="1:7">
      <c r="A1062" s="37"/>
      <c r="B1062" s="37" t="s">
        <v>5652</v>
      </c>
      <c r="C1062" s="37" t="s">
        <v>3916</v>
      </c>
      <c r="D1062" s="37" t="s">
        <v>3917</v>
      </c>
      <c r="E1062" s="37" t="s">
        <v>4771</v>
      </c>
      <c r="F1062" s="37"/>
      <c r="G1062" s="37"/>
    </row>
    <row r="1063" spans="1:7">
      <c r="A1063" s="37"/>
      <c r="B1063" s="37" t="s">
        <v>5653</v>
      </c>
      <c r="C1063" s="37" t="s">
        <v>3930</v>
      </c>
      <c r="D1063" s="37" t="s">
        <v>3931</v>
      </c>
      <c r="E1063" s="37" t="s">
        <v>4771</v>
      </c>
      <c r="F1063" s="37"/>
      <c r="G1063" s="37"/>
    </row>
    <row r="1064" spans="1:7">
      <c r="A1064" s="37"/>
      <c r="B1064" s="37" t="s">
        <v>5654</v>
      </c>
      <c r="C1064" s="37" t="s">
        <v>3930</v>
      </c>
      <c r="D1064" s="37" t="s">
        <v>3931</v>
      </c>
      <c r="E1064" s="37" t="s">
        <v>4771</v>
      </c>
      <c r="F1064" s="37"/>
      <c r="G1064" s="37"/>
    </row>
    <row r="1065" spans="1:7">
      <c r="A1065" s="37"/>
      <c r="B1065" s="37" t="s">
        <v>5655</v>
      </c>
      <c r="C1065" s="37" t="s">
        <v>3930</v>
      </c>
      <c r="D1065" s="37" t="s">
        <v>3931</v>
      </c>
      <c r="E1065" s="37" t="s">
        <v>4771</v>
      </c>
      <c r="F1065" s="37"/>
      <c r="G1065" s="37"/>
    </row>
    <row r="1066" spans="1:7">
      <c r="A1066" s="37"/>
      <c r="B1066" s="37" t="s">
        <v>5656</v>
      </c>
      <c r="C1066" s="37" t="s">
        <v>3930</v>
      </c>
      <c r="D1066" s="37" t="s">
        <v>3931</v>
      </c>
      <c r="E1066" s="37" t="s">
        <v>4771</v>
      </c>
      <c r="F1066" s="37"/>
      <c r="G1066" s="37"/>
    </row>
    <row r="1067" spans="1:7">
      <c r="A1067" s="37"/>
      <c r="B1067" s="37" t="s">
        <v>5657</v>
      </c>
      <c r="C1067" s="37" t="s">
        <v>3945</v>
      </c>
      <c r="D1067" s="37" t="s">
        <v>3946</v>
      </c>
      <c r="E1067" s="37" t="s">
        <v>4771</v>
      </c>
      <c r="F1067" s="37"/>
      <c r="G1067" s="37"/>
    </row>
    <row r="1068" spans="1:7">
      <c r="A1068" s="37"/>
      <c r="B1068" s="37" t="s">
        <v>5658</v>
      </c>
      <c r="C1068" s="37" t="s">
        <v>3945</v>
      </c>
      <c r="D1068" s="37" t="s">
        <v>3946</v>
      </c>
      <c r="E1068" s="37" t="s">
        <v>4771</v>
      </c>
      <c r="F1068" s="37"/>
      <c r="G1068" s="37"/>
    </row>
    <row r="1069" spans="1:7">
      <c r="A1069" s="37"/>
      <c r="B1069" s="37" t="s">
        <v>5659</v>
      </c>
      <c r="C1069" s="37" t="s">
        <v>3945</v>
      </c>
      <c r="D1069" s="37" t="s">
        <v>3946</v>
      </c>
      <c r="E1069" s="37" t="s">
        <v>4771</v>
      </c>
      <c r="F1069" s="37"/>
      <c r="G1069" s="37"/>
    </row>
    <row r="1070" spans="1:7">
      <c r="A1070" s="37"/>
      <c r="B1070" s="37" t="s">
        <v>5660</v>
      </c>
      <c r="C1070" s="37" t="s">
        <v>3945</v>
      </c>
      <c r="D1070" s="37" t="s">
        <v>3946</v>
      </c>
      <c r="E1070" s="37" t="s">
        <v>4771</v>
      </c>
      <c r="F1070" s="37"/>
      <c r="G1070" s="37"/>
    </row>
    <row r="1071" spans="1:7">
      <c r="A1071" s="37"/>
      <c r="B1071" s="37" t="s">
        <v>3968</v>
      </c>
      <c r="C1071" s="37" t="s">
        <v>3962</v>
      </c>
      <c r="D1071" s="37" t="s">
        <v>3963</v>
      </c>
      <c r="E1071" s="37" t="s">
        <v>4624</v>
      </c>
      <c r="F1071" s="37"/>
      <c r="G1071" s="37"/>
    </row>
    <row r="1072" spans="1:7">
      <c r="A1072" s="37"/>
      <c r="B1072" s="37" t="s">
        <v>5661</v>
      </c>
      <c r="C1072" s="37" t="s">
        <v>3979</v>
      </c>
      <c r="D1072" s="37" t="s">
        <v>3980</v>
      </c>
      <c r="E1072" s="37" t="s">
        <v>2674</v>
      </c>
      <c r="F1072" s="37"/>
      <c r="G1072" s="37"/>
    </row>
    <row r="1073" spans="1:7">
      <c r="A1073" s="37"/>
      <c r="B1073" s="37" t="s">
        <v>5662</v>
      </c>
      <c r="C1073" s="37" t="s">
        <v>3979</v>
      </c>
      <c r="D1073" s="37" t="s">
        <v>3980</v>
      </c>
      <c r="E1073" s="37" t="s">
        <v>2674</v>
      </c>
      <c r="F1073" s="37"/>
      <c r="G1073" s="37"/>
    </row>
    <row r="1074" spans="1:7">
      <c r="A1074" s="37"/>
      <c r="B1074" s="37" t="s">
        <v>5663</v>
      </c>
      <c r="C1074" s="37" t="s">
        <v>3987</v>
      </c>
      <c r="D1074" s="37" t="s">
        <v>3988</v>
      </c>
      <c r="E1074" s="37" t="s">
        <v>2674</v>
      </c>
      <c r="F1074" s="37"/>
      <c r="G1074" s="37"/>
    </row>
    <row r="1075" spans="1:7">
      <c r="A1075" s="37"/>
      <c r="B1075" s="37" t="s">
        <v>5664</v>
      </c>
      <c r="C1075" s="37" t="s">
        <v>3987</v>
      </c>
      <c r="D1075" s="37" t="s">
        <v>3988</v>
      </c>
      <c r="E1075" s="37" t="s">
        <v>2674</v>
      </c>
      <c r="F1075" s="37"/>
      <c r="G1075" s="37"/>
    </row>
    <row r="1076" spans="1:7">
      <c r="A1076" s="37"/>
      <c r="B1076" s="37" t="s">
        <v>4001</v>
      </c>
      <c r="C1076" s="37" t="s">
        <v>3996</v>
      </c>
      <c r="D1076" s="37" t="s">
        <v>3997</v>
      </c>
      <c r="E1076" s="37" t="s">
        <v>2674</v>
      </c>
      <c r="F1076" s="37"/>
      <c r="G1076" s="37"/>
    </row>
    <row r="1077" spans="1:7">
      <c r="A1077" s="37"/>
      <c r="B1077" s="37" t="s">
        <v>5665</v>
      </c>
      <c r="C1077" s="37" t="s">
        <v>4005</v>
      </c>
      <c r="D1077" s="37" t="s">
        <v>4006</v>
      </c>
      <c r="E1077" s="37" t="s">
        <v>2674</v>
      </c>
      <c r="F1077" s="37"/>
      <c r="G1077" s="37"/>
    </row>
    <row r="1078" spans="1:7">
      <c r="A1078" s="37"/>
      <c r="B1078" s="37" t="s">
        <v>5666</v>
      </c>
      <c r="C1078" s="37" t="s">
        <v>4005</v>
      </c>
      <c r="D1078" s="37" t="s">
        <v>4006</v>
      </c>
      <c r="E1078" s="37" t="s">
        <v>2674</v>
      </c>
      <c r="F1078" s="37"/>
      <c r="G1078" s="37"/>
    </row>
    <row r="1079" spans="1:7">
      <c r="A1079" s="37"/>
      <c r="B1079" s="37" t="s">
        <v>5667</v>
      </c>
      <c r="C1079" s="37" t="s">
        <v>4005</v>
      </c>
      <c r="D1079" s="37" t="s">
        <v>4006</v>
      </c>
      <c r="E1079" s="37" t="s">
        <v>2674</v>
      </c>
      <c r="F1079" s="37"/>
      <c r="G1079" s="37"/>
    </row>
    <row r="1080" spans="1:7">
      <c r="A1080" s="37"/>
      <c r="B1080" s="37" t="s">
        <v>5668</v>
      </c>
      <c r="C1080" s="37" t="s">
        <v>4005</v>
      </c>
      <c r="D1080" s="37" t="s">
        <v>4006</v>
      </c>
      <c r="E1080" s="37" t="s">
        <v>2674</v>
      </c>
      <c r="F1080" s="37"/>
      <c r="G1080" s="37"/>
    </row>
    <row r="1081" spans="1:7">
      <c r="A1081" s="37"/>
      <c r="B1081" s="37" t="s">
        <v>5669</v>
      </c>
      <c r="C1081" s="37" t="s">
        <v>4005</v>
      </c>
      <c r="D1081" s="37" t="s">
        <v>4006</v>
      </c>
      <c r="E1081" s="37" t="s">
        <v>2674</v>
      </c>
      <c r="F1081" s="37"/>
      <c r="G1081" s="37"/>
    </row>
    <row r="1082" spans="1:7">
      <c r="A1082" s="37"/>
      <c r="B1082" s="37" t="s">
        <v>5670</v>
      </c>
      <c r="C1082" s="37" t="s">
        <v>4005</v>
      </c>
      <c r="D1082" s="37" t="s">
        <v>4006</v>
      </c>
      <c r="E1082" s="37" t="s">
        <v>2674</v>
      </c>
      <c r="F1082" s="37"/>
      <c r="G1082" s="37"/>
    </row>
    <row r="1083" spans="1:7">
      <c r="A1083" s="37"/>
      <c r="B1083" s="37" t="s">
        <v>5671</v>
      </c>
      <c r="C1083" s="37" t="s">
        <v>4005</v>
      </c>
      <c r="D1083" s="37" t="s">
        <v>4006</v>
      </c>
      <c r="E1083" s="37" t="s">
        <v>2674</v>
      </c>
      <c r="F1083" s="37"/>
      <c r="G1083" s="37"/>
    </row>
    <row r="1084" spans="1:7">
      <c r="A1084" s="37"/>
      <c r="B1084" s="37" t="s">
        <v>5672</v>
      </c>
      <c r="C1084" s="37" t="s">
        <v>4005</v>
      </c>
      <c r="D1084" s="37" t="s">
        <v>4006</v>
      </c>
      <c r="E1084" s="37" t="s">
        <v>2674</v>
      </c>
      <c r="F1084" s="37"/>
      <c r="G1084" s="37"/>
    </row>
    <row r="1085" spans="1:7">
      <c r="A1085" s="37"/>
      <c r="B1085" s="37" t="s">
        <v>4019</v>
      </c>
      <c r="C1085" s="37" t="s">
        <v>4013</v>
      </c>
      <c r="D1085" s="37" t="s">
        <v>4014</v>
      </c>
      <c r="E1085" s="37" t="s">
        <v>4738</v>
      </c>
      <c r="F1085" s="37"/>
      <c r="G1085" s="37"/>
    </row>
    <row r="1086" spans="1:7">
      <c r="A1086" s="37"/>
      <c r="B1086" s="37" t="s">
        <v>5673</v>
      </c>
      <c r="C1086" s="37" t="s">
        <v>4028</v>
      </c>
      <c r="D1086" s="37" t="s">
        <v>4029</v>
      </c>
      <c r="E1086" s="37" t="s">
        <v>4738</v>
      </c>
      <c r="F1086" s="37"/>
      <c r="G1086" s="37"/>
    </row>
    <row r="1087" spans="1:7">
      <c r="A1087" s="37"/>
      <c r="B1087" s="37" t="s">
        <v>5674</v>
      </c>
      <c r="C1087" s="37" t="s">
        <v>4028</v>
      </c>
      <c r="D1087" s="37" t="s">
        <v>4029</v>
      </c>
      <c r="E1087" s="37" t="s">
        <v>4738</v>
      </c>
      <c r="F1087" s="37"/>
      <c r="G1087" s="37"/>
    </row>
    <row r="1088" spans="1:7">
      <c r="A1088" s="37"/>
      <c r="B1088" s="37" t="s">
        <v>5675</v>
      </c>
      <c r="C1088" s="37" t="s">
        <v>4028</v>
      </c>
      <c r="D1088" s="37" t="s">
        <v>4029</v>
      </c>
      <c r="E1088" s="37" t="s">
        <v>4738</v>
      </c>
      <c r="F1088" s="37"/>
      <c r="G1088" s="37"/>
    </row>
    <row r="1089" spans="1:7">
      <c r="A1089" s="37"/>
      <c r="B1089" s="37" t="s">
        <v>5676</v>
      </c>
      <c r="C1089" s="37" t="s">
        <v>4028</v>
      </c>
      <c r="D1089" s="37" t="s">
        <v>4029</v>
      </c>
      <c r="E1089" s="37" t="s">
        <v>4738</v>
      </c>
      <c r="F1089" s="37"/>
      <c r="G1089" s="37"/>
    </row>
    <row r="1090" spans="1:7">
      <c r="A1090" s="37"/>
      <c r="B1090" s="37" t="s">
        <v>5677</v>
      </c>
      <c r="C1090" s="37" t="s">
        <v>4028</v>
      </c>
      <c r="D1090" s="37" t="s">
        <v>4029</v>
      </c>
      <c r="E1090" s="37" t="s">
        <v>4738</v>
      </c>
      <c r="F1090" s="37"/>
      <c r="G1090" s="37"/>
    </row>
    <row r="1091" spans="1:7">
      <c r="A1091" s="37"/>
      <c r="B1091" s="37" t="s">
        <v>5678</v>
      </c>
      <c r="C1091" s="37" t="s">
        <v>4028</v>
      </c>
      <c r="D1091" s="37" t="s">
        <v>4029</v>
      </c>
      <c r="E1091" s="37" t="s">
        <v>4738</v>
      </c>
      <c r="F1091" s="37"/>
      <c r="G1091" s="37"/>
    </row>
    <row r="1092" spans="1:7">
      <c r="A1092" s="37"/>
      <c r="B1092" s="37" t="s">
        <v>5679</v>
      </c>
      <c r="C1092" s="37" t="s">
        <v>4028</v>
      </c>
      <c r="D1092" s="37" t="s">
        <v>4029</v>
      </c>
      <c r="E1092" s="37" t="s">
        <v>4738</v>
      </c>
      <c r="F1092" s="37"/>
      <c r="G1092" s="37"/>
    </row>
    <row r="1093" spans="1:7">
      <c r="A1093" s="37"/>
      <c r="B1093" s="37" t="s">
        <v>5680</v>
      </c>
      <c r="C1093" s="37" t="s">
        <v>4028</v>
      </c>
      <c r="D1093" s="37" t="s">
        <v>4029</v>
      </c>
      <c r="E1093" s="37" t="s">
        <v>4738</v>
      </c>
      <c r="F1093" s="37"/>
      <c r="G1093" s="37"/>
    </row>
    <row r="1094" spans="1:7">
      <c r="A1094" s="37"/>
      <c r="B1094" s="37" t="s">
        <v>5681</v>
      </c>
      <c r="C1094" s="37" t="s">
        <v>4028</v>
      </c>
      <c r="D1094" s="37" t="s">
        <v>4029</v>
      </c>
      <c r="E1094" s="37" t="s">
        <v>4738</v>
      </c>
      <c r="F1094" s="37"/>
      <c r="G1094" s="37"/>
    </row>
    <row r="1095" spans="1:7">
      <c r="A1095" s="37"/>
      <c r="B1095" s="37" t="s">
        <v>5682</v>
      </c>
      <c r="C1095" s="37" t="s">
        <v>4043</v>
      </c>
      <c r="D1095" s="37" t="s">
        <v>4044</v>
      </c>
      <c r="E1095" s="37" t="s">
        <v>4701</v>
      </c>
      <c r="F1095" s="37"/>
      <c r="G1095" s="37"/>
    </row>
    <row r="1096" spans="1:7">
      <c r="A1096" s="37"/>
      <c r="B1096" s="37" t="s">
        <v>5683</v>
      </c>
      <c r="C1096" s="37" t="s">
        <v>4043</v>
      </c>
      <c r="D1096" s="37" t="s">
        <v>4044</v>
      </c>
      <c r="E1096" s="37" t="s">
        <v>4701</v>
      </c>
      <c r="F1096" s="37"/>
      <c r="G1096" s="37"/>
    </row>
    <row r="1097" spans="1:7">
      <c r="A1097" s="37"/>
      <c r="B1097" s="37" t="s">
        <v>5684</v>
      </c>
      <c r="C1097" s="37" t="s">
        <v>4043</v>
      </c>
      <c r="D1097" s="37" t="s">
        <v>4044</v>
      </c>
      <c r="E1097" s="37" t="s">
        <v>4701</v>
      </c>
      <c r="F1097" s="37"/>
      <c r="G1097" s="37"/>
    </row>
    <row r="1098" spans="1:7">
      <c r="A1098" s="37"/>
      <c r="B1098" s="37" t="s">
        <v>5685</v>
      </c>
      <c r="C1098" s="37" t="s">
        <v>4043</v>
      </c>
      <c r="D1098" s="37" t="s">
        <v>4044</v>
      </c>
      <c r="E1098" s="37" t="s">
        <v>4701</v>
      </c>
      <c r="F1098" s="37"/>
      <c r="G1098" s="37"/>
    </row>
    <row r="1099" spans="1:7">
      <c r="A1099" s="37"/>
      <c r="B1099" s="37" t="s">
        <v>5686</v>
      </c>
      <c r="C1099" s="37" t="s">
        <v>4043</v>
      </c>
      <c r="D1099" s="37" t="s">
        <v>4044</v>
      </c>
      <c r="E1099" s="37" t="s">
        <v>4701</v>
      </c>
      <c r="F1099" s="37"/>
      <c r="G1099" s="37"/>
    </row>
    <row r="1100" spans="1:7">
      <c r="A1100" s="37"/>
      <c r="B1100" s="37" t="s">
        <v>5687</v>
      </c>
      <c r="C1100" s="37" t="s">
        <v>4043</v>
      </c>
      <c r="D1100" s="37" t="s">
        <v>4044</v>
      </c>
      <c r="E1100" s="37" t="s">
        <v>4701</v>
      </c>
      <c r="F1100" s="37"/>
      <c r="G1100" s="37"/>
    </row>
    <row r="1101" spans="1:7">
      <c r="A1101" s="37"/>
      <c r="B1101" s="37" t="s">
        <v>5688</v>
      </c>
      <c r="C1101" s="37" t="s">
        <v>4043</v>
      </c>
      <c r="D1101" s="37" t="s">
        <v>4044</v>
      </c>
      <c r="E1101" s="37" t="s">
        <v>4701</v>
      </c>
      <c r="F1101" s="37"/>
      <c r="G1101" s="37"/>
    </row>
    <row r="1102" spans="1:7">
      <c r="A1102" s="37"/>
      <c r="B1102" s="37" t="s">
        <v>5689</v>
      </c>
      <c r="C1102" s="37" t="s">
        <v>4043</v>
      </c>
      <c r="D1102" s="37" t="s">
        <v>4044</v>
      </c>
      <c r="E1102" s="37" t="s">
        <v>4701</v>
      </c>
      <c r="F1102" s="37"/>
      <c r="G1102" s="37"/>
    </row>
    <row r="1103" spans="1:7">
      <c r="A1103" s="37"/>
      <c r="B1103" s="37" t="s">
        <v>5690</v>
      </c>
      <c r="C1103" s="37" t="s">
        <v>4043</v>
      </c>
      <c r="D1103" s="37" t="s">
        <v>4044</v>
      </c>
      <c r="E1103" s="37" t="s">
        <v>4701</v>
      </c>
      <c r="F1103" s="37"/>
      <c r="G1103" s="37"/>
    </row>
    <row r="1104" spans="1:7">
      <c r="A1104" s="37"/>
      <c r="B1104" s="37" t="s">
        <v>5691</v>
      </c>
      <c r="C1104" s="37" t="s">
        <v>4043</v>
      </c>
      <c r="D1104" s="37" t="s">
        <v>4044</v>
      </c>
      <c r="E1104" s="37" t="s">
        <v>4701</v>
      </c>
      <c r="F1104" s="37"/>
      <c r="G1104" s="37"/>
    </row>
    <row r="1105" spans="1:7">
      <c r="A1105" s="37"/>
      <c r="B1105" s="37" t="s">
        <v>5692</v>
      </c>
      <c r="C1105" s="37" t="s">
        <v>4043</v>
      </c>
      <c r="D1105" s="37" t="s">
        <v>4044</v>
      </c>
      <c r="E1105" s="37" t="s">
        <v>4701</v>
      </c>
      <c r="F1105" s="37"/>
      <c r="G1105" s="37"/>
    </row>
    <row r="1106" spans="1:7">
      <c r="A1106" s="37"/>
      <c r="B1106" s="37" t="s">
        <v>5693</v>
      </c>
      <c r="C1106" s="37" t="s">
        <v>4043</v>
      </c>
      <c r="D1106" s="37" t="s">
        <v>4044</v>
      </c>
      <c r="E1106" s="37" t="s">
        <v>4701</v>
      </c>
      <c r="F1106" s="37"/>
      <c r="G1106" s="37"/>
    </row>
    <row r="1107" spans="1:7">
      <c r="A1107" s="37"/>
      <c r="B1107" s="37" t="s">
        <v>5694</v>
      </c>
      <c r="C1107" s="37" t="s">
        <v>4043</v>
      </c>
      <c r="D1107" s="37" t="s">
        <v>4044</v>
      </c>
      <c r="E1107" s="37" t="s">
        <v>4701</v>
      </c>
      <c r="F1107" s="37"/>
      <c r="G1107" s="37"/>
    </row>
    <row r="1108" spans="1:7">
      <c r="A1108" s="37"/>
      <c r="B1108" s="37" t="s">
        <v>5695</v>
      </c>
      <c r="C1108" s="37" t="s">
        <v>4043</v>
      </c>
      <c r="D1108" s="37" t="s">
        <v>4044</v>
      </c>
      <c r="E1108" s="37" t="s">
        <v>4701</v>
      </c>
      <c r="F1108" s="37"/>
      <c r="G1108" s="37"/>
    </row>
    <row r="1109" spans="1:7">
      <c r="A1109" s="37"/>
      <c r="B1109" s="37" t="s">
        <v>5696</v>
      </c>
      <c r="C1109" s="37" t="s">
        <v>4043</v>
      </c>
      <c r="D1109" s="37" t="s">
        <v>4044</v>
      </c>
      <c r="E1109" s="37" t="s">
        <v>4701</v>
      </c>
      <c r="F1109" s="37"/>
      <c r="G1109" s="37"/>
    </row>
    <row r="1110" spans="1:7">
      <c r="A1110" s="37"/>
      <c r="B1110" s="37" t="s">
        <v>5697</v>
      </c>
      <c r="C1110" s="37" t="s">
        <v>4043</v>
      </c>
      <c r="D1110" s="37" t="s">
        <v>4044</v>
      </c>
      <c r="E1110" s="37" t="s">
        <v>4701</v>
      </c>
      <c r="F1110" s="37"/>
      <c r="G1110" s="37"/>
    </row>
    <row r="1111" spans="1:7">
      <c r="A1111" s="37"/>
      <c r="B1111" s="37" t="s">
        <v>5698</v>
      </c>
      <c r="C1111" s="37" t="s">
        <v>4043</v>
      </c>
      <c r="D1111" s="37" t="s">
        <v>4044</v>
      </c>
      <c r="E1111" s="37" t="s">
        <v>4701</v>
      </c>
      <c r="F1111" s="37"/>
      <c r="G1111" s="37"/>
    </row>
    <row r="1112" spans="1:7">
      <c r="A1112" s="37"/>
      <c r="B1112" s="37" t="s">
        <v>5699</v>
      </c>
      <c r="C1112" s="37" t="s">
        <v>4043</v>
      </c>
      <c r="D1112" s="37" t="s">
        <v>4044</v>
      </c>
      <c r="E1112" s="37" t="s">
        <v>4701</v>
      </c>
      <c r="F1112" s="37"/>
      <c r="G1112" s="37"/>
    </row>
    <row r="1113" spans="1:7">
      <c r="A1113" s="37"/>
      <c r="B1113" s="37" t="s">
        <v>5700</v>
      </c>
      <c r="C1113" s="37" t="s">
        <v>4058</v>
      </c>
      <c r="D1113" s="37" t="s">
        <v>4059</v>
      </c>
      <c r="E1113" s="37" t="s">
        <v>4701</v>
      </c>
      <c r="F1113" s="37"/>
      <c r="G1113" s="37"/>
    </row>
    <row r="1114" spans="1:7">
      <c r="A1114" s="37"/>
      <c r="B1114" s="37" t="s">
        <v>5701</v>
      </c>
      <c r="C1114" s="37" t="s">
        <v>4058</v>
      </c>
      <c r="D1114" s="37" t="s">
        <v>4059</v>
      </c>
      <c r="E1114" s="37" t="s">
        <v>4701</v>
      </c>
      <c r="F1114" s="37"/>
      <c r="G1114" s="37"/>
    </row>
    <row r="1115" spans="1:7">
      <c r="A1115" s="37"/>
      <c r="B1115" s="37" t="s">
        <v>5702</v>
      </c>
      <c r="C1115" s="37" t="s">
        <v>4058</v>
      </c>
      <c r="D1115" s="37" t="s">
        <v>4059</v>
      </c>
      <c r="E1115" s="37" t="s">
        <v>4701</v>
      </c>
      <c r="F1115" s="37"/>
      <c r="G1115" s="37"/>
    </row>
    <row r="1116" spans="1:7">
      <c r="A1116" s="37"/>
      <c r="B1116" s="37" t="s">
        <v>5703</v>
      </c>
      <c r="C1116" s="37" t="s">
        <v>4068</v>
      </c>
      <c r="D1116" s="37" t="s">
        <v>4069</v>
      </c>
      <c r="E1116" s="37" t="s">
        <v>4701</v>
      </c>
      <c r="F1116" s="37"/>
      <c r="G1116" s="37"/>
    </row>
    <row r="1117" spans="1:7">
      <c r="A1117" s="37"/>
      <c r="B1117" s="37" t="s">
        <v>5704</v>
      </c>
      <c r="C1117" s="37" t="s">
        <v>4068</v>
      </c>
      <c r="D1117" s="37" t="s">
        <v>4069</v>
      </c>
      <c r="E1117" s="37" t="s">
        <v>4701</v>
      </c>
      <c r="F1117" s="37"/>
      <c r="G1117" s="37"/>
    </row>
    <row r="1118" spans="1:7">
      <c r="A1118" s="37"/>
      <c r="B1118" s="37" t="s">
        <v>5705</v>
      </c>
      <c r="C1118" s="37" t="s">
        <v>4068</v>
      </c>
      <c r="D1118" s="37" t="s">
        <v>4069</v>
      </c>
      <c r="E1118" s="37" t="s">
        <v>4701</v>
      </c>
      <c r="F1118" s="37"/>
      <c r="G1118" s="37"/>
    </row>
    <row r="1119" spans="1:7">
      <c r="A1119" s="37"/>
      <c r="B1119" s="37" t="s">
        <v>5706</v>
      </c>
      <c r="C1119" s="37" t="s">
        <v>4068</v>
      </c>
      <c r="D1119" s="37" t="s">
        <v>4069</v>
      </c>
      <c r="E1119" s="37" t="s">
        <v>4701</v>
      </c>
      <c r="F1119" s="37"/>
      <c r="G1119" s="37"/>
    </row>
    <row r="1120" spans="1:7">
      <c r="A1120" s="37"/>
      <c r="B1120" s="37" t="s">
        <v>5707</v>
      </c>
      <c r="C1120" s="37" t="s">
        <v>4068</v>
      </c>
      <c r="D1120" s="37" t="s">
        <v>4069</v>
      </c>
      <c r="E1120" s="37" t="s">
        <v>4701</v>
      </c>
      <c r="F1120" s="37"/>
      <c r="G1120" s="37"/>
    </row>
    <row r="1121" spans="1:7">
      <c r="A1121" s="37"/>
      <c r="B1121" s="37" t="s">
        <v>5708</v>
      </c>
      <c r="C1121" s="37" t="s">
        <v>4068</v>
      </c>
      <c r="D1121" s="37" t="s">
        <v>4069</v>
      </c>
      <c r="E1121" s="37" t="s">
        <v>4701</v>
      </c>
      <c r="F1121" s="37"/>
      <c r="G1121" s="37"/>
    </row>
    <row r="1122" spans="1:7">
      <c r="A1122" s="37"/>
      <c r="B1122" s="37" t="s">
        <v>5709</v>
      </c>
      <c r="C1122" s="37" t="s">
        <v>4068</v>
      </c>
      <c r="D1122" s="37" t="s">
        <v>4069</v>
      </c>
      <c r="E1122" s="37" t="s">
        <v>4701</v>
      </c>
      <c r="F1122" s="37"/>
      <c r="G1122" s="37"/>
    </row>
    <row r="1123" spans="1:7">
      <c r="A1123" s="37"/>
      <c r="B1123" s="37" t="s">
        <v>5710</v>
      </c>
      <c r="C1123" s="37" t="s">
        <v>4068</v>
      </c>
      <c r="D1123" s="37" t="s">
        <v>4069</v>
      </c>
      <c r="E1123" s="37" t="s">
        <v>4701</v>
      </c>
      <c r="F1123" s="37"/>
      <c r="G1123" s="37"/>
    </row>
    <row r="1124" spans="1:7">
      <c r="A1124" s="37"/>
      <c r="B1124" s="37" t="s">
        <v>5711</v>
      </c>
      <c r="C1124" s="37" t="s">
        <v>4068</v>
      </c>
      <c r="D1124" s="37" t="s">
        <v>4069</v>
      </c>
      <c r="E1124" s="37" t="s">
        <v>4701</v>
      </c>
      <c r="F1124" s="37"/>
      <c r="G1124" s="37"/>
    </row>
    <row r="1125" spans="1:7">
      <c r="A1125" s="37"/>
      <c r="B1125" s="37" t="s">
        <v>5712</v>
      </c>
      <c r="C1125" s="37" t="s">
        <v>4068</v>
      </c>
      <c r="D1125" s="37" t="s">
        <v>4069</v>
      </c>
      <c r="E1125" s="37" t="s">
        <v>4701</v>
      </c>
      <c r="F1125" s="37"/>
      <c r="G1125" s="37"/>
    </row>
    <row r="1126" spans="1:7">
      <c r="A1126" s="37"/>
      <c r="B1126" s="37" t="s">
        <v>5713</v>
      </c>
      <c r="C1126" s="37" t="s">
        <v>4068</v>
      </c>
      <c r="D1126" s="37" t="s">
        <v>4069</v>
      </c>
      <c r="E1126" s="37" t="s">
        <v>4701</v>
      </c>
      <c r="F1126" s="37"/>
      <c r="G1126" s="37"/>
    </row>
    <row r="1127" spans="1:7">
      <c r="A1127" s="37"/>
      <c r="B1127" s="37" t="s">
        <v>5714</v>
      </c>
      <c r="C1127" s="37" t="s">
        <v>4068</v>
      </c>
      <c r="D1127" s="37" t="s">
        <v>4069</v>
      </c>
      <c r="E1127" s="37" t="s">
        <v>4701</v>
      </c>
      <c r="F1127" s="37"/>
      <c r="G1127" s="37"/>
    </row>
    <row r="1128" spans="1:7">
      <c r="A1128" s="37"/>
      <c r="B1128" s="37" t="s">
        <v>5715</v>
      </c>
      <c r="C1128" s="37" t="s">
        <v>4068</v>
      </c>
      <c r="D1128" s="37" t="s">
        <v>4069</v>
      </c>
      <c r="E1128" s="37" t="s">
        <v>4701</v>
      </c>
      <c r="F1128" s="37"/>
      <c r="G1128" s="37"/>
    </row>
    <row r="1129" spans="1:7">
      <c r="A1129" s="37"/>
      <c r="B1129" s="37" t="s">
        <v>5716</v>
      </c>
      <c r="C1129" s="37" t="s">
        <v>4068</v>
      </c>
      <c r="D1129" s="37" t="s">
        <v>4069</v>
      </c>
      <c r="E1129" s="37" t="s">
        <v>4701</v>
      </c>
      <c r="F1129" s="37"/>
      <c r="G1129" s="37"/>
    </row>
    <row r="1130" spans="1:7">
      <c r="A1130" s="37"/>
      <c r="B1130" s="37" t="s">
        <v>5717</v>
      </c>
      <c r="C1130" s="37" t="s">
        <v>4068</v>
      </c>
      <c r="D1130" s="37" t="s">
        <v>4069</v>
      </c>
      <c r="E1130" s="37" t="s">
        <v>4701</v>
      </c>
      <c r="F1130" s="37"/>
      <c r="G1130" s="37"/>
    </row>
    <row r="1131" spans="1:7">
      <c r="A1131" s="37"/>
      <c r="B1131" s="37" t="s">
        <v>5718</v>
      </c>
      <c r="C1131" s="37" t="s">
        <v>4068</v>
      </c>
      <c r="D1131" s="37" t="s">
        <v>4069</v>
      </c>
      <c r="E1131" s="37" t="s">
        <v>4701</v>
      </c>
      <c r="F1131" s="37"/>
      <c r="G1131" s="37"/>
    </row>
    <row r="1132" spans="1:7">
      <c r="A1132" s="37"/>
      <c r="B1132" s="37" t="s">
        <v>5719</v>
      </c>
      <c r="C1132" s="37" t="s">
        <v>4068</v>
      </c>
      <c r="D1132" s="37" t="s">
        <v>4069</v>
      </c>
      <c r="E1132" s="37" t="s">
        <v>4701</v>
      </c>
      <c r="F1132" s="37"/>
      <c r="G1132" s="37"/>
    </row>
    <row r="1133" spans="1:7">
      <c r="A1133" s="37"/>
      <c r="B1133" s="37" t="s">
        <v>5720</v>
      </c>
      <c r="C1133" s="37" t="s">
        <v>4068</v>
      </c>
      <c r="D1133" s="37" t="s">
        <v>4069</v>
      </c>
      <c r="E1133" s="37" t="s">
        <v>4701</v>
      </c>
      <c r="F1133" s="37"/>
      <c r="G1133" s="37"/>
    </row>
    <row r="1134" spans="1:7">
      <c r="A1134" s="37"/>
      <c r="B1134" s="37" t="s">
        <v>5721</v>
      </c>
      <c r="C1134" s="37" t="s">
        <v>4068</v>
      </c>
      <c r="D1134" s="37" t="s">
        <v>4069</v>
      </c>
      <c r="E1134" s="37" t="s">
        <v>4701</v>
      </c>
      <c r="F1134" s="37"/>
      <c r="G1134" s="37"/>
    </row>
    <row r="1135" spans="1:7">
      <c r="A1135" s="37"/>
      <c r="B1135" s="37" t="s">
        <v>5722</v>
      </c>
      <c r="C1135" s="37" t="s">
        <v>4068</v>
      </c>
      <c r="D1135" s="37" t="s">
        <v>4069</v>
      </c>
      <c r="E1135" s="37" t="s">
        <v>4701</v>
      </c>
      <c r="F1135" s="37"/>
      <c r="G1135" s="37"/>
    </row>
    <row r="1136" spans="1:7">
      <c r="A1136" s="37"/>
      <c r="B1136" s="37" t="s">
        <v>5723</v>
      </c>
      <c r="C1136" s="37" t="s">
        <v>4068</v>
      </c>
      <c r="D1136" s="37" t="s">
        <v>4069</v>
      </c>
      <c r="E1136" s="37" t="s">
        <v>4701</v>
      </c>
      <c r="F1136" s="37"/>
      <c r="G1136" s="37"/>
    </row>
    <row r="1137" spans="1:7">
      <c r="A1137" s="37"/>
      <c r="B1137" s="37" t="s">
        <v>5724</v>
      </c>
      <c r="C1137" s="37" t="s">
        <v>4068</v>
      </c>
      <c r="D1137" s="37" t="s">
        <v>4069</v>
      </c>
      <c r="E1137" s="37" t="s">
        <v>4701</v>
      </c>
      <c r="F1137" s="37"/>
      <c r="G1137" s="37"/>
    </row>
    <row r="1138" spans="1:7">
      <c r="A1138" s="37"/>
      <c r="B1138" s="37" t="s">
        <v>5725</v>
      </c>
      <c r="C1138" s="37" t="s">
        <v>4068</v>
      </c>
      <c r="D1138" s="37" t="s">
        <v>4069</v>
      </c>
      <c r="E1138" s="37" t="s">
        <v>4701</v>
      </c>
      <c r="F1138" s="37"/>
      <c r="G1138" s="37"/>
    </row>
    <row r="1139" spans="1:7">
      <c r="A1139" s="37"/>
      <c r="B1139" s="37" t="s">
        <v>5726</v>
      </c>
      <c r="C1139" s="37" t="s">
        <v>4068</v>
      </c>
      <c r="D1139" s="37" t="s">
        <v>4069</v>
      </c>
      <c r="E1139" s="37" t="s">
        <v>4701</v>
      </c>
      <c r="F1139" s="37"/>
      <c r="G1139" s="37"/>
    </row>
    <row r="1140" spans="1:7">
      <c r="A1140" s="37"/>
      <c r="B1140" s="37" t="s">
        <v>5727</v>
      </c>
      <c r="C1140" s="37" t="s">
        <v>4068</v>
      </c>
      <c r="D1140" s="37" t="s">
        <v>4069</v>
      </c>
      <c r="E1140" s="37" t="s">
        <v>4701</v>
      </c>
      <c r="F1140" s="37"/>
      <c r="G1140" s="37"/>
    </row>
    <row r="1141" spans="1:7">
      <c r="A1141" s="37"/>
      <c r="B1141" s="37" t="s">
        <v>5728</v>
      </c>
      <c r="C1141" s="37" t="s">
        <v>4068</v>
      </c>
      <c r="D1141" s="37" t="s">
        <v>4069</v>
      </c>
      <c r="E1141" s="37" t="s">
        <v>4701</v>
      </c>
      <c r="F1141" s="37"/>
      <c r="G1141" s="37"/>
    </row>
    <row r="1142" spans="1:7">
      <c r="A1142" s="37"/>
      <c r="B1142" s="37" t="s">
        <v>5729</v>
      </c>
      <c r="C1142" s="37" t="s">
        <v>4068</v>
      </c>
      <c r="D1142" s="37" t="s">
        <v>4069</v>
      </c>
      <c r="E1142" s="37" t="s">
        <v>4701</v>
      </c>
      <c r="F1142" s="37"/>
      <c r="G1142" s="37"/>
    </row>
    <row r="1143" spans="1:7">
      <c r="A1143" s="37"/>
      <c r="B1143" s="37" t="s">
        <v>5730</v>
      </c>
      <c r="C1143" s="37" t="s">
        <v>4068</v>
      </c>
      <c r="D1143" s="37" t="s">
        <v>4069</v>
      </c>
      <c r="E1143" s="37" t="s">
        <v>4701</v>
      </c>
      <c r="F1143" s="37"/>
      <c r="G1143" s="37"/>
    </row>
    <row r="1144" spans="1:7">
      <c r="A1144" s="37"/>
      <c r="B1144" s="37" t="s">
        <v>5731</v>
      </c>
      <c r="C1144" s="37" t="s">
        <v>4068</v>
      </c>
      <c r="D1144" s="37" t="s">
        <v>4069</v>
      </c>
      <c r="E1144" s="37" t="s">
        <v>4701</v>
      </c>
      <c r="F1144" s="37"/>
      <c r="G1144" s="37"/>
    </row>
    <row r="1145" spans="1:7">
      <c r="A1145" s="37"/>
      <c r="B1145" s="37" t="s">
        <v>5732</v>
      </c>
      <c r="C1145" s="37" t="s">
        <v>4068</v>
      </c>
      <c r="D1145" s="37" t="s">
        <v>4069</v>
      </c>
      <c r="E1145" s="37" t="s">
        <v>4701</v>
      </c>
      <c r="F1145" s="37"/>
      <c r="G1145" s="37"/>
    </row>
    <row r="1146" spans="1:7">
      <c r="A1146" s="37"/>
      <c r="B1146" s="37" t="s">
        <v>5733</v>
      </c>
      <c r="C1146" s="37" t="s">
        <v>4068</v>
      </c>
      <c r="D1146" s="37" t="s">
        <v>4069</v>
      </c>
      <c r="E1146" s="37" t="s">
        <v>4701</v>
      </c>
      <c r="F1146" s="37"/>
      <c r="G1146" s="37"/>
    </row>
    <row r="1147" spans="1:7">
      <c r="A1147" s="37"/>
      <c r="B1147" s="37" t="s">
        <v>5734</v>
      </c>
      <c r="C1147" s="37" t="s">
        <v>4068</v>
      </c>
      <c r="D1147" s="37" t="s">
        <v>4069</v>
      </c>
      <c r="E1147" s="37" t="s">
        <v>4701</v>
      </c>
      <c r="F1147" s="37"/>
      <c r="G1147" s="37"/>
    </row>
    <row r="1148" spans="1:7">
      <c r="A1148" s="37"/>
      <c r="B1148" s="37" t="s">
        <v>5735</v>
      </c>
      <c r="C1148" s="37" t="s">
        <v>4081</v>
      </c>
      <c r="D1148" s="37" t="s">
        <v>4082</v>
      </c>
      <c r="E1148" s="37" t="s">
        <v>4701</v>
      </c>
      <c r="F1148" s="37"/>
      <c r="G1148" s="37"/>
    </row>
    <row r="1149" spans="1:7">
      <c r="A1149" s="37"/>
      <c r="B1149" s="37" t="s">
        <v>5736</v>
      </c>
      <c r="C1149" s="37" t="s">
        <v>4081</v>
      </c>
      <c r="D1149" s="37" t="s">
        <v>4082</v>
      </c>
      <c r="E1149" s="37" t="s">
        <v>4701</v>
      </c>
      <c r="F1149" s="37"/>
      <c r="G1149" s="37"/>
    </row>
    <row r="1150" spans="1:7">
      <c r="A1150" s="37"/>
      <c r="B1150" s="37" t="s">
        <v>4099</v>
      </c>
      <c r="C1150" s="37" t="s">
        <v>4094</v>
      </c>
      <c r="D1150" s="37" t="s">
        <v>4095</v>
      </c>
      <c r="E1150" s="37" t="s">
        <v>4701</v>
      </c>
      <c r="F1150" s="37"/>
      <c r="G1150" s="37"/>
    </row>
    <row r="1151" spans="1:7">
      <c r="A1151" s="37"/>
      <c r="B1151" s="37" t="s">
        <v>5737</v>
      </c>
      <c r="C1151" s="37" t="s">
        <v>4109</v>
      </c>
      <c r="D1151" s="37" t="s">
        <v>4110</v>
      </c>
      <c r="E1151" s="37" t="s">
        <v>4701</v>
      </c>
      <c r="F1151" s="37"/>
      <c r="G1151" s="37"/>
    </row>
    <row r="1152" spans="1:7">
      <c r="A1152" s="37"/>
      <c r="B1152" s="37" t="s">
        <v>5738</v>
      </c>
      <c r="C1152" s="37" t="s">
        <v>4109</v>
      </c>
      <c r="D1152" s="37" t="s">
        <v>4110</v>
      </c>
      <c r="E1152" s="37" t="s">
        <v>4701</v>
      </c>
      <c r="F1152" s="37"/>
      <c r="G1152" s="37"/>
    </row>
    <row r="1153" spans="1:7">
      <c r="A1153" s="37"/>
      <c r="B1153" s="37" t="s">
        <v>5739</v>
      </c>
      <c r="C1153" s="37" t="s">
        <v>4122</v>
      </c>
      <c r="D1153" s="37" t="s">
        <v>4123</v>
      </c>
      <c r="E1153" s="37" t="s">
        <v>4701</v>
      </c>
      <c r="F1153" s="37"/>
      <c r="G1153" s="37"/>
    </row>
    <row r="1154" spans="1:7">
      <c r="A1154" s="37"/>
      <c r="B1154" s="37" t="s">
        <v>5740</v>
      </c>
      <c r="C1154" s="37" t="s">
        <v>4122</v>
      </c>
      <c r="D1154" s="37" t="s">
        <v>4123</v>
      </c>
      <c r="E1154" s="37" t="s">
        <v>4701</v>
      </c>
      <c r="F1154" s="37"/>
      <c r="G1154" s="37"/>
    </row>
    <row r="1155" spans="1:7">
      <c r="A1155" s="37"/>
      <c r="B1155" s="37" t="s">
        <v>5741</v>
      </c>
      <c r="C1155" s="37" t="s">
        <v>4122</v>
      </c>
      <c r="D1155" s="37" t="s">
        <v>4123</v>
      </c>
      <c r="E1155" s="37" t="s">
        <v>4701</v>
      </c>
      <c r="F1155" s="37"/>
      <c r="G1155" s="37"/>
    </row>
    <row r="1156" spans="1:7">
      <c r="A1156" s="37"/>
      <c r="B1156" s="37" t="s">
        <v>5742</v>
      </c>
      <c r="C1156" s="37" t="s">
        <v>4122</v>
      </c>
      <c r="D1156" s="37" t="s">
        <v>4123</v>
      </c>
      <c r="E1156" s="37" t="s">
        <v>4701</v>
      </c>
      <c r="F1156" s="37"/>
      <c r="G1156" s="37"/>
    </row>
    <row r="1157" spans="1:7">
      <c r="A1157" s="37"/>
      <c r="B1157" s="37" t="s">
        <v>5743</v>
      </c>
      <c r="C1157" s="37" t="s">
        <v>4122</v>
      </c>
      <c r="D1157" s="37" t="s">
        <v>4123</v>
      </c>
      <c r="E1157" s="37" t="s">
        <v>4701</v>
      </c>
      <c r="F1157" s="37"/>
      <c r="G1157" s="37"/>
    </row>
    <row r="1158" spans="1:7">
      <c r="A1158" s="37"/>
      <c r="B1158" s="37" t="s">
        <v>5744</v>
      </c>
      <c r="C1158" s="37" t="s">
        <v>4122</v>
      </c>
      <c r="D1158" s="37" t="s">
        <v>4123</v>
      </c>
      <c r="E1158" s="37" t="s">
        <v>4701</v>
      </c>
      <c r="F1158" s="37"/>
      <c r="G1158" s="37"/>
    </row>
    <row r="1159" spans="1:7">
      <c r="A1159" s="37"/>
      <c r="B1159" s="37" t="s">
        <v>5745</v>
      </c>
      <c r="C1159" s="37" t="s">
        <v>4122</v>
      </c>
      <c r="D1159" s="37" t="s">
        <v>4123</v>
      </c>
      <c r="E1159" s="37" t="s">
        <v>4701</v>
      </c>
      <c r="F1159" s="37"/>
      <c r="G1159" s="37"/>
    </row>
    <row r="1160" spans="1:7">
      <c r="A1160" s="37"/>
      <c r="B1160" s="37" t="s">
        <v>5746</v>
      </c>
      <c r="C1160" s="37" t="s">
        <v>4122</v>
      </c>
      <c r="D1160" s="37" t="s">
        <v>4123</v>
      </c>
      <c r="E1160" s="37" t="s">
        <v>4701</v>
      </c>
      <c r="F1160" s="37"/>
      <c r="G1160" s="37"/>
    </row>
    <row r="1161" spans="1:7">
      <c r="A1161" s="37"/>
      <c r="B1161" s="37" t="s">
        <v>5747</v>
      </c>
      <c r="C1161" s="37" t="s">
        <v>4122</v>
      </c>
      <c r="D1161" s="37" t="s">
        <v>4123</v>
      </c>
      <c r="E1161" s="37" t="s">
        <v>4701</v>
      </c>
      <c r="F1161" s="37"/>
      <c r="G1161" s="37"/>
    </row>
    <row r="1162" spans="1:7">
      <c r="A1162" s="37"/>
      <c r="B1162" s="37" t="s">
        <v>5748</v>
      </c>
      <c r="C1162" s="37" t="s">
        <v>4122</v>
      </c>
      <c r="D1162" s="37" t="s">
        <v>4123</v>
      </c>
      <c r="E1162" s="37" t="s">
        <v>4701</v>
      </c>
      <c r="F1162" s="37"/>
      <c r="G1162" s="37"/>
    </row>
    <row r="1163" spans="1:7">
      <c r="A1163" s="37"/>
      <c r="B1163" s="37" t="s">
        <v>5749</v>
      </c>
      <c r="C1163" s="37" t="s">
        <v>4122</v>
      </c>
      <c r="D1163" s="37" t="s">
        <v>4123</v>
      </c>
      <c r="E1163" s="37" t="s">
        <v>4701</v>
      </c>
      <c r="F1163" s="37"/>
      <c r="G1163" s="37"/>
    </row>
    <row r="1164" spans="1:7">
      <c r="A1164" s="37"/>
      <c r="B1164" s="37" t="s">
        <v>5750</v>
      </c>
      <c r="C1164" s="37" t="s">
        <v>4122</v>
      </c>
      <c r="D1164" s="37" t="s">
        <v>4123</v>
      </c>
      <c r="E1164" s="37" t="s">
        <v>4701</v>
      </c>
      <c r="F1164" s="37"/>
      <c r="G1164" s="37"/>
    </row>
    <row r="1165" spans="1:7">
      <c r="A1165" s="37"/>
      <c r="B1165" s="37" t="s">
        <v>5751</v>
      </c>
      <c r="C1165" s="37" t="s">
        <v>4133</v>
      </c>
      <c r="D1165" s="37" t="s">
        <v>4134</v>
      </c>
      <c r="E1165" s="37" t="s">
        <v>4701</v>
      </c>
      <c r="F1165" s="37"/>
      <c r="G1165" s="37"/>
    </row>
    <row r="1166" spans="1:7">
      <c r="A1166" s="37"/>
      <c r="B1166" s="37" t="s">
        <v>5752</v>
      </c>
      <c r="C1166" s="37" t="s">
        <v>4133</v>
      </c>
      <c r="D1166" s="37" t="s">
        <v>4134</v>
      </c>
      <c r="E1166" s="37" t="s">
        <v>4701</v>
      </c>
      <c r="F1166" s="37"/>
      <c r="G1166" s="37"/>
    </row>
    <row r="1167" spans="1:7">
      <c r="A1167" s="37"/>
      <c r="B1167" s="37" t="s">
        <v>5753</v>
      </c>
      <c r="C1167" s="37" t="s">
        <v>4148</v>
      </c>
      <c r="D1167" s="37" t="s">
        <v>4149</v>
      </c>
      <c r="E1167" s="37" t="s">
        <v>4701</v>
      </c>
      <c r="F1167" s="37"/>
      <c r="G1167" s="37"/>
    </row>
    <row r="1168" spans="1:7">
      <c r="A1168" s="37"/>
      <c r="B1168" s="37" t="s">
        <v>5754</v>
      </c>
      <c r="C1168" s="37" t="s">
        <v>4148</v>
      </c>
      <c r="D1168" s="37" t="s">
        <v>4149</v>
      </c>
      <c r="E1168" s="37" t="s">
        <v>4701</v>
      </c>
      <c r="F1168" s="37"/>
      <c r="G1168" s="37"/>
    </row>
    <row r="1169" spans="1:7">
      <c r="A1169" s="37"/>
      <c r="B1169" s="37" t="s">
        <v>5755</v>
      </c>
      <c r="C1169" s="37" t="s">
        <v>4148</v>
      </c>
      <c r="D1169" s="37" t="s">
        <v>4149</v>
      </c>
      <c r="E1169" s="37" t="s">
        <v>4701</v>
      </c>
      <c r="F1169" s="37"/>
      <c r="G1169" s="37"/>
    </row>
    <row r="1170" spans="1:7">
      <c r="A1170" s="37"/>
      <c r="B1170" s="37" t="s">
        <v>5756</v>
      </c>
      <c r="C1170" s="37" t="s">
        <v>4148</v>
      </c>
      <c r="D1170" s="37" t="s">
        <v>4149</v>
      </c>
      <c r="E1170" s="37" t="s">
        <v>4701</v>
      </c>
      <c r="F1170" s="37"/>
      <c r="G1170" s="37"/>
    </row>
    <row r="1171" spans="1:7">
      <c r="A1171" s="37"/>
      <c r="B1171" s="37" t="s">
        <v>5757</v>
      </c>
      <c r="C1171" s="37" t="s">
        <v>4148</v>
      </c>
      <c r="D1171" s="37" t="s">
        <v>4149</v>
      </c>
      <c r="E1171" s="37" t="s">
        <v>4701</v>
      </c>
      <c r="F1171" s="37"/>
      <c r="G1171" s="37"/>
    </row>
    <row r="1172" spans="1:7">
      <c r="A1172" s="37"/>
      <c r="B1172" s="37" t="s">
        <v>5758</v>
      </c>
      <c r="C1172" s="37" t="s">
        <v>4148</v>
      </c>
      <c r="D1172" s="37" t="s">
        <v>4149</v>
      </c>
      <c r="E1172" s="37" t="s">
        <v>4701</v>
      </c>
      <c r="F1172" s="37"/>
      <c r="G1172" s="37"/>
    </row>
    <row r="1173" spans="1:7">
      <c r="A1173" s="37"/>
      <c r="B1173" s="37" t="s">
        <v>5759</v>
      </c>
      <c r="C1173" s="37" t="s">
        <v>4148</v>
      </c>
      <c r="D1173" s="37" t="s">
        <v>4149</v>
      </c>
      <c r="E1173" s="37" t="s">
        <v>4701</v>
      </c>
      <c r="F1173" s="37"/>
      <c r="G1173" s="37"/>
    </row>
    <row r="1174" spans="1:7">
      <c r="A1174" s="37"/>
      <c r="B1174" s="37" t="s">
        <v>5760</v>
      </c>
      <c r="C1174" s="37" t="s">
        <v>4148</v>
      </c>
      <c r="D1174" s="37" t="s">
        <v>4149</v>
      </c>
      <c r="E1174" s="37" t="s">
        <v>4701</v>
      </c>
      <c r="F1174" s="37"/>
      <c r="G1174" s="37"/>
    </row>
    <row r="1175" spans="1:7">
      <c r="A1175" s="37"/>
      <c r="B1175" s="37" t="s">
        <v>5761</v>
      </c>
      <c r="C1175" s="37" t="s">
        <v>4148</v>
      </c>
      <c r="D1175" s="37" t="s">
        <v>4149</v>
      </c>
      <c r="E1175" s="37" t="s">
        <v>4701</v>
      </c>
      <c r="F1175" s="37"/>
      <c r="G1175" s="37"/>
    </row>
    <row r="1176" spans="1:7">
      <c r="A1176" s="37"/>
      <c r="B1176" s="37" t="s">
        <v>5762</v>
      </c>
      <c r="C1176" s="37" t="s">
        <v>4148</v>
      </c>
      <c r="D1176" s="37" t="s">
        <v>4149</v>
      </c>
      <c r="E1176" s="37" t="s">
        <v>4701</v>
      </c>
      <c r="F1176" s="37"/>
      <c r="G1176" s="37"/>
    </row>
    <row r="1177" spans="1:7">
      <c r="A1177" s="37"/>
      <c r="B1177" s="37" t="s">
        <v>5763</v>
      </c>
      <c r="C1177" s="37" t="s">
        <v>4148</v>
      </c>
      <c r="D1177" s="37" t="s">
        <v>4149</v>
      </c>
      <c r="E1177" s="37" t="s">
        <v>4701</v>
      </c>
      <c r="F1177" s="37"/>
      <c r="G1177" s="37"/>
    </row>
    <row r="1178" spans="1:7">
      <c r="A1178" s="37"/>
      <c r="B1178" s="37" t="s">
        <v>5764</v>
      </c>
      <c r="C1178" s="37" t="s">
        <v>4148</v>
      </c>
      <c r="D1178" s="37" t="s">
        <v>4149</v>
      </c>
      <c r="E1178" s="37" t="s">
        <v>4701</v>
      </c>
      <c r="F1178" s="37"/>
      <c r="G1178" s="37"/>
    </row>
    <row r="1179" spans="1:7">
      <c r="A1179" s="37"/>
      <c r="B1179" s="37" t="s">
        <v>5765</v>
      </c>
      <c r="C1179" s="37" t="s">
        <v>4148</v>
      </c>
      <c r="D1179" s="37" t="s">
        <v>4149</v>
      </c>
      <c r="E1179" s="37" t="s">
        <v>4701</v>
      </c>
      <c r="F1179" s="37"/>
      <c r="G1179" s="37"/>
    </row>
    <row r="1180" spans="1:7">
      <c r="A1180" s="37"/>
      <c r="B1180" s="37" t="s">
        <v>5766</v>
      </c>
      <c r="C1180" s="37" t="s">
        <v>4148</v>
      </c>
      <c r="D1180" s="37" t="s">
        <v>4149</v>
      </c>
      <c r="E1180" s="37" t="s">
        <v>4701</v>
      </c>
      <c r="F1180" s="37"/>
      <c r="G1180" s="37"/>
    </row>
    <row r="1181" spans="1:7">
      <c r="A1181" s="37"/>
      <c r="B1181" s="37" t="s">
        <v>5767</v>
      </c>
      <c r="C1181" s="37" t="s">
        <v>4148</v>
      </c>
      <c r="D1181" s="37" t="s">
        <v>4149</v>
      </c>
      <c r="E1181" s="37" t="s">
        <v>4701</v>
      </c>
      <c r="F1181" s="37"/>
      <c r="G1181" s="37"/>
    </row>
    <row r="1182" spans="1:7">
      <c r="A1182" s="37"/>
      <c r="B1182" s="37" t="s">
        <v>5768</v>
      </c>
      <c r="C1182" s="37" t="s">
        <v>4148</v>
      </c>
      <c r="D1182" s="37" t="s">
        <v>4149</v>
      </c>
      <c r="E1182" s="37" t="s">
        <v>4701</v>
      </c>
      <c r="F1182" s="37"/>
      <c r="G1182" s="37"/>
    </row>
    <row r="1183" spans="1:7">
      <c r="A1183" s="37"/>
      <c r="B1183" s="37" t="s">
        <v>5769</v>
      </c>
      <c r="C1183" s="37" t="s">
        <v>4160</v>
      </c>
      <c r="D1183" s="37" t="s">
        <v>4161</v>
      </c>
      <c r="E1183" s="37" t="s">
        <v>4701</v>
      </c>
      <c r="F1183" s="37"/>
      <c r="G1183" s="37"/>
    </row>
    <row r="1184" spans="1:7">
      <c r="A1184" s="37"/>
      <c r="B1184" s="37" t="s">
        <v>5770</v>
      </c>
      <c r="C1184" s="37" t="s">
        <v>4160</v>
      </c>
      <c r="D1184" s="37" t="s">
        <v>4161</v>
      </c>
      <c r="E1184" s="37" t="s">
        <v>4701</v>
      </c>
      <c r="F1184" s="37"/>
      <c r="G1184" s="37"/>
    </row>
    <row r="1185" spans="1:7">
      <c r="A1185" s="37"/>
      <c r="B1185" s="37" t="s">
        <v>5771</v>
      </c>
      <c r="C1185" s="37" t="s">
        <v>4172</v>
      </c>
      <c r="D1185" s="37" t="s">
        <v>4173</v>
      </c>
      <c r="E1185" s="37" t="s">
        <v>4701</v>
      </c>
      <c r="F1185" s="37"/>
      <c r="G1185" s="37"/>
    </row>
    <row r="1186" spans="1:7">
      <c r="A1186" s="37"/>
      <c r="B1186" s="37" t="s">
        <v>5772</v>
      </c>
      <c r="C1186" s="37" t="s">
        <v>4172</v>
      </c>
      <c r="D1186" s="37" t="s">
        <v>4173</v>
      </c>
      <c r="E1186" s="37" t="s">
        <v>4701</v>
      </c>
      <c r="F1186" s="37"/>
      <c r="G1186" s="37"/>
    </row>
    <row r="1187" spans="1:7">
      <c r="A1187" s="37"/>
      <c r="B1187" s="37" t="s">
        <v>5773</v>
      </c>
      <c r="C1187" s="37" t="s">
        <v>4186</v>
      </c>
      <c r="D1187" s="37" t="s">
        <v>4187</v>
      </c>
      <c r="E1187" s="37" t="s">
        <v>4701</v>
      </c>
      <c r="F1187" s="37"/>
      <c r="G1187" s="37"/>
    </row>
    <row r="1188" spans="1:7">
      <c r="A1188" s="37"/>
      <c r="B1188" s="37" t="s">
        <v>5774</v>
      </c>
      <c r="C1188" s="37" t="s">
        <v>4186</v>
      </c>
      <c r="D1188" s="37" t="s">
        <v>4187</v>
      </c>
      <c r="E1188" s="37" t="s">
        <v>4701</v>
      </c>
      <c r="F1188" s="37"/>
      <c r="G1188" s="37"/>
    </row>
    <row r="1189" spans="1:7">
      <c r="A1189" s="37"/>
      <c r="B1189" s="37" t="s">
        <v>5775</v>
      </c>
      <c r="C1189" s="37" t="s">
        <v>4198</v>
      </c>
      <c r="D1189" s="37" t="s">
        <v>4199</v>
      </c>
      <c r="E1189" s="37" t="s">
        <v>4701</v>
      </c>
      <c r="F1189" s="37"/>
      <c r="G1189" s="37"/>
    </row>
    <row r="1190" spans="1:7">
      <c r="A1190" s="37"/>
      <c r="B1190" s="37" t="s">
        <v>5776</v>
      </c>
      <c r="C1190" s="37" t="s">
        <v>4198</v>
      </c>
      <c r="D1190" s="37" t="s">
        <v>4199</v>
      </c>
      <c r="E1190" s="37" t="s">
        <v>4701</v>
      </c>
      <c r="F1190" s="37"/>
      <c r="G1190" s="37"/>
    </row>
    <row r="1191" spans="1:7">
      <c r="A1191" s="37"/>
      <c r="B1191" s="37" t="s">
        <v>5777</v>
      </c>
      <c r="C1191" s="37" t="s">
        <v>4210</v>
      </c>
      <c r="D1191" s="37" t="s">
        <v>4211</v>
      </c>
      <c r="E1191" s="37" t="s">
        <v>4701</v>
      </c>
      <c r="F1191" s="37"/>
      <c r="G1191" s="37"/>
    </row>
    <row r="1192" spans="1:7">
      <c r="A1192" s="37"/>
      <c r="B1192" s="37" t="s">
        <v>5778</v>
      </c>
      <c r="C1192" s="37" t="s">
        <v>4210</v>
      </c>
      <c r="D1192" s="37" t="s">
        <v>4211</v>
      </c>
      <c r="E1192" s="37" t="s">
        <v>4701</v>
      </c>
      <c r="F1192" s="37"/>
      <c r="G1192" s="37"/>
    </row>
    <row r="1193" spans="1:7">
      <c r="A1193" s="37"/>
      <c r="B1193" s="37" t="s">
        <v>5779</v>
      </c>
      <c r="C1193" s="37" t="s">
        <v>4210</v>
      </c>
      <c r="D1193" s="37" t="s">
        <v>4211</v>
      </c>
      <c r="E1193" s="37" t="s">
        <v>4701</v>
      </c>
      <c r="F1193" s="37"/>
      <c r="G1193" s="37"/>
    </row>
    <row r="1194" spans="1:7">
      <c r="A1194" s="37"/>
      <c r="B1194" s="37" t="s">
        <v>5780</v>
      </c>
      <c r="C1194" s="37" t="s">
        <v>4210</v>
      </c>
      <c r="D1194" s="37" t="s">
        <v>4211</v>
      </c>
      <c r="E1194" s="37" t="s">
        <v>4701</v>
      </c>
      <c r="F1194" s="37"/>
      <c r="G1194" s="37"/>
    </row>
    <row r="1195" spans="1:7">
      <c r="A1195" s="37"/>
      <c r="B1195" s="37" t="s">
        <v>5781</v>
      </c>
      <c r="C1195" s="37" t="s">
        <v>4210</v>
      </c>
      <c r="D1195" s="37" t="s">
        <v>4211</v>
      </c>
      <c r="E1195" s="37" t="s">
        <v>4701</v>
      </c>
      <c r="F1195" s="37"/>
      <c r="G1195" s="37"/>
    </row>
    <row r="1196" spans="1:7">
      <c r="A1196" s="37"/>
      <c r="B1196" s="37" t="s">
        <v>5782</v>
      </c>
      <c r="C1196" s="37" t="s">
        <v>4210</v>
      </c>
      <c r="D1196" s="37" t="s">
        <v>4211</v>
      </c>
      <c r="E1196" s="37" t="s">
        <v>4701</v>
      </c>
      <c r="F1196" s="37"/>
      <c r="G1196" s="37"/>
    </row>
    <row r="1197" spans="1:7">
      <c r="A1197" s="37"/>
      <c r="B1197" s="37" t="s">
        <v>5783</v>
      </c>
      <c r="C1197" s="37" t="s">
        <v>4210</v>
      </c>
      <c r="D1197" s="37" t="s">
        <v>4211</v>
      </c>
      <c r="E1197" s="37" t="s">
        <v>4701</v>
      </c>
      <c r="F1197" s="37"/>
      <c r="G1197" s="37"/>
    </row>
    <row r="1198" spans="1:7">
      <c r="A1198" s="37"/>
      <c r="B1198" s="37" t="s">
        <v>5784</v>
      </c>
      <c r="C1198" s="37" t="s">
        <v>4210</v>
      </c>
      <c r="D1198" s="37" t="s">
        <v>4211</v>
      </c>
      <c r="E1198" s="37" t="s">
        <v>4701</v>
      </c>
      <c r="F1198" s="37"/>
      <c r="G1198" s="37"/>
    </row>
    <row r="1199" spans="1:7">
      <c r="A1199" s="37"/>
      <c r="B1199" s="37" t="s">
        <v>5785</v>
      </c>
      <c r="C1199" s="37" t="s">
        <v>4210</v>
      </c>
      <c r="D1199" s="37" t="s">
        <v>4211</v>
      </c>
      <c r="E1199" s="37" t="s">
        <v>4701</v>
      </c>
      <c r="F1199" s="37"/>
      <c r="G1199" s="37"/>
    </row>
    <row r="1200" spans="1:7">
      <c r="A1200" s="37"/>
      <c r="B1200" s="37" t="s">
        <v>5786</v>
      </c>
      <c r="C1200" s="37" t="s">
        <v>4210</v>
      </c>
      <c r="D1200" s="37" t="s">
        <v>4211</v>
      </c>
      <c r="E1200" s="37" t="s">
        <v>4701</v>
      </c>
      <c r="F1200" s="37"/>
      <c r="G1200" s="37"/>
    </row>
    <row r="1201" spans="1:7">
      <c r="A1201" s="37"/>
      <c r="B1201" s="37" t="s">
        <v>5787</v>
      </c>
      <c r="C1201" s="37" t="s">
        <v>4210</v>
      </c>
      <c r="D1201" s="37" t="s">
        <v>4211</v>
      </c>
      <c r="E1201" s="37" t="s">
        <v>4701</v>
      </c>
      <c r="F1201" s="37"/>
      <c r="G1201" s="37"/>
    </row>
    <row r="1202" spans="1:7">
      <c r="A1202" s="37"/>
      <c r="B1202" s="37" t="s">
        <v>5788</v>
      </c>
      <c r="C1202" s="37" t="s">
        <v>4210</v>
      </c>
      <c r="D1202" s="37" t="s">
        <v>4211</v>
      </c>
      <c r="E1202" s="37" t="s">
        <v>4701</v>
      </c>
      <c r="F1202" s="37"/>
      <c r="G1202" s="37"/>
    </row>
    <row r="1203" spans="1:7">
      <c r="A1203" s="37"/>
      <c r="B1203" s="37" t="s">
        <v>5789</v>
      </c>
      <c r="C1203" s="37" t="s">
        <v>4222</v>
      </c>
      <c r="D1203" s="37" t="s">
        <v>4223</v>
      </c>
      <c r="E1203" s="37" t="s">
        <v>4701</v>
      </c>
      <c r="F1203" s="37"/>
      <c r="G1203" s="37"/>
    </row>
    <row r="1204" spans="1:7">
      <c r="A1204" s="37"/>
      <c r="B1204" s="37" t="s">
        <v>5790</v>
      </c>
      <c r="C1204" s="37" t="s">
        <v>4222</v>
      </c>
      <c r="D1204" s="37" t="s">
        <v>4223</v>
      </c>
      <c r="E1204" s="37" t="s">
        <v>4701</v>
      </c>
      <c r="F1204" s="37"/>
      <c r="G1204" s="37"/>
    </row>
    <row r="1205" spans="1:7">
      <c r="A1205" s="37"/>
      <c r="B1205" s="37" t="s">
        <v>5791</v>
      </c>
      <c r="C1205" s="37" t="s">
        <v>4222</v>
      </c>
      <c r="D1205" s="37" t="s">
        <v>4223</v>
      </c>
      <c r="E1205" s="37" t="s">
        <v>4701</v>
      </c>
      <c r="F1205" s="37"/>
      <c r="G1205" s="37"/>
    </row>
    <row r="1206" spans="1:7">
      <c r="A1206" s="37"/>
      <c r="B1206" s="37" t="s">
        <v>5792</v>
      </c>
      <c r="C1206" s="37" t="s">
        <v>4233</v>
      </c>
      <c r="D1206" s="37" t="s">
        <v>4234</v>
      </c>
      <c r="E1206" s="37" t="s">
        <v>4701</v>
      </c>
      <c r="F1206" s="37"/>
      <c r="G1206" s="37"/>
    </row>
    <row r="1207" spans="1:7">
      <c r="A1207" s="37"/>
      <c r="B1207" s="37" t="s">
        <v>5793</v>
      </c>
      <c r="C1207" s="37" t="s">
        <v>4233</v>
      </c>
      <c r="D1207" s="37" t="s">
        <v>4234</v>
      </c>
      <c r="E1207" s="37" t="s">
        <v>4701</v>
      </c>
      <c r="F1207" s="37"/>
      <c r="G1207" s="37"/>
    </row>
    <row r="1208" spans="1:7">
      <c r="A1208" s="37"/>
      <c r="B1208" s="37" t="s">
        <v>5794</v>
      </c>
      <c r="C1208" s="37" t="s">
        <v>4233</v>
      </c>
      <c r="D1208" s="37" t="s">
        <v>4234</v>
      </c>
      <c r="E1208" s="37" t="s">
        <v>4701</v>
      </c>
      <c r="F1208" s="37"/>
      <c r="G1208" s="37"/>
    </row>
    <row r="1209" spans="1:7">
      <c r="A1209" s="37"/>
      <c r="B1209" s="37" t="s">
        <v>5795</v>
      </c>
      <c r="C1209" s="37" t="s">
        <v>4233</v>
      </c>
      <c r="D1209" s="37" t="s">
        <v>4234</v>
      </c>
      <c r="E1209" s="37" t="s">
        <v>4701</v>
      </c>
      <c r="F1209" s="37"/>
      <c r="G1209" s="37"/>
    </row>
    <row r="1210" spans="1:7">
      <c r="A1210" s="37"/>
      <c r="B1210" s="37" t="s">
        <v>5796</v>
      </c>
      <c r="C1210" s="37" t="s">
        <v>4233</v>
      </c>
      <c r="D1210" s="37" t="s">
        <v>4234</v>
      </c>
      <c r="E1210" s="37" t="s">
        <v>4701</v>
      </c>
      <c r="F1210" s="37"/>
      <c r="G1210" s="37"/>
    </row>
    <row r="1211" spans="1:7">
      <c r="A1211" s="37"/>
      <c r="B1211" s="37" t="s">
        <v>5797</v>
      </c>
      <c r="C1211" s="37" t="s">
        <v>4233</v>
      </c>
      <c r="D1211" s="37" t="s">
        <v>4234</v>
      </c>
      <c r="E1211" s="37" t="s">
        <v>4701</v>
      </c>
      <c r="F1211" s="37"/>
      <c r="G1211" s="37"/>
    </row>
    <row r="1212" spans="1:7">
      <c r="A1212" s="37"/>
      <c r="B1212" s="37" t="s">
        <v>5798</v>
      </c>
      <c r="C1212" s="37" t="s">
        <v>4233</v>
      </c>
      <c r="D1212" s="37" t="s">
        <v>4234</v>
      </c>
      <c r="E1212" s="37" t="s">
        <v>4701</v>
      </c>
      <c r="F1212" s="37"/>
      <c r="G1212" s="37"/>
    </row>
    <row r="1213" spans="1:7">
      <c r="A1213" s="37"/>
      <c r="B1213" s="37" t="s">
        <v>5799</v>
      </c>
      <c r="C1213" s="37" t="s">
        <v>4233</v>
      </c>
      <c r="D1213" s="37" t="s">
        <v>4234</v>
      </c>
      <c r="E1213" s="37" t="s">
        <v>4701</v>
      </c>
      <c r="F1213" s="37"/>
      <c r="G1213" s="37"/>
    </row>
    <row r="1214" spans="1:7">
      <c r="A1214" s="37"/>
      <c r="B1214" s="37" t="s">
        <v>5800</v>
      </c>
      <c r="C1214" s="37" t="s">
        <v>4233</v>
      </c>
      <c r="D1214" s="37" t="s">
        <v>4234</v>
      </c>
      <c r="E1214" s="37" t="s">
        <v>4701</v>
      </c>
      <c r="F1214" s="37"/>
      <c r="G1214" s="37"/>
    </row>
    <row r="1215" spans="1:7">
      <c r="A1215" s="37"/>
      <c r="B1215" s="37" t="s">
        <v>5801</v>
      </c>
      <c r="C1215" s="37" t="s">
        <v>4233</v>
      </c>
      <c r="D1215" s="37" t="s">
        <v>4234</v>
      </c>
      <c r="E1215" s="37" t="s">
        <v>4701</v>
      </c>
      <c r="F1215" s="37"/>
      <c r="G1215" s="37"/>
    </row>
    <row r="1216" spans="1:7">
      <c r="A1216" s="37"/>
      <c r="B1216" s="37" t="s">
        <v>5802</v>
      </c>
      <c r="C1216" s="37" t="s">
        <v>4233</v>
      </c>
      <c r="D1216" s="37" t="s">
        <v>4234</v>
      </c>
      <c r="E1216" s="37" t="s">
        <v>4701</v>
      </c>
      <c r="F1216" s="37"/>
      <c r="G1216" s="37"/>
    </row>
    <row r="1217" spans="1:7">
      <c r="A1217" s="37"/>
      <c r="B1217" s="37" t="s">
        <v>5803</v>
      </c>
      <c r="C1217" s="37" t="s">
        <v>4233</v>
      </c>
      <c r="D1217" s="37" t="s">
        <v>4234</v>
      </c>
      <c r="E1217" s="37" t="s">
        <v>4701</v>
      </c>
      <c r="F1217" s="37"/>
      <c r="G1217" s="37"/>
    </row>
    <row r="1218" spans="1:7">
      <c r="A1218" s="37"/>
      <c r="B1218" s="37" t="s">
        <v>5804</v>
      </c>
      <c r="C1218" s="37" t="s">
        <v>4233</v>
      </c>
      <c r="D1218" s="37" t="s">
        <v>4234</v>
      </c>
      <c r="E1218" s="37" t="s">
        <v>4701</v>
      </c>
      <c r="F1218" s="37"/>
      <c r="G1218" s="37"/>
    </row>
    <row r="1219" spans="1:7">
      <c r="A1219" s="37"/>
      <c r="B1219" s="37" t="s">
        <v>5805</v>
      </c>
      <c r="C1219" s="37" t="s">
        <v>4233</v>
      </c>
      <c r="D1219" s="37" t="s">
        <v>4234</v>
      </c>
      <c r="E1219" s="37" t="s">
        <v>4701</v>
      </c>
      <c r="F1219" s="37"/>
      <c r="G1219" s="37"/>
    </row>
    <row r="1220" spans="1:7">
      <c r="A1220" s="37"/>
      <c r="B1220" s="37" t="s">
        <v>5806</v>
      </c>
      <c r="C1220" s="37" t="s">
        <v>4233</v>
      </c>
      <c r="D1220" s="37" t="s">
        <v>4234</v>
      </c>
      <c r="E1220" s="37" t="s">
        <v>4701</v>
      </c>
      <c r="F1220" s="37"/>
      <c r="G1220" s="37"/>
    </row>
    <row r="1221" spans="1:7">
      <c r="A1221" s="37"/>
      <c r="B1221" s="37" t="s">
        <v>5807</v>
      </c>
      <c r="C1221" s="37" t="s">
        <v>4233</v>
      </c>
      <c r="D1221" s="37" t="s">
        <v>4234</v>
      </c>
      <c r="E1221" s="37" t="s">
        <v>4701</v>
      </c>
      <c r="F1221" s="37"/>
      <c r="G1221" s="37"/>
    </row>
    <row r="1222" spans="1:7">
      <c r="A1222" s="37"/>
      <c r="B1222" s="37" t="s">
        <v>5808</v>
      </c>
      <c r="C1222" s="37" t="s">
        <v>4233</v>
      </c>
      <c r="D1222" s="37" t="s">
        <v>4234</v>
      </c>
      <c r="E1222" s="37" t="s">
        <v>4701</v>
      </c>
      <c r="F1222" s="37"/>
      <c r="G1222" s="37"/>
    </row>
    <row r="1223" spans="1:7">
      <c r="A1223" s="37"/>
      <c r="B1223" s="37" t="s">
        <v>5809</v>
      </c>
      <c r="C1223" s="37" t="s">
        <v>4233</v>
      </c>
      <c r="D1223" s="37" t="s">
        <v>4234</v>
      </c>
      <c r="E1223" s="37" t="s">
        <v>4701</v>
      </c>
      <c r="F1223" s="37"/>
      <c r="G1223" s="37"/>
    </row>
    <row r="1224" spans="1:7">
      <c r="A1224" s="37"/>
      <c r="B1224" s="37" t="s">
        <v>5810</v>
      </c>
      <c r="C1224" s="37" t="s">
        <v>4233</v>
      </c>
      <c r="D1224" s="37" t="s">
        <v>4234</v>
      </c>
      <c r="E1224" s="37" t="s">
        <v>4701</v>
      </c>
      <c r="F1224" s="37"/>
      <c r="G1224" s="37"/>
    </row>
    <row r="1225" spans="1:7">
      <c r="A1225" s="37"/>
      <c r="B1225" s="37" t="s">
        <v>5811</v>
      </c>
      <c r="C1225" s="37" t="s">
        <v>4233</v>
      </c>
      <c r="D1225" s="37" t="s">
        <v>4234</v>
      </c>
      <c r="E1225" s="37" t="s">
        <v>4701</v>
      </c>
      <c r="F1225" s="37"/>
      <c r="G1225" s="37"/>
    </row>
    <row r="1226" spans="1:7">
      <c r="A1226" s="37"/>
      <c r="B1226" s="37" t="s">
        <v>5812</v>
      </c>
      <c r="C1226" s="37" t="s">
        <v>4233</v>
      </c>
      <c r="D1226" s="37" t="s">
        <v>4234</v>
      </c>
      <c r="E1226" s="37" t="s">
        <v>4701</v>
      </c>
      <c r="F1226" s="37"/>
      <c r="G1226" s="37"/>
    </row>
    <row r="1227" spans="1:7">
      <c r="A1227" s="37"/>
      <c r="B1227" s="37" t="s">
        <v>5813</v>
      </c>
      <c r="C1227" s="37" t="s">
        <v>4233</v>
      </c>
      <c r="D1227" s="37" t="s">
        <v>4234</v>
      </c>
      <c r="E1227" s="37" t="s">
        <v>4701</v>
      </c>
      <c r="F1227" s="37"/>
      <c r="G1227" s="37"/>
    </row>
    <row r="1228" spans="1:7">
      <c r="A1228" s="37"/>
      <c r="B1228" s="37" t="s">
        <v>5814</v>
      </c>
      <c r="C1228" s="37" t="s">
        <v>4233</v>
      </c>
      <c r="D1228" s="37" t="s">
        <v>4234</v>
      </c>
      <c r="E1228" s="37" t="s">
        <v>4701</v>
      </c>
      <c r="F1228" s="37"/>
      <c r="G1228" s="37"/>
    </row>
    <row r="1229" spans="1:7">
      <c r="A1229" s="37"/>
      <c r="B1229" s="37" t="s">
        <v>5815</v>
      </c>
      <c r="C1229" s="37" t="s">
        <v>4233</v>
      </c>
      <c r="D1229" s="37" t="s">
        <v>4234</v>
      </c>
      <c r="E1229" s="37" t="s">
        <v>4701</v>
      </c>
      <c r="F1229" s="37"/>
      <c r="G1229" s="37"/>
    </row>
    <row r="1230" spans="1:7">
      <c r="A1230" s="37"/>
      <c r="B1230" s="37" t="s">
        <v>5816</v>
      </c>
      <c r="C1230" s="37" t="s">
        <v>4233</v>
      </c>
      <c r="D1230" s="37" t="s">
        <v>4234</v>
      </c>
      <c r="E1230" s="37" t="s">
        <v>4701</v>
      </c>
      <c r="F1230" s="37"/>
      <c r="G1230" s="37"/>
    </row>
    <row r="1231" spans="1:7">
      <c r="A1231" s="37"/>
      <c r="B1231" s="37" t="s">
        <v>5817</v>
      </c>
      <c r="C1231" s="37" t="s">
        <v>4233</v>
      </c>
      <c r="D1231" s="37" t="s">
        <v>4234</v>
      </c>
      <c r="E1231" s="37" t="s">
        <v>4701</v>
      </c>
      <c r="F1231" s="37"/>
      <c r="G1231" s="37"/>
    </row>
    <row r="1232" spans="1:7">
      <c r="A1232" s="37"/>
      <c r="B1232" s="37" t="s">
        <v>5818</v>
      </c>
      <c r="C1232" s="37" t="s">
        <v>4233</v>
      </c>
      <c r="D1232" s="37" t="s">
        <v>4234</v>
      </c>
      <c r="E1232" s="37" t="s">
        <v>4701</v>
      </c>
      <c r="F1232" s="37"/>
      <c r="G1232" s="37"/>
    </row>
    <row r="1233" spans="1:7">
      <c r="A1233" s="37"/>
      <c r="B1233" s="37" t="s">
        <v>5819</v>
      </c>
      <c r="C1233" s="37" t="s">
        <v>4233</v>
      </c>
      <c r="D1233" s="37" t="s">
        <v>4234</v>
      </c>
      <c r="E1233" s="37" t="s">
        <v>4701</v>
      </c>
      <c r="F1233" s="37"/>
      <c r="G1233" s="37"/>
    </row>
    <row r="1234" spans="1:7">
      <c r="A1234" s="37"/>
      <c r="B1234" s="37" t="s">
        <v>5820</v>
      </c>
      <c r="C1234" s="37" t="s">
        <v>4233</v>
      </c>
      <c r="D1234" s="37" t="s">
        <v>4234</v>
      </c>
      <c r="E1234" s="37" t="s">
        <v>4701</v>
      </c>
      <c r="F1234" s="37"/>
      <c r="G1234" s="37"/>
    </row>
    <row r="1235" spans="1:7">
      <c r="A1235" s="37"/>
      <c r="B1235" s="37" t="s">
        <v>5821</v>
      </c>
      <c r="C1235" s="37" t="s">
        <v>4233</v>
      </c>
      <c r="D1235" s="37" t="s">
        <v>4234</v>
      </c>
      <c r="E1235" s="37" t="s">
        <v>4701</v>
      </c>
      <c r="F1235" s="37"/>
      <c r="G1235" s="37"/>
    </row>
    <row r="1236" spans="1:7">
      <c r="A1236" s="37"/>
      <c r="B1236" s="37" t="s">
        <v>5822</v>
      </c>
      <c r="C1236" s="37" t="s">
        <v>4233</v>
      </c>
      <c r="D1236" s="37" t="s">
        <v>4234</v>
      </c>
      <c r="E1236" s="37" t="s">
        <v>4701</v>
      </c>
      <c r="F1236" s="37"/>
      <c r="G1236" s="37"/>
    </row>
    <row r="1237" spans="1:7">
      <c r="A1237" s="37"/>
      <c r="B1237" s="37" t="s">
        <v>5823</v>
      </c>
      <c r="C1237" s="37" t="s">
        <v>4233</v>
      </c>
      <c r="D1237" s="37" t="s">
        <v>4234</v>
      </c>
      <c r="E1237" s="37" t="s">
        <v>4701</v>
      </c>
      <c r="F1237" s="37"/>
      <c r="G1237" s="37"/>
    </row>
    <row r="1238" spans="1:7">
      <c r="A1238" s="37"/>
      <c r="B1238" s="37" t="s">
        <v>5824</v>
      </c>
      <c r="C1238" s="37" t="s">
        <v>4233</v>
      </c>
      <c r="D1238" s="37" t="s">
        <v>4234</v>
      </c>
      <c r="E1238" s="37" t="s">
        <v>4701</v>
      </c>
      <c r="F1238" s="37"/>
      <c r="G1238" s="37"/>
    </row>
    <row r="1239" spans="1:7">
      <c r="A1239" s="37"/>
      <c r="B1239" s="37" t="s">
        <v>5825</v>
      </c>
      <c r="C1239" s="37" t="s">
        <v>4233</v>
      </c>
      <c r="D1239" s="37" t="s">
        <v>4234</v>
      </c>
      <c r="E1239" s="37" t="s">
        <v>4701</v>
      </c>
      <c r="F1239" s="37"/>
      <c r="G1239" s="37"/>
    </row>
    <row r="1240" spans="1:7">
      <c r="A1240" s="37"/>
      <c r="B1240" s="37" t="s">
        <v>5826</v>
      </c>
      <c r="C1240" s="37" t="s">
        <v>4233</v>
      </c>
      <c r="D1240" s="37" t="s">
        <v>4234</v>
      </c>
      <c r="E1240" s="37" t="s">
        <v>4701</v>
      </c>
      <c r="F1240" s="37"/>
      <c r="G1240" s="37"/>
    </row>
    <row r="1241" spans="1:7">
      <c r="A1241" s="37"/>
      <c r="B1241" s="37" t="s">
        <v>5827</v>
      </c>
      <c r="C1241" s="37" t="s">
        <v>4233</v>
      </c>
      <c r="D1241" s="37" t="s">
        <v>4234</v>
      </c>
      <c r="E1241" s="37" t="s">
        <v>4701</v>
      </c>
      <c r="F1241" s="37"/>
      <c r="G1241" s="37"/>
    </row>
    <row r="1242" spans="1:7">
      <c r="A1242" s="37"/>
      <c r="B1242" s="37" t="s">
        <v>5828</v>
      </c>
      <c r="C1242" s="37" t="s">
        <v>4233</v>
      </c>
      <c r="D1242" s="37" t="s">
        <v>4234</v>
      </c>
      <c r="E1242" s="37" t="s">
        <v>4701</v>
      </c>
      <c r="F1242" s="37"/>
      <c r="G1242" s="37"/>
    </row>
    <row r="1243" spans="1:7">
      <c r="A1243" s="37"/>
      <c r="B1243" s="37" t="s">
        <v>5829</v>
      </c>
      <c r="C1243" s="37" t="s">
        <v>4233</v>
      </c>
      <c r="D1243" s="37" t="s">
        <v>4234</v>
      </c>
      <c r="E1243" s="37" t="s">
        <v>4701</v>
      </c>
      <c r="F1243" s="37"/>
      <c r="G1243" s="37"/>
    </row>
    <row r="1244" spans="1:7">
      <c r="A1244" s="37"/>
      <c r="B1244" s="37" t="s">
        <v>5830</v>
      </c>
      <c r="C1244" s="37" t="s">
        <v>4233</v>
      </c>
      <c r="D1244" s="37" t="s">
        <v>4234</v>
      </c>
      <c r="E1244" s="37" t="s">
        <v>4701</v>
      </c>
      <c r="F1244" s="37"/>
      <c r="G1244" s="37"/>
    </row>
    <row r="1245" spans="1:7">
      <c r="A1245" s="37"/>
      <c r="B1245" s="37" t="s">
        <v>5831</v>
      </c>
      <c r="C1245" s="37" t="s">
        <v>4233</v>
      </c>
      <c r="D1245" s="37" t="s">
        <v>4234</v>
      </c>
      <c r="E1245" s="37" t="s">
        <v>4701</v>
      </c>
      <c r="F1245" s="37"/>
      <c r="G1245" s="37"/>
    </row>
    <row r="1246" spans="1:7">
      <c r="A1246" s="37"/>
      <c r="B1246" s="37" t="s">
        <v>5832</v>
      </c>
      <c r="C1246" s="37" t="s">
        <v>4233</v>
      </c>
      <c r="D1246" s="37" t="s">
        <v>4234</v>
      </c>
      <c r="E1246" s="37" t="s">
        <v>4701</v>
      </c>
      <c r="F1246" s="37"/>
      <c r="G1246" s="37"/>
    </row>
    <row r="1247" spans="1:7">
      <c r="A1247" s="37"/>
      <c r="B1247" s="37" t="s">
        <v>5833</v>
      </c>
      <c r="C1247" s="37" t="s">
        <v>4233</v>
      </c>
      <c r="D1247" s="37" t="s">
        <v>4234</v>
      </c>
      <c r="E1247" s="37" t="s">
        <v>4701</v>
      </c>
      <c r="F1247" s="37"/>
      <c r="G1247" s="37"/>
    </row>
    <row r="1248" spans="1:7">
      <c r="A1248" s="37"/>
      <c r="B1248" s="37" t="s">
        <v>5834</v>
      </c>
      <c r="C1248" s="37" t="s">
        <v>4233</v>
      </c>
      <c r="D1248" s="37" t="s">
        <v>4234</v>
      </c>
      <c r="E1248" s="37" t="s">
        <v>4701</v>
      </c>
      <c r="F1248" s="37"/>
      <c r="G1248" s="37"/>
    </row>
    <row r="1249" spans="1:7">
      <c r="A1249" s="37"/>
      <c r="B1249" s="37" t="s">
        <v>5835</v>
      </c>
      <c r="C1249" s="37" t="s">
        <v>4233</v>
      </c>
      <c r="D1249" s="37" t="s">
        <v>4234</v>
      </c>
      <c r="E1249" s="37" t="s">
        <v>4701</v>
      </c>
      <c r="F1249" s="37"/>
      <c r="G1249" s="37"/>
    </row>
    <row r="1250" spans="1:7">
      <c r="A1250" s="37"/>
      <c r="B1250" s="37" t="s">
        <v>5836</v>
      </c>
      <c r="C1250" s="37" t="s">
        <v>4233</v>
      </c>
      <c r="D1250" s="37" t="s">
        <v>4234</v>
      </c>
      <c r="E1250" s="37" t="s">
        <v>4701</v>
      </c>
      <c r="F1250" s="37"/>
      <c r="G1250" s="37"/>
    </row>
    <row r="1251" spans="1:7">
      <c r="A1251" s="37"/>
      <c r="B1251" s="37" t="s">
        <v>5837</v>
      </c>
      <c r="C1251" s="37" t="s">
        <v>4233</v>
      </c>
      <c r="D1251" s="37" t="s">
        <v>4234</v>
      </c>
      <c r="E1251" s="37" t="s">
        <v>4701</v>
      </c>
      <c r="F1251" s="37"/>
      <c r="G1251" s="37"/>
    </row>
    <row r="1252" spans="1:7">
      <c r="A1252" s="37"/>
      <c r="B1252" s="37" t="s">
        <v>5838</v>
      </c>
      <c r="C1252" s="37" t="s">
        <v>4233</v>
      </c>
      <c r="D1252" s="37" t="s">
        <v>4234</v>
      </c>
      <c r="E1252" s="37" t="s">
        <v>4701</v>
      </c>
      <c r="F1252" s="37"/>
      <c r="G1252" s="37"/>
    </row>
    <row r="1253" spans="1:7">
      <c r="A1253" s="37"/>
      <c r="B1253" s="37" t="s">
        <v>5839</v>
      </c>
      <c r="C1253" s="37" t="s">
        <v>4233</v>
      </c>
      <c r="D1253" s="37" t="s">
        <v>4234</v>
      </c>
      <c r="E1253" s="37" t="s">
        <v>4701</v>
      </c>
      <c r="F1253" s="37"/>
      <c r="G1253" s="37"/>
    </row>
    <row r="1254" spans="1:7">
      <c r="A1254" s="37"/>
      <c r="B1254" s="37" t="s">
        <v>5840</v>
      </c>
      <c r="C1254" s="37" t="s">
        <v>4233</v>
      </c>
      <c r="D1254" s="37" t="s">
        <v>4234</v>
      </c>
      <c r="E1254" s="37" t="s">
        <v>4701</v>
      </c>
      <c r="F1254" s="37"/>
      <c r="G1254" s="37"/>
    </row>
    <row r="1255" spans="1:7">
      <c r="A1255" s="37"/>
      <c r="B1255" s="37" t="s">
        <v>5841</v>
      </c>
      <c r="C1255" s="37" t="s">
        <v>4233</v>
      </c>
      <c r="D1255" s="37" t="s">
        <v>4234</v>
      </c>
      <c r="E1255" s="37" t="s">
        <v>4701</v>
      </c>
      <c r="F1255" s="37"/>
      <c r="G1255" s="37"/>
    </row>
    <row r="1256" spans="1:7">
      <c r="A1256" s="37"/>
      <c r="B1256" s="37" t="s">
        <v>5842</v>
      </c>
      <c r="C1256" s="37" t="s">
        <v>4233</v>
      </c>
      <c r="D1256" s="37" t="s">
        <v>4234</v>
      </c>
      <c r="E1256" s="37" t="s">
        <v>4701</v>
      </c>
      <c r="F1256" s="37"/>
      <c r="G1256" s="37"/>
    </row>
    <row r="1257" spans="1:7">
      <c r="A1257" s="37"/>
      <c r="B1257" s="37" t="s">
        <v>5843</v>
      </c>
      <c r="C1257" s="37" t="s">
        <v>4233</v>
      </c>
      <c r="D1257" s="37" t="s">
        <v>4234</v>
      </c>
      <c r="E1257" s="37" t="s">
        <v>4701</v>
      </c>
      <c r="F1257" s="37"/>
      <c r="G1257" s="37"/>
    </row>
    <row r="1258" spans="1:7">
      <c r="A1258" s="37"/>
      <c r="B1258" s="37" t="s">
        <v>5844</v>
      </c>
      <c r="C1258" s="37" t="s">
        <v>4233</v>
      </c>
      <c r="D1258" s="37" t="s">
        <v>4234</v>
      </c>
      <c r="E1258" s="37" t="s">
        <v>4701</v>
      </c>
      <c r="F1258" s="37"/>
      <c r="G1258" s="37"/>
    </row>
    <row r="1259" spans="1:7">
      <c r="A1259" s="37"/>
      <c r="B1259" s="37" t="s">
        <v>5845</v>
      </c>
      <c r="C1259" s="37" t="s">
        <v>4233</v>
      </c>
      <c r="D1259" s="37" t="s">
        <v>4234</v>
      </c>
      <c r="E1259" s="37" t="s">
        <v>4701</v>
      </c>
      <c r="F1259" s="37"/>
      <c r="G1259" s="37"/>
    </row>
    <row r="1260" spans="1:7">
      <c r="A1260" s="37"/>
      <c r="B1260" s="37" t="s">
        <v>5846</v>
      </c>
      <c r="C1260" s="37" t="s">
        <v>4233</v>
      </c>
      <c r="D1260" s="37" t="s">
        <v>4234</v>
      </c>
      <c r="E1260" s="37" t="s">
        <v>4701</v>
      </c>
      <c r="F1260" s="37"/>
      <c r="G1260" s="37"/>
    </row>
    <row r="1261" spans="1:7">
      <c r="A1261" s="37"/>
      <c r="B1261" s="37" t="s">
        <v>5847</v>
      </c>
      <c r="C1261" s="37" t="s">
        <v>4233</v>
      </c>
      <c r="D1261" s="37" t="s">
        <v>4234</v>
      </c>
      <c r="E1261" s="37" t="s">
        <v>4701</v>
      </c>
      <c r="F1261" s="37"/>
      <c r="G1261" s="37"/>
    </row>
    <row r="1262" spans="1:7">
      <c r="A1262" s="37"/>
      <c r="B1262" s="37" t="s">
        <v>5848</v>
      </c>
      <c r="C1262" s="37" t="s">
        <v>4233</v>
      </c>
      <c r="D1262" s="37" t="s">
        <v>4234</v>
      </c>
      <c r="E1262" s="37" t="s">
        <v>4701</v>
      </c>
      <c r="F1262" s="37"/>
      <c r="G1262" s="37"/>
    </row>
    <row r="1263" spans="1:7">
      <c r="A1263" s="37"/>
      <c r="B1263" s="37" t="s">
        <v>5849</v>
      </c>
      <c r="C1263" s="37" t="s">
        <v>4233</v>
      </c>
      <c r="D1263" s="37" t="s">
        <v>4234</v>
      </c>
      <c r="E1263" s="37" t="s">
        <v>4701</v>
      </c>
      <c r="F1263" s="37"/>
      <c r="G1263" s="37"/>
    </row>
    <row r="1264" spans="1:7">
      <c r="A1264" s="37"/>
      <c r="B1264" s="37" t="s">
        <v>5850</v>
      </c>
      <c r="C1264" s="37" t="s">
        <v>4233</v>
      </c>
      <c r="D1264" s="37" t="s">
        <v>4234</v>
      </c>
      <c r="E1264" s="37" t="s">
        <v>4701</v>
      </c>
      <c r="F1264" s="37"/>
      <c r="G1264" s="37"/>
    </row>
    <row r="1265" spans="1:7">
      <c r="A1265" s="37"/>
      <c r="B1265" s="37" t="s">
        <v>5851</v>
      </c>
      <c r="C1265" s="37" t="s">
        <v>4233</v>
      </c>
      <c r="D1265" s="37" t="s">
        <v>4234</v>
      </c>
      <c r="E1265" s="37" t="s">
        <v>4701</v>
      </c>
      <c r="F1265" s="37"/>
      <c r="G1265" s="37"/>
    </row>
    <row r="1266" spans="1:7">
      <c r="A1266" s="37"/>
      <c r="B1266" s="37" t="s">
        <v>5852</v>
      </c>
      <c r="C1266" s="37" t="s">
        <v>4233</v>
      </c>
      <c r="D1266" s="37" t="s">
        <v>4234</v>
      </c>
      <c r="E1266" s="37" t="s">
        <v>4701</v>
      </c>
      <c r="F1266" s="37"/>
      <c r="G1266" s="37"/>
    </row>
    <row r="1267" spans="1:7">
      <c r="A1267" s="37"/>
      <c r="B1267" s="37" t="s">
        <v>5853</v>
      </c>
      <c r="C1267" s="37" t="s">
        <v>4233</v>
      </c>
      <c r="D1267" s="37" t="s">
        <v>4234</v>
      </c>
      <c r="E1267" s="37" t="s">
        <v>4701</v>
      </c>
      <c r="F1267" s="37"/>
      <c r="G1267" s="37"/>
    </row>
    <row r="1268" spans="1:7">
      <c r="A1268" s="37"/>
      <c r="B1268" s="37" t="s">
        <v>5854</v>
      </c>
      <c r="C1268" s="37" t="s">
        <v>4249</v>
      </c>
      <c r="D1268" s="37" t="s">
        <v>4250</v>
      </c>
      <c r="E1268" s="37" t="s">
        <v>4701</v>
      </c>
      <c r="F1268" s="37"/>
      <c r="G1268" s="37"/>
    </row>
    <row r="1269" spans="1:7">
      <c r="A1269" s="37"/>
      <c r="B1269" s="37" t="s">
        <v>5855</v>
      </c>
      <c r="C1269" s="37" t="s">
        <v>4249</v>
      </c>
      <c r="D1269" s="37" t="s">
        <v>4250</v>
      </c>
      <c r="E1269" s="37" t="s">
        <v>4701</v>
      </c>
      <c r="F1269" s="37"/>
      <c r="G1269" s="37"/>
    </row>
    <row r="1270" spans="1:7">
      <c r="A1270" s="37"/>
      <c r="B1270" s="37" t="s">
        <v>5856</v>
      </c>
      <c r="C1270" s="37" t="s">
        <v>4261</v>
      </c>
      <c r="D1270" s="37" t="s">
        <v>4262</v>
      </c>
      <c r="E1270" s="37" t="s">
        <v>4701</v>
      </c>
      <c r="F1270" s="37"/>
      <c r="G1270" s="37"/>
    </row>
    <row r="1271" spans="1:7">
      <c r="A1271" s="37"/>
      <c r="B1271" s="37" t="s">
        <v>5857</v>
      </c>
      <c r="C1271" s="37" t="s">
        <v>4261</v>
      </c>
      <c r="D1271" s="37" t="s">
        <v>4262</v>
      </c>
      <c r="E1271" s="37" t="s">
        <v>4701</v>
      </c>
      <c r="F1271" s="37"/>
      <c r="G1271" s="37"/>
    </row>
    <row r="1272" spans="1:7">
      <c r="A1272" s="37"/>
      <c r="B1272" s="37" t="s">
        <v>5858</v>
      </c>
      <c r="C1272" s="37" t="s">
        <v>4261</v>
      </c>
      <c r="D1272" s="37" t="s">
        <v>4262</v>
      </c>
      <c r="E1272" s="37" t="s">
        <v>4701</v>
      </c>
      <c r="F1272" s="37"/>
      <c r="G1272" s="37"/>
    </row>
    <row r="1273" spans="1:7">
      <c r="A1273" s="37"/>
      <c r="B1273" s="37" t="s">
        <v>5859</v>
      </c>
      <c r="C1273" s="37" t="s">
        <v>4261</v>
      </c>
      <c r="D1273" s="37" t="s">
        <v>4262</v>
      </c>
      <c r="E1273" s="37" t="s">
        <v>4701</v>
      </c>
      <c r="F1273" s="37"/>
      <c r="G1273" s="37"/>
    </row>
    <row r="1274" spans="1:7">
      <c r="A1274" s="37"/>
      <c r="B1274" s="37" t="s">
        <v>5860</v>
      </c>
      <c r="C1274" s="37" t="s">
        <v>4261</v>
      </c>
      <c r="D1274" s="37" t="s">
        <v>4262</v>
      </c>
      <c r="E1274" s="37" t="s">
        <v>4701</v>
      </c>
      <c r="F1274" s="37"/>
      <c r="G1274" s="37"/>
    </row>
    <row r="1275" spans="1:7">
      <c r="A1275" s="37"/>
      <c r="B1275" s="37" t="s">
        <v>5861</v>
      </c>
      <c r="C1275" s="37" t="s">
        <v>4261</v>
      </c>
      <c r="D1275" s="37" t="s">
        <v>4262</v>
      </c>
      <c r="E1275" s="37" t="s">
        <v>4701</v>
      </c>
      <c r="F1275" s="37"/>
      <c r="G1275" s="37"/>
    </row>
    <row r="1276" spans="1:7">
      <c r="A1276" s="37"/>
      <c r="B1276" s="37" t="s">
        <v>5862</v>
      </c>
      <c r="C1276" s="37" t="s">
        <v>4261</v>
      </c>
      <c r="D1276" s="37" t="s">
        <v>4262</v>
      </c>
      <c r="E1276" s="37" t="s">
        <v>4701</v>
      </c>
      <c r="F1276" s="37"/>
      <c r="G1276" s="37"/>
    </row>
    <row r="1277" spans="1:7">
      <c r="A1277" s="37"/>
      <c r="B1277" s="37" t="s">
        <v>5863</v>
      </c>
      <c r="C1277" s="37" t="s">
        <v>4261</v>
      </c>
      <c r="D1277" s="37" t="s">
        <v>4262</v>
      </c>
      <c r="E1277" s="37" t="s">
        <v>4701</v>
      </c>
      <c r="F1277" s="37"/>
      <c r="G1277" s="37"/>
    </row>
    <row r="1278" spans="1:7">
      <c r="A1278" s="37"/>
      <c r="B1278" s="37" t="s">
        <v>5864</v>
      </c>
      <c r="C1278" s="37" t="s">
        <v>4261</v>
      </c>
      <c r="D1278" s="37" t="s">
        <v>4262</v>
      </c>
      <c r="E1278" s="37" t="s">
        <v>4701</v>
      </c>
      <c r="F1278" s="37"/>
      <c r="G1278" s="37"/>
    </row>
    <row r="1279" spans="1:7">
      <c r="A1279" s="37"/>
      <c r="B1279" s="37" t="s">
        <v>5865</v>
      </c>
      <c r="C1279" s="37" t="s">
        <v>4261</v>
      </c>
      <c r="D1279" s="37" t="s">
        <v>4262</v>
      </c>
      <c r="E1279" s="37" t="s">
        <v>4701</v>
      </c>
      <c r="F1279" s="37"/>
      <c r="G1279" s="37"/>
    </row>
    <row r="1280" spans="1:7">
      <c r="A1280" s="37"/>
      <c r="B1280" s="37" t="s">
        <v>5866</v>
      </c>
      <c r="C1280" s="37" t="s">
        <v>4261</v>
      </c>
      <c r="D1280" s="37" t="s">
        <v>4262</v>
      </c>
      <c r="E1280" s="37" t="s">
        <v>4701</v>
      </c>
      <c r="F1280" s="37"/>
      <c r="G1280" s="37"/>
    </row>
    <row r="1281" spans="1:7">
      <c r="A1281" s="37"/>
      <c r="B1281" s="37" t="s">
        <v>5867</v>
      </c>
      <c r="C1281" s="37" t="s">
        <v>4261</v>
      </c>
      <c r="D1281" s="37" t="s">
        <v>4262</v>
      </c>
      <c r="E1281" s="37" t="s">
        <v>4701</v>
      </c>
      <c r="F1281" s="37"/>
      <c r="G1281" s="37"/>
    </row>
    <row r="1282" spans="1:7">
      <c r="A1282" s="37"/>
      <c r="B1282" s="37" t="s">
        <v>5868</v>
      </c>
      <c r="C1282" s="37" t="s">
        <v>4261</v>
      </c>
      <c r="D1282" s="37" t="s">
        <v>4262</v>
      </c>
      <c r="E1282" s="37" t="s">
        <v>4701</v>
      </c>
      <c r="F1282" s="37"/>
      <c r="G1282" s="37"/>
    </row>
    <row r="1283" spans="1:7">
      <c r="A1283" s="37"/>
      <c r="B1283" s="37" t="s">
        <v>5869</v>
      </c>
      <c r="C1283" s="37" t="s">
        <v>4261</v>
      </c>
      <c r="D1283" s="37" t="s">
        <v>4262</v>
      </c>
      <c r="E1283" s="37" t="s">
        <v>4701</v>
      </c>
      <c r="F1283" s="37"/>
      <c r="G1283" s="37"/>
    </row>
    <row r="1284" spans="1:7">
      <c r="A1284" s="37"/>
      <c r="B1284" s="37" t="s">
        <v>5870</v>
      </c>
      <c r="C1284" s="37" t="s">
        <v>4261</v>
      </c>
      <c r="D1284" s="37" t="s">
        <v>4262</v>
      </c>
      <c r="E1284" s="37" t="s">
        <v>4701</v>
      </c>
      <c r="F1284" s="37"/>
      <c r="G1284" s="37"/>
    </row>
    <row r="1285" spans="1:7">
      <c r="A1285" s="37"/>
      <c r="B1285" s="37" t="s">
        <v>5871</v>
      </c>
      <c r="C1285" s="37" t="s">
        <v>4261</v>
      </c>
      <c r="D1285" s="37" t="s">
        <v>4262</v>
      </c>
      <c r="E1285" s="37" t="s">
        <v>4701</v>
      </c>
      <c r="F1285" s="37"/>
      <c r="G1285" s="37"/>
    </row>
    <row r="1286" spans="1:7">
      <c r="A1286" s="37"/>
      <c r="B1286" s="37" t="s">
        <v>5872</v>
      </c>
      <c r="C1286" s="37" t="s">
        <v>4261</v>
      </c>
      <c r="D1286" s="37" t="s">
        <v>4262</v>
      </c>
      <c r="E1286" s="37" t="s">
        <v>4701</v>
      </c>
      <c r="F1286" s="37"/>
      <c r="G1286" s="37"/>
    </row>
    <row r="1287" spans="1:7">
      <c r="A1287" s="37"/>
      <c r="B1287" s="37" t="s">
        <v>5873</v>
      </c>
      <c r="C1287" s="37" t="s">
        <v>4261</v>
      </c>
      <c r="D1287" s="37" t="s">
        <v>4262</v>
      </c>
      <c r="E1287" s="37" t="s">
        <v>4701</v>
      </c>
      <c r="F1287" s="37"/>
      <c r="G1287" s="37"/>
    </row>
    <row r="1288" spans="1:7">
      <c r="A1288" s="37"/>
      <c r="B1288" s="37" t="s">
        <v>5874</v>
      </c>
      <c r="C1288" s="37" t="s">
        <v>4261</v>
      </c>
      <c r="D1288" s="37" t="s">
        <v>4262</v>
      </c>
      <c r="E1288" s="37" t="s">
        <v>4701</v>
      </c>
      <c r="F1288" s="37"/>
      <c r="G1288" s="37"/>
    </row>
    <row r="1289" spans="1:7">
      <c r="A1289" s="37"/>
      <c r="B1289" s="37" t="s">
        <v>5875</v>
      </c>
      <c r="C1289" s="37" t="s">
        <v>4261</v>
      </c>
      <c r="D1289" s="37" t="s">
        <v>4262</v>
      </c>
      <c r="E1289" s="37" t="s">
        <v>4701</v>
      </c>
      <c r="F1289" s="37"/>
      <c r="G1289" s="37"/>
    </row>
    <row r="1290" spans="1:7">
      <c r="A1290" s="37"/>
      <c r="B1290" s="37" t="s">
        <v>5876</v>
      </c>
      <c r="C1290" s="37" t="s">
        <v>4261</v>
      </c>
      <c r="D1290" s="37" t="s">
        <v>4262</v>
      </c>
      <c r="E1290" s="37" t="s">
        <v>4701</v>
      </c>
      <c r="F1290" s="37"/>
      <c r="G1290" s="37"/>
    </row>
    <row r="1291" spans="1:7">
      <c r="A1291" s="37"/>
      <c r="B1291" s="37" t="s">
        <v>5877</v>
      </c>
      <c r="C1291" s="37" t="s">
        <v>4261</v>
      </c>
      <c r="D1291" s="37" t="s">
        <v>4262</v>
      </c>
      <c r="E1291" s="37" t="s">
        <v>4701</v>
      </c>
      <c r="F1291" s="37"/>
      <c r="G1291" s="37"/>
    </row>
    <row r="1292" spans="1:7">
      <c r="A1292" s="37"/>
      <c r="B1292" s="37" t="s">
        <v>5878</v>
      </c>
      <c r="C1292" s="37" t="s">
        <v>4261</v>
      </c>
      <c r="D1292" s="37" t="s">
        <v>4262</v>
      </c>
      <c r="E1292" s="37" t="s">
        <v>4701</v>
      </c>
      <c r="F1292" s="37"/>
      <c r="G1292" s="37"/>
    </row>
    <row r="1293" spans="1:7">
      <c r="A1293" s="37"/>
      <c r="B1293" s="37" t="s">
        <v>5879</v>
      </c>
      <c r="C1293" s="37" t="s">
        <v>4261</v>
      </c>
      <c r="D1293" s="37" t="s">
        <v>4262</v>
      </c>
      <c r="E1293" s="37" t="s">
        <v>4701</v>
      </c>
      <c r="F1293" s="37"/>
      <c r="G1293" s="37"/>
    </row>
    <row r="1294" spans="1:7">
      <c r="A1294" s="37"/>
      <c r="B1294" s="37" t="s">
        <v>5880</v>
      </c>
      <c r="C1294" s="37" t="s">
        <v>4261</v>
      </c>
      <c r="D1294" s="37" t="s">
        <v>4262</v>
      </c>
      <c r="E1294" s="37" t="s">
        <v>4701</v>
      </c>
      <c r="F1294" s="37"/>
      <c r="G1294" s="37"/>
    </row>
    <row r="1295" spans="1:7">
      <c r="A1295" s="37"/>
      <c r="B1295" s="37" t="s">
        <v>5881</v>
      </c>
      <c r="C1295" s="37" t="s">
        <v>4261</v>
      </c>
      <c r="D1295" s="37" t="s">
        <v>4262</v>
      </c>
      <c r="E1295" s="37" t="s">
        <v>4701</v>
      </c>
      <c r="F1295" s="37"/>
      <c r="G1295" s="37"/>
    </row>
    <row r="1296" spans="1:7">
      <c r="A1296" s="37"/>
      <c r="B1296" s="37" t="s">
        <v>5882</v>
      </c>
      <c r="C1296" s="37" t="s">
        <v>4261</v>
      </c>
      <c r="D1296" s="37" t="s">
        <v>4262</v>
      </c>
      <c r="E1296" s="37" t="s">
        <v>4701</v>
      </c>
      <c r="F1296" s="37"/>
      <c r="G1296" s="37"/>
    </row>
    <row r="1297" spans="1:7">
      <c r="A1297" s="37"/>
      <c r="B1297" s="37" t="s">
        <v>5883</v>
      </c>
      <c r="C1297" s="37" t="s">
        <v>4261</v>
      </c>
      <c r="D1297" s="37" t="s">
        <v>4262</v>
      </c>
      <c r="E1297" s="37" t="s">
        <v>4701</v>
      </c>
      <c r="F1297" s="37"/>
      <c r="G1297" s="37"/>
    </row>
    <row r="1298" spans="1:7">
      <c r="A1298" s="37"/>
      <c r="B1298" s="37" t="s">
        <v>5884</v>
      </c>
      <c r="C1298" s="37" t="s">
        <v>4261</v>
      </c>
      <c r="D1298" s="37" t="s">
        <v>4262</v>
      </c>
      <c r="E1298" s="37" t="s">
        <v>4701</v>
      </c>
      <c r="F1298" s="37"/>
      <c r="G1298" s="37"/>
    </row>
    <row r="1299" spans="1:7">
      <c r="A1299" s="37"/>
      <c r="B1299" s="37" t="s">
        <v>5885</v>
      </c>
      <c r="C1299" s="37" t="s">
        <v>4261</v>
      </c>
      <c r="D1299" s="37" t="s">
        <v>4262</v>
      </c>
      <c r="E1299" s="37" t="s">
        <v>4701</v>
      </c>
      <c r="F1299" s="37"/>
      <c r="G1299" s="37"/>
    </row>
    <row r="1300" spans="1:7">
      <c r="A1300" s="37"/>
      <c r="B1300" s="37" t="s">
        <v>5886</v>
      </c>
      <c r="C1300" s="37" t="s">
        <v>4261</v>
      </c>
      <c r="D1300" s="37" t="s">
        <v>4262</v>
      </c>
      <c r="E1300" s="37" t="s">
        <v>4701</v>
      </c>
      <c r="F1300" s="37"/>
      <c r="G1300" s="37"/>
    </row>
    <row r="1301" spans="1:7">
      <c r="A1301" s="37"/>
      <c r="B1301" s="37" t="s">
        <v>5887</v>
      </c>
      <c r="C1301" s="37" t="s">
        <v>4261</v>
      </c>
      <c r="D1301" s="37" t="s">
        <v>4262</v>
      </c>
      <c r="E1301" s="37" t="s">
        <v>4701</v>
      </c>
      <c r="F1301" s="37"/>
      <c r="G1301" s="37"/>
    </row>
    <row r="1302" spans="1:7">
      <c r="A1302" s="37"/>
      <c r="B1302" s="37" t="s">
        <v>5888</v>
      </c>
      <c r="C1302" s="37" t="s">
        <v>4261</v>
      </c>
      <c r="D1302" s="37" t="s">
        <v>4262</v>
      </c>
      <c r="E1302" s="37" t="s">
        <v>4701</v>
      </c>
      <c r="F1302" s="37"/>
      <c r="G1302" s="37"/>
    </row>
    <row r="1303" spans="1:7">
      <c r="A1303" s="37"/>
      <c r="B1303" s="37" t="s">
        <v>5889</v>
      </c>
      <c r="C1303" s="37" t="s">
        <v>4261</v>
      </c>
      <c r="D1303" s="37" t="s">
        <v>4262</v>
      </c>
      <c r="E1303" s="37" t="s">
        <v>4701</v>
      </c>
      <c r="F1303" s="37"/>
      <c r="G1303" s="37"/>
    </row>
    <row r="1304" spans="1:7">
      <c r="A1304" s="37"/>
      <c r="B1304" s="37" t="s">
        <v>5890</v>
      </c>
      <c r="C1304" s="37" t="s">
        <v>4261</v>
      </c>
      <c r="D1304" s="37" t="s">
        <v>4262</v>
      </c>
      <c r="E1304" s="37" t="s">
        <v>4701</v>
      </c>
      <c r="F1304" s="37"/>
      <c r="G1304" s="37"/>
    </row>
    <row r="1305" spans="1:7">
      <c r="A1305" s="37"/>
      <c r="B1305" s="37" t="s">
        <v>5891</v>
      </c>
      <c r="C1305" s="37" t="s">
        <v>4261</v>
      </c>
      <c r="D1305" s="37" t="s">
        <v>4262</v>
      </c>
      <c r="E1305" s="37" t="s">
        <v>4701</v>
      </c>
      <c r="F1305" s="37"/>
      <c r="G1305" s="37"/>
    </row>
    <row r="1306" spans="1:7">
      <c r="A1306" s="37"/>
      <c r="B1306" s="37" t="s">
        <v>4277</v>
      </c>
      <c r="C1306" s="37" t="s">
        <v>4272</v>
      </c>
      <c r="D1306" s="37" t="s">
        <v>4273</v>
      </c>
      <c r="E1306" s="37" t="s">
        <v>4701</v>
      </c>
      <c r="F1306" s="37"/>
      <c r="G1306" s="37"/>
    </row>
    <row r="1307" spans="1:7">
      <c r="A1307" s="37"/>
      <c r="B1307" s="37" t="s">
        <v>5892</v>
      </c>
      <c r="C1307" s="37" t="s">
        <v>4284</v>
      </c>
      <c r="D1307" s="37" t="s">
        <v>4285</v>
      </c>
      <c r="E1307" s="37" t="s">
        <v>4701</v>
      </c>
      <c r="F1307" s="37"/>
      <c r="G1307" s="37"/>
    </row>
    <row r="1308" spans="1:7">
      <c r="A1308" s="37"/>
      <c r="B1308" s="37" t="s">
        <v>5893</v>
      </c>
      <c r="C1308" s="37" t="s">
        <v>4284</v>
      </c>
      <c r="D1308" s="37" t="s">
        <v>4285</v>
      </c>
      <c r="E1308" s="37" t="s">
        <v>4701</v>
      </c>
      <c r="F1308" s="37"/>
      <c r="G1308" s="37"/>
    </row>
    <row r="1309" spans="1:7">
      <c r="A1309" s="37"/>
      <c r="B1309" s="37" t="s">
        <v>5894</v>
      </c>
      <c r="C1309" s="37" t="s">
        <v>4284</v>
      </c>
      <c r="D1309" s="37" t="s">
        <v>4285</v>
      </c>
      <c r="E1309" s="37" t="s">
        <v>4701</v>
      </c>
      <c r="F1309" s="37"/>
      <c r="G1309" s="37"/>
    </row>
    <row r="1310" spans="1:7">
      <c r="A1310" s="37"/>
      <c r="B1310" s="37" t="s">
        <v>5895</v>
      </c>
      <c r="C1310" s="37" t="s">
        <v>4284</v>
      </c>
      <c r="D1310" s="37" t="s">
        <v>4285</v>
      </c>
      <c r="E1310" s="37" t="s">
        <v>4701</v>
      </c>
      <c r="F1310" s="37"/>
      <c r="G1310" s="37"/>
    </row>
    <row r="1311" spans="1:7">
      <c r="A1311" s="37"/>
      <c r="B1311" s="37" t="s">
        <v>5896</v>
      </c>
      <c r="C1311" s="37" t="s">
        <v>4284</v>
      </c>
      <c r="D1311" s="37" t="s">
        <v>4285</v>
      </c>
      <c r="E1311" s="37" t="s">
        <v>4701</v>
      </c>
      <c r="F1311" s="37"/>
      <c r="G1311" s="37"/>
    </row>
    <row r="1312" spans="1:7">
      <c r="A1312" s="37"/>
      <c r="B1312" s="37" t="s">
        <v>5897</v>
      </c>
      <c r="C1312" s="37" t="s">
        <v>4284</v>
      </c>
      <c r="D1312" s="37" t="s">
        <v>4285</v>
      </c>
      <c r="E1312" s="37" t="s">
        <v>4701</v>
      </c>
      <c r="F1312" s="37"/>
      <c r="G1312" s="37"/>
    </row>
    <row r="1313" spans="1:7">
      <c r="A1313" s="37"/>
      <c r="B1313" s="37" t="s">
        <v>5898</v>
      </c>
      <c r="C1313" s="37" t="s">
        <v>4284</v>
      </c>
      <c r="D1313" s="37" t="s">
        <v>4285</v>
      </c>
      <c r="E1313" s="37" t="s">
        <v>4701</v>
      </c>
      <c r="F1313" s="37"/>
      <c r="G1313" s="37"/>
    </row>
    <row r="1314" spans="1:7">
      <c r="A1314" s="37"/>
      <c r="B1314" s="37" t="s">
        <v>5899</v>
      </c>
      <c r="C1314" s="37" t="s">
        <v>4284</v>
      </c>
      <c r="D1314" s="37" t="s">
        <v>4285</v>
      </c>
      <c r="E1314" s="37" t="s">
        <v>4701</v>
      </c>
      <c r="F1314" s="37"/>
      <c r="G1314" s="37"/>
    </row>
    <row r="1315" spans="1:7">
      <c r="A1315" s="37"/>
      <c r="B1315" s="37" t="s">
        <v>5900</v>
      </c>
      <c r="C1315" s="37" t="s">
        <v>4296</v>
      </c>
      <c r="D1315" s="37" t="s">
        <v>4297</v>
      </c>
      <c r="E1315" s="37" t="s">
        <v>4701</v>
      </c>
      <c r="F1315" s="37"/>
      <c r="G1315" s="37"/>
    </row>
    <row r="1316" spans="1:7">
      <c r="A1316" s="37"/>
      <c r="B1316" s="37" t="s">
        <v>5901</v>
      </c>
      <c r="C1316" s="37" t="s">
        <v>4296</v>
      </c>
      <c r="D1316" s="37" t="s">
        <v>4297</v>
      </c>
      <c r="E1316" s="37" t="s">
        <v>4701</v>
      </c>
      <c r="F1316" s="37"/>
      <c r="G1316" s="37"/>
    </row>
    <row r="1317" spans="1:7">
      <c r="A1317" s="37"/>
      <c r="B1317" s="37" t="s">
        <v>4313</v>
      </c>
      <c r="C1317" s="37" t="s">
        <v>4308</v>
      </c>
      <c r="D1317" s="37" t="s">
        <v>4309</v>
      </c>
      <c r="E1317" s="37" t="s">
        <v>4701</v>
      </c>
      <c r="F1317" s="37"/>
      <c r="G1317" s="37"/>
    </row>
    <row r="1318" spans="1:7">
      <c r="A1318" s="37"/>
      <c r="B1318" s="37" t="s">
        <v>5902</v>
      </c>
      <c r="C1318" s="37" t="s">
        <v>4320</v>
      </c>
      <c r="D1318" s="37" t="s">
        <v>4321</v>
      </c>
      <c r="E1318" s="37" t="s">
        <v>4701</v>
      </c>
      <c r="F1318" s="37"/>
      <c r="G1318" s="37"/>
    </row>
    <row r="1319" spans="1:7">
      <c r="A1319" s="37"/>
      <c r="B1319" s="37" t="s">
        <v>5903</v>
      </c>
      <c r="C1319" s="37" t="s">
        <v>4320</v>
      </c>
      <c r="D1319" s="37" t="s">
        <v>4321</v>
      </c>
      <c r="E1319" s="37" t="s">
        <v>4701</v>
      </c>
      <c r="F1319" s="37"/>
      <c r="G1319" s="37"/>
    </row>
    <row r="1320" spans="1:7">
      <c r="A1320" s="37"/>
      <c r="B1320" s="37" t="s">
        <v>4335</v>
      </c>
      <c r="C1320" s="37" t="s">
        <v>4330</v>
      </c>
      <c r="D1320" s="37" t="s">
        <v>4331</v>
      </c>
      <c r="E1320" s="37" t="s">
        <v>4701</v>
      </c>
      <c r="F1320" s="37"/>
      <c r="G1320" s="37"/>
    </row>
    <row r="1321" spans="1:7">
      <c r="A1321" s="37"/>
      <c r="B1321" s="37" t="s">
        <v>5904</v>
      </c>
      <c r="C1321" s="37" t="s">
        <v>4342</v>
      </c>
      <c r="D1321" s="37" t="s">
        <v>4343</v>
      </c>
      <c r="E1321" s="37" t="s">
        <v>4701</v>
      </c>
      <c r="F1321" s="37"/>
      <c r="G1321" s="37"/>
    </row>
    <row r="1322" spans="1:7">
      <c r="A1322" s="37"/>
      <c r="B1322" s="37" t="s">
        <v>5905</v>
      </c>
      <c r="C1322" s="37" t="s">
        <v>4342</v>
      </c>
      <c r="D1322" s="37" t="s">
        <v>4343</v>
      </c>
      <c r="E1322" s="37" t="s">
        <v>4701</v>
      </c>
      <c r="F1322" s="37"/>
      <c r="G1322" s="37"/>
    </row>
    <row r="1323" spans="1:7">
      <c r="A1323" s="37"/>
      <c r="B1323" s="37" t="s">
        <v>5906</v>
      </c>
      <c r="C1323" s="37" t="s">
        <v>4354</v>
      </c>
      <c r="D1323" s="37" t="s">
        <v>4355</v>
      </c>
      <c r="E1323" s="37" t="s">
        <v>4701</v>
      </c>
      <c r="F1323" s="37"/>
      <c r="G1323" s="37"/>
    </row>
    <row r="1324" spans="1:7">
      <c r="A1324" s="37"/>
      <c r="B1324" s="37" t="s">
        <v>5907</v>
      </c>
      <c r="C1324" s="37" t="s">
        <v>4354</v>
      </c>
      <c r="D1324" s="37" t="s">
        <v>4355</v>
      </c>
      <c r="E1324" s="37" t="s">
        <v>4701</v>
      </c>
      <c r="F1324" s="37"/>
      <c r="G1324" s="37"/>
    </row>
    <row r="1325" spans="1:7">
      <c r="A1325" s="37"/>
      <c r="B1325" s="37" t="s">
        <v>4369</v>
      </c>
      <c r="C1325" s="37" t="s">
        <v>4364</v>
      </c>
      <c r="D1325" s="37" t="s">
        <v>4365</v>
      </c>
      <c r="E1325" s="37" t="s">
        <v>4701</v>
      </c>
      <c r="F1325" s="37"/>
      <c r="G1325" s="37"/>
    </row>
    <row r="1326" spans="1:7">
      <c r="A1326" s="37"/>
      <c r="B1326" s="37" t="s">
        <v>5908</v>
      </c>
      <c r="C1326" s="37" t="s">
        <v>4378</v>
      </c>
      <c r="D1326" s="37" t="s">
        <v>4379</v>
      </c>
      <c r="E1326" s="37" t="s">
        <v>4701</v>
      </c>
      <c r="F1326" s="37"/>
      <c r="G1326" s="37"/>
    </row>
    <row r="1327" spans="1:7">
      <c r="A1327" s="37"/>
      <c r="B1327" s="37" t="s">
        <v>5909</v>
      </c>
      <c r="C1327" s="37" t="s">
        <v>4378</v>
      </c>
      <c r="D1327" s="37" t="s">
        <v>4379</v>
      </c>
      <c r="E1327" s="37" t="s">
        <v>4701</v>
      </c>
      <c r="F1327" s="37"/>
      <c r="G1327" s="37"/>
    </row>
    <row r="1328" spans="1:7">
      <c r="A1328" s="37"/>
      <c r="B1328" s="37" t="s">
        <v>5910</v>
      </c>
      <c r="C1328" s="37" t="s">
        <v>4378</v>
      </c>
      <c r="D1328" s="37" t="s">
        <v>4379</v>
      </c>
      <c r="E1328" s="37" t="s">
        <v>4701</v>
      </c>
      <c r="F1328" s="37"/>
      <c r="G1328" s="37"/>
    </row>
    <row r="1329" spans="1:7">
      <c r="A1329" s="37"/>
      <c r="B1329" s="37" t="s">
        <v>5911</v>
      </c>
      <c r="C1329" s="37" t="s">
        <v>4378</v>
      </c>
      <c r="D1329" s="37" t="s">
        <v>4379</v>
      </c>
      <c r="E1329" s="37" t="s">
        <v>4701</v>
      </c>
      <c r="F1329" s="37"/>
      <c r="G1329" s="37"/>
    </row>
    <row r="1330" spans="1:7">
      <c r="A1330" s="37"/>
      <c r="B1330" s="37" t="s">
        <v>5912</v>
      </c>
      <c r="C1330" s="37" t="s">
        <v>4378</v>
      </c>
      <c r="D1330" s="37" t="s">
        <v>4379</v>
      </c>
      <c r="E1330" s="37" t="s">
        <v>4701</v>
      </c>
      <c r="F1330" s="37"/>
      <c r="G1330" s="37"/>
    </row>
    <row r="1331" spans="1:7">
      <c r="A1331" s="37"/>
      <c r="B1331" s="37" t="s">
        <v>5913</v>
      </c>
      <c r="C1331" s="37" t="s">
        <v>4378</v>
      </c>
      <c r="D1331" s="37" t="s">
        <v>4379</v>
      </c>
      <c r="E1331" s="37" t="s">
        <v>4701</v>
      </c>
      <c r="F1331" s="37"/>
      <c r="G1331" s="37"/>
    </row>
    <row r="1332" spans="1:7">
      <c r="A1332" s="37"/>
      <c r="B1332" s="37" t="s">
        <v>5914</v>
      </c>
      <c r="C1332" s="37" t="s">
        <v>4378</v>
      </c>
      <c r="D1332" s="37" t="s">
        <v>4379</v>
      </c>
      <c r="E1332" s="37" t="s">
        <v>4701</v>
      </c>
      <c r="F1332" s="37"/>
      <c r="G1332" s="37"/>
    </row>
    <row r="1333" spans="1:7">
      <c r="A1333" s="37"/>
      <c r="B1333" s="37" t="s">
        <v>5915</v>
      </c>
      <c r="C1333" s="37" t="s">
        <v>4378</v>
      </c>
      <c r="D1333" s="37" t="s">
        <v>4379</v>
      </c>
      <c r="E1333" s="37" t="s">
        <v>4701</v>
      </c>
      <c r="F1333" s="37"/>
      <c r="G1333" s="37"/>
    </row>
    <row r="1334" spans="1:7">
      <c r="A1334" s="37"/>
      <c r="B1334" s="37" t="s">
        <v>5916</v>
      </c>
      <c r="C1334" s="37" t="s">
        <v>4390</v>
      </c>
      <c r="D1334" s="37" t="s">
        <v>4391</v>
      </c>
      <c r="E1334" s="37" t="s">
        <v>4701</v>
      </c>
      <c r="F1334" s="37"/>
      <c r="G1334" s="37"/>
    </row>
    <row r="1335" spans="1:7">
      <c r="A1335" s="37"/>
      <c r="B1335" s="37" t="s">
        <v>5917</v>
      </c>
      <c r="C1335" s="37" t="s">
        <v>4390</v>
      </c>
      <c r="D1335" s="37" t="s">
        <v>4391</v>
      </c>
      <c r="E1335" s="37" t="s">
        <v>4701</v>
      </c>
      <c r="F1335" s="37"/>
      <c r="G1335" s="37"/>
    </row>
    <row r="1336" spans="1:7">
      <c r="A1336" s="37"/>
      <c r="B1336" s="37" t="s">
        <v>5918</v>
      </c>
      <c r="C1336" s="37" t="s">
        <v>4390</v>
      </c>
      <c r="D1336" s="37" t="s">
        <v>4391</v>
      </c>
      <c r="E1336" s="37" t="s">
        <v>4701</v>
      </c>
      <c r="F1336" s="37"/>
      <c r="G1336" s="37"/>
    </row>
    <row r="1337" spans="1:7">
      <c r="A1337" s="37"/>
      <c r="B1337" s="37" t="s">
        <v>5919</v>
      </c>
      <c r="C1337" s="37" t="s">
        <v>4390</v>
      </c>
      <c r="D1337" s="37" t="s">
        <v>4391</v>
      </c>
      <c r="E1337" s="37" t="s">
        <v>4701</v>
      </c>
      <c r="F1337" s="37"/>
      <c r="G1337" s="37"/>
    </row>
    <row r="1338" spans="1:7">
      <c r="A1338" s="37"/>
      <c r="B1338" s="37" t="s">
        <v>5920</v>
      </c>
      <c r="C1338" s="37" t="s">
        <v>4390</v>
      </c>
      <c r="D1338" s="37" t="s">
        <v>4391</v>
      </c>
      <c r="E1338" s="37" t="s">
        <v>4701</v>
      </c>
      <c r="F1338" s="37"/>
      <c r="G1338" s="37"/>
    </row>
    <row r="1339" spans="1:7">
      <c r="A1339" s="37"/>
      <c r="B1339" s="37" t="s">
        <v>5921</v>
      </c>
      <c r="C1339" s="37" t="s">
        <v>4390</v>
      </c>
      <c r="D1339" s="37" t="s">
        <v>4391</v>
      </c>
      <c r="E1339" s="37" t="s">
        <v>4701</v>
      </c>
      <c r="F1339" s="37"/>
      <c r="G1339" s="37"/>
    </row>
    <row r="1340" spans="1:7">
      <c r="A1340" s="37"/>
      <c r="B1340" s="37" t="s">
        <v>5922</v>
      </c>
      <c r="C1340" s="37" t="s">
        <v>4390</v>
      </c>
      <c r="D1340" s="37" t="s">
        <v>4391</v>
      </c>
      <c r="E1340" s="37" t="s">
        <v>4701</v>
      </c>
      <c r="F1340" s="37"/>
      <c r="G1340" s="37"/>
    </row>
    <row r="1341" spans="1:7">
      <c r="A1341" s="37"/>
      <c r="B1341" s="37" t="s">
        <v>5923</v>
      </c>
      <c r="C1341" s="37" t="s">
        <v>4390</v>
      </c>
      <c r="D1341" s="37" t="s">
        <v>4391</v>
      </c>
      <c r="E1341" s="37" t="s">
        <v>4701</v>
      </c>
      <c r="F1341" s="37"/>
      <c r="G1341" s="37"/>
    </row>
    <row r="1342" spans="1:7">
      <c r="A1342" s="37"/>
      <c r="B1342" s="37" t="s">
        <v>5924</v>
      </c>
      <c r="C1342" s="37" t="s">
        <v>4390</v>
      </c>
      <c r="D1342" s="37" t="s">
        <v>4391</v>
      </c>
      <c r="E1342" s="37" t="s">
        <v>4701</v>
      </c>
      <c r="F1342" s="37"/>
      <c r="G1342" s="37"/>
    </row>
    <row r="1343" spans="1:7">
      <c r="A1343" s="37"/>
      <c r="B1343" s="37" t="s">
        <v>5925</v>
      </c>
      <c r="C1343" s="37" t="s">
        <v>4390</v>
      </c>
      <c r="D1343" s="37" t="s">
        <v>4391</v>
      </c>
      <c r="E1343" s="37" t="s">
        <v>4701</v>
      </c>
      <c r="F1343" s="37"/>
      <c r="G1343" s="37"/>
    </row>
    <row r="1344" spans="1:7">
      <c r="A1344" s="37"/>
      <c r="B1344" s="37" t="s">
        <v>5926</v>
      </c>
      <c r="C1344" s="37" t="s">
        <v>4390</v>
      </c>
      <c r="D1344" s="37" t="s">
        <v>4391</v>
      </c>
      <c r="E1344" s="37" t="s">
        <v>4701</v>
      </c>
      <c r="F1344" s="37"/>
      <c r="G1344" s="37"/>
    </row>
    <row r="1345" spans="1:7">
      <c r="A1345" s="37"/>
      <c r="B1345" s="37" t="s">
        <v>5927</v>
      </c>
      <c r="C1345" s="37" t="s">
        <v>4390</v>
      </c>
      <c r="D1345" s="37" t="s">
        <v>4391</v>
      </c>
      <c r="E1345" s="37" t="s">
        <v>4701</v>
      </c>
      <c r="F1345" s="37"/>
      <c r="G1345" s="37"/>
    </row>
    <row r="1346" spans="1:7">
      <c r="A1346" s="37"/>
      <c r="B1346" s="37" t="s">
        <v>5928</v>
      </c>
      <c r="C1346" s="37" t="s">
        <v>4390</v>
      </c>
      <c r="D1346" s="37" t="s">
        <v>4391</v>
      </c>
      <c r="E1346" s="37" t="s">
        <v>4701</v>
      </c>
      <c r="F1346" s="37"/>
      <c r="G1346" s="37"/>
    </row>
    <row r="1347" spans="1:7">
      <c r="A1347" s="37"/>
      <c r="B1347" s="37" t="s">
        <v>5929</v>
      </c>
      <c r="C1347" s="37" t="s">
        <v>4390</v>
      </c>
      <c r="D1347" s="37" t="s">
        <v>4391</v>
      </c>
      <c r="E1347" s="37" t="s">
        <v>4701</v>
      </c>
      <c r="F1347" s="37"/>
      <c r="G1347" s="37"/>
    </row>
    <row r="1348" spans="1:7">
      <c r="A1348" s="37"/>
      <c r="B1348" s="37" t="s">
        <v>5930</v>
      </c>
      <c r="C1348" s="37" t="s">
        <v>4390</v>
      </c>
      <c r="D1348" s="37" t="s">
        <v>4391</v>
      </c>
      <c r="E1348" s="37" t="s">
        <v>4701</v>
      </c>
      <c r="F1348" s="37"/>
      <c r="G1348" s="37"/>
    </row>
    <row r="1349" spans="1:7">
      <c r="A1349" s="37"/>
      <c r="B1349" s="37" t="s">
        <v>5931</v>
      </c>
      <c r="C1349" s="37" t="s">
        <v>4390</v>
      </c>
      <c r="D1349" s="37" t="s">
        <v>4391</v>
      </c>
      <c r="E1349" s="37" t="s">
        <v>4701</v>
      </c>
      <c r="F1349" s="37"/>
      <c r="G1349" s="37"/>
    </row>
    <row r="1350" spans="1:7">
      <c r="A1350" s="37"/>
      <c r="B1350" s="37" t="s">
        <v>5932</v>
      </c>
      <c r="C1350" s="37" t="s">
        <v>4390</v>
      </c>
      <c r="D1350" s="37" t="s">
        <v>4391</v>
      </c>
      <c r="E1350" s="37" t="s">
        <v>4701</v>
      </c>
      <c r="F1350" s="37"/>
      <c r="G1350" s="37"/>
    </row>
    <row r="1351" spans="1:7">
      <c r="A1351" s="37"/>
      <c r="B1351" s="37" t="s">
        <v>5933</v>
      </c>
      <c r="C1351" s="37" t="s">
        <v>4390</v>
      </c>
      <c r="D1351" s="37" t="s">
        <v>4391</v>
      </c>
      <c r="E1351" s="37" t="s">
        <v>4701</v>
      </c>
      <c r="F1351" s="37"/>
      <c r="G1351" s="37"/>
    </row>
    <row r="1352" spans="1:7">
      <c r="A1352" s="37"/>
      <c r="B1352" s="37" t="s">
        <v>5934</v>
      </c>
      <c r="C1352" s="37" t="s">
        <v>4390</v>
      </c>
      <c r="D1352" s="37" t="s">
        <v>4391</v>
      </c>
      <c r="E1352" s="37" t="s">
        <v>4701</v>
      </c>
      <c r="F1352" s="37"/>
      <c r="G1352" s="37"/>
    </row>
    <row r="1353" spans="1:7">
      <c r="A1353" s="37"/>
      <c r="B1353" s="37" t="s">
        <v>5935</v>
      </c>
      <c r="C1353" s="37" t="s">
        <v>4390</v>
      </c>
      <c r="D1353" s="37" t="s">
        <v>4391</v>
      </c>
      <c r="E1353" s="37" t="s">
        <v>4701</v>
      </c>
      <c r="F1353" s="37"/>
      <c r="G1353" s="37"/>
    </row>
    <row r="1354" spans="1:7">
      <c r="A1354" s="37"/>
      <c r="B1354" s="37" t="s">
        <v>5936</v>
      </c>
      <c r="C1354" s="37" t="s">
        <v>4390</v>
      </c>
      <c r="D1354" s="37" t="s">
        <v>4391</v>
      </c>
      <c r="E1354" s="37" t="s">
        <v>4701</v>
      </c>
      <c r="F1354" s="37"/>
      <c r="G1354" s="37"/>
    </row>
    <row r="1355" spans="1:7">
      <c r="A1355" s="37"/>
      <c r="B1355" s="37" t="s">
        <v>5937</v>
      </c>
      <c r="C1355" s="37" t="s">
        <v>4390</v>
      </c>
      <c r="D1355" s="37" t="s">
        <v>4391</v>
      </c>
      <c r="E1355" s="37" t="s">
        <v>4701</v>
      </c>
      <c r="F1355" s="37"/>
      <c r="G1355" s="37"/>
    </row>
    <row r="1356" spans="1:7">
      <c r="A1356" s="37"/>
      <c r="B1356" s="37" t="s">
        <v>5938</v>
      </c>
      <c r="C1356" s="37" t="s">
        <v>4390</v>
      </c>
      <c r="D1356" s="37" t="s">
        <v>4391</v>
      </c>
      <c r="E1356" s="37" t="s">
        <v>4701</v>
      </c>
      <c r="F1356" s="37"/>
      <c r="G1356" s="37"/>
    </row>
    <row r="1357" spans="1:7">
      <c r="A1357" s="37"/>
      <c r="B1357" s="37" t="s">
        <v>5939</v>
      </c>
      <c r="C1357" s="37" t="s">
        <v>4390</v>
      </c>
      <c r="D1357" s="37" t="s">
        <v>4391</v>
      </c>
      <c r="E1357" s="37" t="s">
        <v>4701</v>
      </c>
      <c r="F1357" s="37"/>
      <c r="G1357" s="37"/>
    </row>
    <row r="1358" spans="1:7">
      <c r="A1358" s="37"/>
      <c r="B1358" s="37" t="s">
        <v>5940</v>
      </c>
      <c r="C1358" s="37" t="s">
        <v>4390</v>
      </c>
      <c r="D1358" s="37" t="s">
        <v>4391</v>
      </c>
      <c r="E1358" s="37" t="s">
        <v>4701</v>
      </c>
      <c r="F1358" s="37"/>
      <c r="G1358" s="37"/>
    </row>
    <row r="1359" spans="1:7">
      <c r="A1359" s="37"/>
      <c r="B1359" s="37" t="s">
        <v>5941</v>
      </c>
      <c r="C1359" s="37" t="s">
        <v>4390</v>
      </c>
      <c r="D1359" s="37" t="s">
        <v>4391</v>
      </c>
      <c r="E1359" s="37" t="s">
        <v>4701</v>
      </c>
      <c r="F1359" s="37"/>
      <c r="G1359" s="37"/>
    </row>
    <row r="1360" spans="1:7">
      <c r="A1360" s="37"/>
      <c r="B1360" s="37" t="s">
        <v>5942</v>
      </c>
      <c r="C1360" s="37" t="s">
        <v>4390</v>
      </c>
      <c r="D1360" s="37" t="s">
        <v>4391</v>
      </c>
      <c r="E1360" s="37" t="s">
        <v>4701</v>
      </c>
      <c r="F1360" s="37"/>
      <c r="G1360" s="37"/>
    </row>
    <row r="1361" spans="1:7">
      <c r="A1361" s="37"/>
      <c r="B1361" s="37" t="s">
        <v>5943</v>
      </c>
      <c r="C1361" s="37" t="s">
        <v>4390</v>
      </c>
      <c r="D1361" s="37" t="s">
        <v>4391</v>
      </c>
      <c r="E1361" s="37" t="s">
        <v>4701</v>
      </c>
      <c r="F1361" s="37"/>
      <c r="G1361" s="37"/>
    </row>
    <row r="1362" spans="1:7">
      <c r="A1362" s="37"/>
      <c r="B1362" s="37" t="s">
        <v>5944</v>
      </c>
      <c r="C1362" s="37" t="s">
        <v>4390</v>
      </c>
      <c r="D1362" s="37" t="s">
        <v>4391</v>
      </c>
      <c r="E1362" s="37" t="s">
        <v>4701</v>
      </c>
      <c r="F1362" s="37"/>
      <c r="G1362" s="37"/>
    </row>
    <row r="1363" spans="1:7">
      <c r="A1363" s="37"/>
      <c r="B1363" s="37" t="s">
        <v>5945</v>
      </c>
      <c r="C1363" s="37" t="s">
        <v>4390</v>
      </c>
      <c r="D1363" s="37" t="s">
        <v>4391</v>
      </c>
      <c r="E1363" s="37" t="s">
        <v>4701</v>
      </c>
      <c r="F1363" s="37"/>
      <c r="G1363" s="37"/>
    </row>
    <row r="1364" spans="1:7">
      <c r="A1364" s="37"/>
      <c r="B1364" s="37" t="s">
        <v>5946</v>
      </c>
      <c r="C1364" s="37" t="s">
        <v>4390</v>
      </c>
      <c r="D1364" s="37" t="s">
        <v>4391</v>
      </c>
      <c r="E1364" s="37" t="s">
        <v>4701</v>
      </c>
      <c r="F1364" s="37"/>
      <c r="G1364" s="37"/>
    </row>
    <row r="1365" spans="1:7">
      <c r="A1365" s="37"/>
      <c r="B1365" s="37" t="s">
        <v>5947</v>
      </c>
      <c r="C1365" s="37" t="s">
        <v>4390</v>
      </c>
      <c r="D1365" s="37" t="s">
        <v>4391</v>
      </c>
      <c r="E1365" s="37" t="s">
        <v>4701</v>
      </c>
      <c r="F1365" s="37"/>
      <c r="G1365" s="37"/>
    </row>
    <row r="1366" spans="1:7">
      <c r="A1366" s="37"/>
      <c r="B1366" s="37" t="s">
        <v>5948</v>
      </c>
      <c r="C1366" s="37" t="s">
        <v>4390</v>
      </c>
      <c r="D1366" s="37" t="s">
        <v>4391</v>
      </c>
      <c r="E1366" s="37" t="s">
        <v>4701</v>
      </c>
      <c r="F1366" s="37"/>
      <c r="G1366" s="37"/>
    </row>
    <row r="1367" spans="1:7">
      <c r="A1367" s="37"/>
      <c r="B1367" s="37" t="s">
        <v>5949</v>
      </c>
      <c r="C1367" s="37" t="s">
        <v>4390</v>
      </c>
      <c r="D1367" s="37" t="s">
        <v>4391</v>
      </c>
      <c r="E1367" s="37" t="s">
        <v>4701</v>
      </c>
      <c r="F1367" s="37"/>
      <c r="G1367" s="37"/>
    </row>
    <row r="1368" spans="1:7">
      <c r="A1368" s="37"/>
      <c r="B1368" s="37" t="s">
        <v>5950</v>
      </c>
      <c r="C1368" s="37" t="s">
        <v>4390</v>
      </c>
      <c r="D1368" s="37" t="s">
        <v>4391</v>
      </c>
      <c r="E1368" s="37" t="s">
        <v>4701</v>
      </c>
      <c r="F1368" s="37"/>
      <c r="G1368" s="37"/>
    </row>
    <row r="1369" spans="1:7">
      <c r="A1369" s="37"/>
      <c r="B1369" s="37" t="s">
        <v>5951</v>
      </c>
      <c r="C1369" s="37" t="s">
        <v>4390</v>
      </c>
      <c r="D1369" s="37" t="s">
        <v>4391</v>
      </c>
      <c r="E1369" s="37" t="s">
        <v>4701</v>
      </c>
      <c r="F1369" s="37"/>
      <c r="G1369" s="37"/>
    </row>
    <row r="1370" spans="1:7">
      <c r="A1370" s="37"/>
      <c r="B1370" s="37" t="s">
        <v>5952</v>
      </c>
      <c r="C1370" s="37" t="s">
        <v>4390</v>
      </c>
      <c r="D1370" s="37" t="s">
        <v>4391</v>
      </c>
      <c r="E1370" s="37" t="s">
        <v>4701</v>
      </c>
      <c r="F1370" s="37"/>
      <c r="G1370" s="37"/>
    </row>
    <row r="1371" spans="1:7">
      <c r="A1371" s="37"/>
      <c r="B1371" s="37" t="s">
        <v>5953</v>
      </c>
      <c r="C1371" s="37" t="s">
        <v>4390</v>
      </c>
      <c r="D1371" s="37" t="s">
        <v>4391</v>
      </c>
      <c r="E1371" s="37" t="s">
        <v>4701</v>
      </c>
      <c r="F1371" s="37"/>
      <c r="G1371" s="37"/>
    </row>
    <row r="1372" spans="1:7">
      <c r="A1372" s="37"/>
      <c r="B1372" s="37" t="s">
        <v>5954</v>
      </c>
      <c r="C1372" s="37" t="s">
        <v>4390</v>
      </c>
      <c r="D1372" s="37" t="s">
        <v>4391</v>
      </c>
      <c r="E1372" s="37" t="s">
        <v>4701</v>
      </c>
      <c r="F1372" s="37"/>
      <c r="G1372" s="37"/>
    </row>
    <row r="1373" spans="1:7">
      <c r="A1373" s="37"/>
      <c r="B1373" s="37" t="s">
        <v>5955</v>
      </c>
      <c r="C1373" s="37" t="s">
        <v>4390</v>
      </c>
      <c r="D1373" s="37" t="s">
        <v>4391</v>
      </c>
      <c r="E1373" s="37" t="s">
        <v>4701</v>
      </c>
      <c r="F1373" s="37"/>
      <c r="G1373" s="37"/>
    </row>
    <row r="1374" spans="1:7">
      <c r="A1374" s="37"/>
      <c r="B1374" s="37" t="s">
        <v>5956</v>
      </c>
      <c r="C1374" s="37" t="s">
        <v>4390</v>
      </c>
      <c r="D1374" s="37" t="s">
        <v>4391</v>
      </c>
      <c r="E1374" s="37" t="s">
        <v>4701</v>
      </c>
      <c r="F1374" s="37"/>
      <c r="G1374" s="37"/>
    </row>
    <row r="1375" spans="1:7">
      <c r="A1375" s="37"/>
      <c r="B1375" s="37" t="s">
        <v>5957</v>
      </c>
      <c r="C1375" s="37" t="s">
        <v>4390</v>
      </c>
      <c r="D1375" s="37" t="s">
        <v>4391</v>
      </c>
      <c r="E1375" s="37" t="s">
        <v>4701</v>
      </c>
      <c r="F1375" s="37"/>
      <c r="G1375" s="37"/>
    </row>
    <row r="1376" spans="1:7">
      <c r="A1376" s="37"/>
      <c r="B1376" s="37" t="s">
        <v>5958</v>
      </c>
      <c r="C1376" s="37" t="s">
        <v>4390</v>
      </c>
      <c r="D1376" s="37" t="s">
        <v>4391</v>
      </c>
      <c r="E1376" s="37" t="s">
        <v>4701</v>
      </c>
      <c r="F1376" s="37"/>
      <c r="G1376" s="37"/>
    </row>
    <row r="1377" spans="1:7">
      <c r="A1377" s="37"/>
      <c r="B1377" s="37" t="s">
        <v>5959</v>
      </c>
      <c r="C1377" s="37" t="s">
        <v>4390</v>
      </c>
      <c r="D1377" s="37" t="s">
        <v>4391</v>
      </c>
      <c r="E1377" s="37" t="s">
        <v>4701</v>
      </c>
      <c r="F1377" s="37"/>
      <c r="G1377" s="37"/>
    </row>
    <row r="1378" spans="1:7">
      <c r="A1378" s="37"/>
      <c r="B1378" s="37" t="s">
        <v>5960</v>
      </c>
      <c r="C1378" s="37" t="s">
        <v>4390</v>
      </c>
      <c r="D1378" s="37" t="s">
        <v>4391</v>
      </c>
      <c r="E1378" s="37" t="s">
        <v>4701</v>
      </c>
      <c r="F1378" s="37"/>
      <c r="G1378" s="37"/>
    </row>
    <row r="1379" spans="1:7">
      <c r="A1379" s="37"/>
      <c r="B1379" s="37" t="s">
        <v>5961</v>
      </c>
      <c r="C1379" s="37" t="s">
        <v>4390</v>
      </c>
      <c r="D1379" s="37" t="s">
        <v>4391</v>
      </c>
      <c r="E1379" s="37" t="s">
        <v>4701</v>
      </c>
      <c r="F1379" s="37"/>
      <c r="G1379" s="37"/>
    </row>
    <row r="1380" spans="1:7">
      <c r="A1380" s="37"/>
      <c r="B1380" s="37" t="s">
        <v>5962</v>
      </c>
      <c r="C1380" s="37" t="s">
        <v>4390</v>
      </c>
      <c r="D1380" s="37" t="s">
        <v>4391</v>
      </c>
      <c r="E1380" s="37" t="s">
        <v>4701</v>
      </c>
      <c r="F1380" s="37"/>
      <c r="G1380" s="37"/>
    </row>
    <row r="1381" spans="1:7">
      <c r="A1381" s="37"/>
      <c r="B1381" s="37" t="s">
        <v>5963</v>
      </c>
      <c r="C1381" s="37" t="s">
        <v>4390</v>
      </c>
      <c r="D1381" s="37" t="s">
        <v>4391</v>
      </c>
      <c r="E1381" s="37" t="s">
        <v>4701</v>
      </c>
      <c r="F1381" s="37"/>
      <c r="G1381" s="37"/>
    </row>
    <row r="1382" spans="1:7">
      <c r="A1382" s="37"/>
      <c r="B1382" s="37" t="s">
        <v>5964</v>
      </c>
      <c r="C1382" s="37" t="s">
        <v>4390</v>
      </c>
      <c r="D1382" s="37" t="s">
        <v>4391</v>
      </c>
      <c r="E1382" s="37" t="s">
        <v>4701</v>
      </c>
      <c r="F1382" s="37"/>
      <c r="G1382" s="37"/>
    </row>
    <row r="1383" spans="1:7">
      <c r="A1383" s="37"/>
      <c r="B1383" s="37" t="s">
        <v>5965</v>
      </c>
      <c r="C1383" s="37" t="s">
        <v>4390</v>
      </c>
      <c r="D1383" s="37" t="s">
        <v>4391</v>
      </c>
      <c r="E1383" s="37" t="s">
        <v>4701</v>
      </c>
      <c r="F1383" s="37"/>
      <c r="G1383" s="37"/>
    </row>
    <row r="1384" spans="1:7">
      <c r="A1384" s="37"/>
      <c r="B1384" s="37" t="s">
        <v>5966</v>
      </c>
      <c r="C1384" s="37" t="s">
        <v>4390</v>
      </c>
      <c r="D1384" s="37" t="s">
        <v>4391</v>
      </c>
      <c r="E1384" s="37" t="s">
        <v>4701</v>
      </c>
      <c r="F1384" s="37"/>
      <c r="G1384" s="37"/>
    </row>
    <row r="1385" spans="1:7">
      <c r="A1385" s="37"/>
      <c r="B1385" s="37" t="s">
        <v>5967</v>
      </c>
      <c r="C1385" s="37" t="s">
        <v>4390</v>
      </c>
      <c r="D1385" s="37" t="s">
        <v>4391</v>
      </c>
      <c r="E1385" s="37" t="s">
        <v>4701</v>
      </c>
      <c r="F1385" s="37"/>
      <c r="G1385" s="37"/>
    </row>
    <row r="1386" spans="1:7">
      <c r="A1386" s="37"/>
      <c r="B1386" s="37" t="s">
        <v>5968</v>
      </c>
      <c r="C1386" s="37" t="s">
        <v>4390</v>
      </c>
      <c r="D1386" s="37" t="s">
        <v>4391</v>
      </c>
      <c r="E1386" s="37" t="s">
        <v>4701</v>
      </c>
      <c r="F1386" s="37"/>
      <c r="G1386" s="37"/>
    </row>
    <row r="1387" spans="1:7">
      <c r="A1387" s="37"/>
      <c r="B1387" s="37" t="s">
        <v>5969</v>
      </c>
      <c r="C1387" s="37" t="s">
        <v>4390</v>
      </c>
      <c r="D1387" s="37" t="s">
        <v>4391</v>
      </c>
      <c r="E1387" s="37" t="s">
        <v>4701</v>
      </c>
      <c r="F1387" s="37"/>
      <c r="G1387" s="37"/>
    </row>
    <row r="1388" spans="1:7">
      <c r="A1388" s="37"/>
      <c r="B1388" s="37" t="s">
        <v>5970</v>
      </c>
      <c r="C1388" s="37" t="s">
        <v>4390</v>
      </c>
      <c r="D1388" s="37" t="s">
        <v>4391</v>
      </c>
      <c r="E1388" s="37" t="s">
        <v>4701</v>
      </c>
      <c r="F1388" s="37"/>
      <c r="G1388" s="37"/>
    </row>
    <row r="1389" spans="1:7">
      <c r="A1389" s="37"/>
      <c r="B1389" s="37" t="s">
        <v>5971</v>
      </c>
      <c r="C1389" s="37" t="s">
        <v>4390</v>
      </c>
      <c r="D1389" s="37" t="s">
        <v>4391</v>
      </c>
      <c r="E1389" s="37" t="s">
        <v>4701</v>
      </c>
      <c r="F1389" s="37"/>
      <c r="G1389" s="37"/>
    </row>
    <row r="1390" spans="1:7">
      <c r="A1390" s="37"/>
      <c r="B1390" s="37" t="s">
        <v>5972</v>
      </c>
      <c r="C1390" s="37" t="s">
        <v>4390</v>
      </c>
      <c r="D1390" s="37" t="s">
        <v>4391</v>
      </c>
      <c r="E1390" s="37" t="s">
        <v>4701</v>
      </c>
      <c r="F1390" s="37"/>
      <c r="G1390" s="37"/>
    </row>
    <row r="1391" spans="1:7">
      <c r="A1391" s="37"/>
      <c r="B1391" s="37" t="s">
        <v>5973</v>
      </c>
      <c r="C1391" s="37" t="s">
        <v>4390</v>
      </c>
      <c r="D1391" s="37" t="s">
        <v>4391</v>
      </c>
      <c r="E1391" s="37" t="s">
        <v>4701</v>
      </c>
      <c r="F1391" s="37"/>
      <c r="G1391" s="37"/>
    </row>
    <row r="1392" spans="1:7">
      <c r="A1392" s="37"/>
      <c r="B1392" s="37" t="s">
        <v>5974</v>
      </c>
      <c r="C1392" s="37" t="s">
        <v>4390</v>
      </c>
      <c r="D1392" s="37" t="s">
        <v>4391</v>
      </c>
      <c r="E1392" s="37" t="s">
        <v>4701</v>
      </c>
      <c r="F1392" s="37"/>
      <c r="G1392" s="37"/>
    </row>
    <row r="1393" spans="1:7">
      <c r="A1393" s="37"/>
      <c r="B1393" s="37" t="s">
        <v>5975</v>
      </c>
      <c r="C1393" s="37" t="s">
        <v>4390</v>
      </c>
      <c r="D1393" s="37" t="s">
        <v>4391</v>
      </c>
      <c r="E1393" s="37" t="s">
        <v>4701</v>
      </c>
      <c r="F1393" s="37"/>
      <c r="G1393" s="37"/>
    </row>
    <row r="1394" spans="1:7">
      <c r="A1394" s="37"/>
      <c r="B1394" s="37" t="s">
        <v>5976</v>
      </c>
      <c r="C1394" s="37" t="s">
        <v>4390</v>
      </c>
      <c r="D1394" s="37" t="s">
        <v>4391</v>
      </c>
      <c r="E1394" s="37" t="s">
        <v>4701</v>
      </c>
      <c r="F1394" s="37"/>
      <c r="G1394" s="37"/>
    </row>
    <row r="1395" spans="1:7">
      <c r="A1395" s="37"/>
      <c r="B1395" s="37" t="s">
        <v>5977</v>
      </c>
      <c r="C1395" s="37" t="s">
        <v>4390</v>
      </c>
      <c r="D1395" s="37" t="s">
        <v>4391</v>
      </c>
      <c r="E1395" s="37" t="s">
        <v>4701</v>
      </c>
      <c r="F1395" s="37"/>
      <c r="G1395" s="37"/>
    </row>
    <row r="1396" spans="1:7">
      <c r="A1396" s="37"/>
      <c r="B1396" s="37" t="s">
        <v>5978</v>
      </c>
      <c r="C1396" s="37" t="s">
        <v>4390</v>
      </c>
      <c r="D1396" s="37" t="s">
        <v>4391</v>
      </c>
      <c r="E1396" s="37" t="s">
        <v>4701</v>
      </c>
      <c r="F1396" s="37"/>
      <c r="G1396" s="37"/>
    </row>
    <row r="1397" spans="1:7">
      <c r="A1397" s="37"/>
      <c r="B1397" s="37" t="s">
        <v>5979</v>
      </c>
      <c r="C1397" s="37" t="s">
        <v>4390</v>
      </c>
      <c r="D1397" s="37" t="s">
        <v>4391</v>
      </c>
      <c r="E1397" s="37" t="s">
        <v>4701</v>
      </c>
      <c r="F1397" s="37"/>
      <c r="G1397" s="37"/>
    </row>
    <row r="1398" spans="1:7">
      <c r="A1398" s="37"/>
      <c r="B1398" s="37" t="s">
        <v>5980</v>
      </c>
      <c r="C1398" s="37" t="s">
        <v>4390</v>
      </c>
      <c r="D1398" s="37" t="s">
        <v>4391</v>
      </c>
      <c r="E1398" s="37" t="s">
        <v>4701</v>
      </c>
      <c r="F1398" s="37"/>
      <c r="G1398" s="37"/>
    </row>
    <row r="1399" spans="1:7">
      <c r="A1399" s="37"/>
      <c r="B1399" s="37" t="s">
        <v>5981</v>
      </c>
      <c r="C1399" s="37" t="s">
        <v>4390</v>
      </c>
      <c r="D1399" s="37" t="s">
        <v>4391</v>
      </c>
      <c r="E1399" s="37" t="s">
        <v>4701</v>
      </c>
      <c r="F1399" s="37"/>
      <c r="G1399" s="37"/>
    </row>
    <row r="1400" spans="1:7">
      <c r="A1400" s="37"/>
      <c r="B1400" s="37" t="s">
        <v>5982</v>
      </c>
      <c r="C1400" s="37" t="s">
        <v>4390</v>
      </c>
      <c r="D1400" s="37" t="s">
        <v>4391</v>
      </c>
      <c r="E1400" s="37" t="s">
        <v>4701</v>
      </c>
      <c r="F1400" s="37"/>
      <c r="G1400" s="37"/>
    </row>
    <row r="1401" spans="1:7">
      <c r="A1401" s="37"/>
      <c r="B1401" s="37" t="s">
        <v>5983</v>
      </c>
      <c r="C1401" s="37" t="s">
        <v>4390</v>
      </c>
      <c r="D1401" s="37" t="s">
        <v>4391</v>
      </c>
      <c r="E1401" s="37" t="s">
        <v>4701</v>
      </c>
      <c r="F1401" s="37"/>
      <c r="G1401" s="37"/>
    </row>
    <row r="1402" spans="1:7">
      <c r="A1402" s="37"/>
      <c r="B1402" s="37" t="s">
        <v>5984</v>
      </c>
      <c r="C1402" s="37" t="s">
        <v>4390</v>
      </c>
      <c r="D1402" s="37" t="s">
        <v>4391</v>
      </c>
      <c r="E1402" s="37" t="s">
        <v>4701</v>
      </c>
      <c r="F1402" s="37"/>
      <c r="G1402" s="37"/>
    </row>
    <row r="1403" spans="1:7">
      <c r="A1403" s="37"/>
      <c r="B1403" s="37" t="s">
        <v>5985</v>
      </c>
      <c r="C1403" s="37" t="s">
        <v>4390</v>
      </c>
      <c r="D1403" s="37" t="s">
        <v>4391</v>
      </c>
      <c r="E1403" s="37" t="s">
        <v>4701</v>
      </c>
      <c r="F1403" s="37"/>
      <c r="G1403" s="37"/>
    </row>
    <row r="1404" spans="1:7">
      <c r="A1404" s="37"/>
      <c r="B1404" s="37" t="s">
        <v>5986</v>
      </c>
      <c r="C1404" s="37" t="s">
        <v>4390</v>
      </c>
      <c r="D1404" s="37" t="s">
        <v>4391</v>
      </c>
      <c r="E1404" s="37" t="s">
        <v>4701</v>
      </c>
      <c r="F1404" s="37"/>
      <c r="G1404" s="37"/>
    </row>
    <row r="1405" spans="1:7">
      <c r="A1405" s="37"/>
      <c r="B1405" s="37" t="s">
        <v>5987</v>
      </c>
      <c r="C1405" s="37" t="s">
        <v>4390</v>
      </c>
      <c r="D1405" s="37" t="s">
        <v>4391</v>
      </c>
      <c r="E1405" s="37" t="s">
        <v>4701</v>
      </c>
      <c r="F1405" s="37"/>
      <c r="G1405" s="37"/>
    </row>
    <row r="1406" spans="1:7">
      <c r="A1406" s="37"/>
      <c r="B1406" s="37" t="s">
        <v>5988</v>
      </c>
      <c r="C1406" s="37" t="s">
        <v>4390</v>
      </c>
      <c r="D1406" s="37" t="s">
        <v>4391</v>
      </c>
      <c r="E1406" s="37" t="s">
        <v>4701</v>
      </c>
      <c r="F1406" s="37"/>
      <c r="G1406" s="37"/>
    </row>
    <row r="1407" spans="1:7">
      <c r="A1407" s="37"/>
      <c r="B1407" s="37" t="s">
        <v>5989</v>
      </c>
      <c r="C1407" s="37" t="s">
        <v>4390</v>
      </c>
      <c r="D1407" s="37" t="s">
        <v>4391</v>
      </c>
      <c r="E1407" s="37" t="s">
        <v>4701</v>
      </c>
      <c r="F1407" s="37"/>
      <c r="G1407" s="37"/>
    </row>
    <row r="1408" spans="1:7">
      <c r="A1408" s="37"/>
      <c r="B1408" s="37" t="s">
        <v>5990</v>
      </c>
      <c r="C1408" s="37" t="s">
        <v>4390</v>
      </c>
      <c r="D1408" s="37" t="s">
        <v>4391</v>
      </c>
      <c r="E1408" s="37" t="s">
        <v>4701</v>
      </c>
      <c r="F1408" s="37"/>
      <c r="G1408" s="37"/>
    </row>
    <row r="1409" spans="1:7">
      <c r="A1409" s="37"/>
      <c r="B1409" s="37" t="s">
        <v>5991</v>
      </c>
      <c r="C1409" s="37" t="s">
        <v>4390</v>
      </c>
      <c r="D1409" s="37" t="s">
        <v>4391</v>
      </c>
      <c r="E1409" s="37" t="s">
        <v>4701</v>
      </c>
      <c r="F1409" s="37"/>
      <c r="G1409" s="37"/>
    </row>
    <row r="1410" spans="1:7">
      <c r="A1410" s="37"/>
      <c r="B1410" s="37" t="s">
        <v>5992</v>
      </c>
      <c r="C1410" s="37" t="s">
        <v>4390</v>
      </c>
      <c r="D1410" s="37" t="s">
        <v>4391</v>
      </c>
      <c r="E1410" s="37" t="s">
        <v>4701</v>
      </c>
      <c r="F1410" s="37"/>
      <c r="G1410" s="37"/>
    </row>
    <row r="1411" spans="1:7">
      <c r="A1411" s="37"/>
      <c r="B1411" s="37" t="s">
        <v>5993</v>
      </c>
      <c r="C1411" s="37" t="s">
        <v>4390</v>
      </c>
      <c r="D1411" s="37" t="s">
        <v>4391</v>
      </c>
      <c r="E1411" s="37" t="s">
        <v>4701</v>
      </c>
      <c r="F1411" s="37"/>
      <c r="G1411" s="37"/>
    </row>
    <row r="1412" spans="1:7">
      <c r="A1412" s="37"/>
      <c r="B1412" s="37" t="s">
        <v>5994</v>
      </c>
      <c r="C1412" s="37" t="s">
        <v>4390</v>
      </c>
      <c r="D1412" s="37" t="s">
        <v>4391</v>
      </c>
      <c r="E1412" s="37" t="s">
        <v>4701</v>
      </c>
      <c r="F1412" s="37"/>
      <c r="G1412" s="37"/>
    </row>
    <row r="1413" spans="1:7">
      <c r="A1413" s="37"/>
      <c r="B1413" s="37" t="s">
        <v>5995</v>
      </c>
      <c r="C1413" s="37" t="s">
        <v>4390</v>
      </c>
      <c r="D1413" s="37" t="s">
        <v>4391</v>
      </c>
      <c r="E1413" s="37" t="s">
        <v>4701</v>
      </c>
      <c r="F1413" s="37"/>
      <c r="G1413" s="37"/>
    </row>
    <row r="1414" spans="1:7">
      <c r="A1414" s="37"/>
      <c r="B1414" s="37" t="s">
        <v>5996</v>
      </c>
      <c r="C1414" s="37" t="s">
        <v>4390</v>
      </c>
      <c r="D1414" s="37" t="s">
        <v>4391</v>
      </c>
      <c r="E1414" s="37" t="s">
        <v>4701</v>
      </c>
      <c r="F1414" s="37"/>
      <c r="G1414" s="37"/>
    </row>
    <row r="1415" spans="1:7">
      <c r="A1415" s="37"/>
      <c r="B1415" s="37" t="s">
        <v>5997</v>
      </c>
      <c r="C1415" s="37" t="s">
        <v>4390</v>
      </c>
      <c r="D1415" s="37" t="s">
        <v>4391</v>
      </c>
      <c r="E1415" s="37" t="s">
        <v>4701</v>
      </c>
      <c r="F1415" s="37"/>
      <c r="G1415" s="37"/>
    </row>
    <row r="1416" spans="1:7">
      <c r="A1416" s="37"/>
      <c r="B1416" s="37" t="s">
        <v>5998</v>
      </c>
      <c r="C1416" s="37" t="s">
        <v>4403</v>
      </c>
      <c r="D1416" s="37" t="s">
        <v>4404</v>
      </c>
      <c r="E1416" s="37" t="s">
        <v>4701</v>
      </c>
      <c r="F1416" s="37"/>
      <c r="G1416" s="37"/>
    </row>
    <row r="1417" spans="1:7">
      <c r="A1417" s="37"/>
      <c r="B1417" s="37" t="s">
        <v>5999</v>
      </c>
      <c r="C1417" s="37" t="s">
        <v>4403</v>
      </c>
      <c r="D1417" s="37" t="s">
        <v>4404</v>
      </c>
      <c r="E1417" s="37" t="s">
        <v>4701</v>
      </c>
      <c r="F1417" s="37"/>
      <c r="G1417" s="37"/>
    </row>
    <row r="1418" spans="1:7">
      <c r="A1418" s="37"/>
      <c r="B1418" s="37" t="s">
        <v>6000</v>
      </c>
      <c r="C1418" s="37" t="s">
        <v>4403</v>
      </c>
      <c r="D1418" s="37" t="s">
        <v>4404</v>
      </c>
      <c r="E1418" s="37" t="s">
        <v>4701</v>
      </c>
      <c r="F1418" s="37"/>
      <c r="G1418" s="37"/>
    </row>
    <row r="1419" spans="1:7">
      <c r="A1419" s="37"/>
      <c r="B1419" s="37" t="s">
        <v>6001</v>
      </c>
      <c r="C1419" s="37" t="s">
        <v>4403</v>
      </c>
      <c r="D1419" s="37" t="s">
        <v>4404</v>
      </c>
      <c r="E1419" s="37" t="s">
        <v>4701</v>
      </c>
      <c r="F1419" s="37"/>
      <c r="G1419" s="37"/>
    </row>
    <row r="1420" spans="1:7">
      <c r="A1420" s="37"/>
      <c r="B1420" s="37" t="s">
        <v>6002</v>
      </c>
      <c r="C1420" s="37" t="s">
        <v>4403</v>
      </c>
      <c r="D1420" s="37" t="s">
        <v>4404</v>
      </c>
      <c r="E1420" s="37" t="s">
        <v>4701</v>
      </c>
      <c r="F1420" s="37"/>
      <c r="G1420" s="37"/>
    </row>
    <row r="1421" spans="1:7">
      <c r="A1421" s="37"/>
      <c r="B1421" s="37" t="s">
        <v>6003</v>
      </c>
      <c r="C1421" s="37" t="s">
        <v>4403</v>
      </c>
      <c r="D1421" s="37" t="s">
        <v>4404</v>
      </c>
      <c r="E1421" s="37" t="s">
        <v>4701</v>
      </c>
      <c r="F1421" s="37"/>
      <c r="G1421" s="37"/>
    </row>
    <row r="1422" spans="1:7">
      <c r="A1422" s="37"/>
      <c r="B1422" s="37" t="s">
        <v>6004</v>
      </c>
      <c r="C1422" s="37" t="s">
        <v>4403</v>
      </c>
      <c r="D1422" s="37" t="s">
        <v>4404</v>
      </c>
      <c r="E1422" s="37" t="s">
        <v>4701</v>
      </c>
      <c r="F1422" s="37"/>
      <c r="G1422" s="37"/>
    </row>
    <row r="1423" spans="1:7">
      <c r="A1423" s="37"/>
      <c r="B1423" s="37" t="s">
        <v>6005</v>
      </c>
      <c r="C1423" s="37" t="s">
        <v>4403</v>
      </c>
      <c r="D1423" s="37" t="s">
        <v>4404</v>
      </c>
      <c r="E1423" s="37" t="s">
        <v>4701</v>
      </c>
      <c r="F1423" s="37"/>
      <c r="G1423" s="37"/>
    </row>
    <row r="1424" spans="1:7">
      <c r="A1424" s="37"/>
      <c r="B1424" s="37" t="s">
        <v>6006</v>
      </c>
      <c r="C1424" s="37" t="s">
        <v>4414</v>
      </c>
      <c r="D1424" s="37" t="s">
        <v>4415</v>
      </c>
      <c r="E1424" s="37" t="s">
        <v>4701</v>
      </c>
      <c r="F1424" s="37"/>
      <c r="G1424" s="37"/>
    </row>
    <row r="1425" spans="1:7">
      <c r="A1425" s="37"/>
      <c r="B1425" s="37" t="s">
        <v>6007</v>
      </c>
      <c r="C1425" s="37" t="s">
        <v>4414</v>
      </c>
      <c r="D1425" s="37" t="s">
        <v>4415</v>
      </c>
      <c r="E1425" s="37" t="s">
        <v>4701</v>
      </c>
      <c r="F1425" s="37"/>
      <c r="G1425" s="37"/>
    </row>
    <row r="1426" spans="1:7">
      <c r="A1426" s="37"/>
      <c r="B1426" s="37" t="s">
        <v>6008</v>
      </c>
      <c r="C1426" s="37" t="s">
        <v>4414</v>
      </c>
      <c r="D1426" s="37" t="s">
        <v>4415</v>
      </c>
      <c r="E1426" s="37" t="s">
        <v>4701</v>
      </c>
      <c r="F1426" s="37"/>
      <c r="G1426" s="37"/>
    </row>
    <row r="1427" spans="1:7">
      <c r="A1427" s="37"/>
      <c r="B1427" s="37" t="s">
        <v>6009</v>
      </c>
      <c r="C1427" s="37" t="s">
        <v>4414</v>
      </c>
      <c r="D1427" s="37" t="s">
        <v>4415</v>
      </c>
      <c r="E1427" s="37" t="s">
        <v>4701</v>
      </c>
      <c r="F1427" s="37"/>
      <c r="G1427" s="37"/>
    </row>
    <row r="1428" spans="1:7">
      <c r="A1428" s="37"/>
      <c r="B1428" s="37" t="s">
        <v>6010</v>
      </c>
      <c r="C1428" s="37" t="s">
        <v>4414</v>
      </c>
      <c r="D1428" s="37" t="s">
        <v>4415</v>
      </c>
      <c r="E1428" s="37" t="s">
        <v>4701</v>
      </c>
      <c r="F1428" s="37"/>
      <c r="G1428" s="37"/>
    </row>
    <row r="1429" spans="1:7">
      <c r="A1429" s="37"/>
      <c r="B1429" s="37" t="s">
        <v>6011</v>
      </c>
      <c r="C1429" s="37" t="s">
        <v>4414</v>
      </c>
      <c r="D1429" s="37" t="s">
        <v>4415</v>
      </c>
      <c r="E1429" s="37" t="s">
        <v>4701</v>
      </c>
      <c r="F1429" s="37"/>
      <c r="G1429" s="37"/>
    </row>
    <row r="1430" spans="1:7">
      <c r="A1430" s="37"/>
      <c r="B1430" s="37" t="s">
        <v>6012</v>
      </c>
      <c r="C1430" s="37" t="s">
        <v>4426</v>
      </c>
      <c r="D1430" s="37" t="s">
        <v>4427</v>
      </c>
      <c r="E1430" s="37" t="s">
        <v>4701</v>
      </c>
      <c r="F1430" s="37"/>
      <c r="G1430" s="37"/>
    </row>
    <row r="1431" spans="1:7">
      <c r="A1431" s="37"/>
      <c r="B1431" s="37" t="s">
        <v>6013</v>
      </c>
      <c r="C1431" s="37" t="s">
        <v>4426</v>
      </c>
      <c r="D1431" s="37" t="s">
        <v>4427</v>
      </c>
      <c r="E1431" s="37" t="s">
        <v>4701</v>
      </c>
      <c r="F1431" s="37"/>
      <c r="G1431" s="37"/>
    </row>
    <row r="1432" spans="1:7">
      <c r="A1432" s="37"/>
      <c r="B1432" s="37" t="s">
        <v>6014</v>
      </c>
      <c r="C1432" s="37" t="s">
        <v>4436</v>
      </c>
      <c r="D1432" s="37" t="s">
        <v>4437</v>
      </c>
      <c r="E1432" s="37" t="s">
        <v>4701</v>
      </c>
      <c r="F1432" s="37"/>
      <c r="G1432" s="37"/>
    </row>
    <row r="1433" spans="1:7">
      <c r="A1433" s="37"/>
      <c r="B1433" s="37" t="s">
        <v>6015</v>
      </c>
      <c r="C1433" s="37" t="s">
        <v>4436</v>
      </c>
      <c r="D1433" s="37" t="s">
        <v>4437</v>
      </c>
      <c r="E1433" s="37" t="s">
        <v>4701</v>
      </c>
      <c r="F1433" s="37"/>
      <c r="G1433" s="37"/>
    </row>
    <row r="1434" spans="1:7">
      <c r="A1434" s="37"/>
      <c r="B1434" s="37" t="s">
        <v>6016</v>
      </c>
      <c r="C1434" s="37" t="s">
        <v>4436</v>
      </c>
      <c r="D1434" s="37" t="s">
        <v>4437</v>
      </c>
      <c r="E1434" s="37" t="s">
        <v>4701</v>
      </c>
      <c r="F1434" s="37"/>
      <c r="G1434" s="37"/>
    </row>
    <row r="1435" spans="1:7">
      <c r="A1435" s="37"/>
      <c r="B1435" s="37" t="s">
        <v>6017</v>
      </c>
      <c r="C1435" s="37" t="s">
        <v>4436</v>
      </c>
      <c r="D1435" s="37" t="s">
        <v>4437</v>
      </c>
      <c r="E1435" s="37" t="s">
        <v>4701</v>
      </c>
      <c r="F1435" s="37"/>
      <c r="G1435" s="37"/>
    </row>
    <row r="1436" spans="1:7">
      <c r="A1436" s="37"/>
      <c r="B1436" s="37" t="s">
        <v>6018</v>
      </c>
      <c r="C1436" s="37" t="s">
        <v>4436</v>
      </c>
      <c r="D1436" s="37" t="s">
        <v>4437</v>
      </c>
      <c r="E1436" s="37" t="s">
        <v>4701</v>
      </c>
      <c r="F1436" s="37"/>
      <c r="G1436" s="37"/>
    </row>
    <row r="1437" spans="1:7">
      <c r="A1437" s="37"/>
      <c r="B1437" s="37" t="s">
        <v>6019</v>
      </c>
      <c r="C1437" s="37" t="s">
        <v>4436</v>
      </c>
      <c r="D1437" s="37" t="s">
        <v>4437</v>
      </c>
      <c r="E1437" s="37" t="s">
        <v>4701</v>
      </c>
      <c r="F1437" s="37"/>
      <c r="G1437" s="37"/>
    </row>
    <row r="1438" spans="1:7">
      <c r="A1438" s="37"/>
      <c r="B1438" s="37" t="s">
        <v>6020</v>
      </c>
      <c r="C1438" s="37" t="s">
        <v>4436</v>
      </c>
      <c r="D1438" s="37" t="s">
        <v>4437</v>
      </c>
      <c r="E1438" s="37" t="s">
        <v>4701</v>
      </c>
      <c r="F1438" s="37"/>
      <c r="G1438" s="37"/>
    </row>
    <row r="1439" spans="1:7">
      <c r="A1439" s="37"/>
      <c r="B1439" s="37" t="s">
        <v>6021</v>
      </c>
      <c r="C1439" s="37" t="s">
        <v>4436</v>
      </c>
      <c r="D1439" s="37" t="s">
        <v>4437</v>
      </c>
      <c r="E1439" s="37" t="s">
        <v>4701</v>
      </c>
      <c r="F1439" s="37"/>
      <c r="G1439" s="37"/>
    </row>
    <row r="1440" spans="1:7">
      <c r="A1440" s="37"/>
      <c r="B1440" s="37" t="s">
        <v>6022</v>
      </c>
      <c r="C1440" s="37" t="s">
        <v>4436</v>
      </c>
      <c r="D1440" s="37" t="s">
        <v>4437</v>
      </c>
      <c r="E1440" s="37" t="s">
        <v>4701</v>
      </c>
      <c r="F1440" s="37"/>
      <c r="G1440" s="37"/>
    </row>
    <row r="1441" spans="1:7">
      <c r="A1441" s="37"/>
      <c r="B1441" s="37" t="s">
        <v>6023</v>
      </c>
      <c r="C1441" s="37" t="s">
        <v>4436</v>
      </c>
      <c r="D1441" s="37" t="s">
        <v>4437</v>
      </c>
      <c r="E1441" s="37" t="s">
        <v>4701</v>
      </c>
      <c r="F1441" s="37"/>
      <c r="G1441" s="37"/>
    </row>
    <row r="1442" spans="1:7">
      <c r="A1442" s="37"/>
      <c r="B1442" s="37" t="s">
        <v>6024</v>
      </c>
      <c r="C1442" s="37" t="s">
        <v>4436</v>
      </c>
      <c r="D1442" s="37" t="s">
        <v>4437</v>
      </c>
      <c r="E1442" s="37" t="s">
        <v>4701</v>
      </c>
      <c r="F1442" s="37"/>
      <c r="G1442" s="37"/>
    </row>
    <row r="1443" spans="1:7">
      <c r="A1443" s="37"/>
      <c r="B1443" s="37" t="s">
        <v>6025</v>
      </c>
      <c r="C1443" s="37" t="s">
        <v>4436</v>
      </c>
      <c r="D1443" s="37" t="s">
        <v>4437</v>
      </c>
      <c r="E1443" s="37" t="s">
        <v>4701</v>
      </c>
      <c r="F1443" s="37"/>
      <c r="G1443" s="37"/>
    </row>
    <row r="1444" spans="1:7">
      <c r="A1444" s="37"/>
      <c r="B1444" s="37" t="s">
        <v>6026</v>
      </c>
      <c r="C1444" s="37" t="s">
        <v>4436</v>
      </c>
      <c r="D1444" s="37" t="s">
        <v>4437</v>
      </c>
      <c r="E1444" s="37" t="s">
        <v>4701</v>
      </c>
      <c r="F1444" s="37"/>
      <c r="G1444" s="37"/>
    </row>
    <row r="1445" spans="1:7">
      <c r="A1445" s="37"/>
      <c r="B1445" s="37" t="s">
        <v>6027</v>
      </c>
      <c r="C1445" s="37" t="s">
        <v>4436</v>
      </c>
      <c r="D1445" s="37" t="s">
        <v>4437</v>
      </c>
      <c r="E1445" s="37" t="s">
        <v>4701</v>
      </c>
      <c r="F1445" s="37"/>
      <c r="G1445" s="37"/>
    </row>
    <row r="1446" spans="1:7">
      <c r="A1446" s="37"/>
      <c r="B1446" s="37" t="s">
        <v>6028</v>
      </c>
      <c r="C1446" s="37" t="s">
        <v>4436</v>
      </c>
      <c r="D1446" s="37" t="s">
        <v>4437</v>
      </c>
      <c r="E1446" s="37" t="s">
        <v>4701</v>
      </c>
      <c r="F1446" s="37"/>
      <c r="G1446" s="37"/>
    </row>
    <row r="1447" spans="1:7">
      <c r="A1447" s="37"/>
      <c r="B1447" s="37" t="s">
        <v>6029</v>
      </c>
      <c r="C1447" s="37" t="s">
        <v>4436</v>
      </c>
      <c r="D1447" s="37" t="s">
        <v>4437</v>
      </c>
      <c r="E1447" s="37" t="s">
        <v>4701</v>
      </c>
      <c r="F1447" s="37"/>
      <c r="G1447" s="37"/>
    </row>
    <row r="1448" spans="1:7">
      <c r="A1448" s="37"/>
      <c r="B1448" s="37" t="s">
        <v>6030</v>
      </c>
      <c r="C1448" s="37" t="s">
        <v>4449</v>
      </c>
      <c r="D1448" s="37" t="s">
        <v>4450</v>
      </c>
      <c r="E1448" s="37" t="s">
        <v>4701</v>
      </c>
      <c r="F1448" s="37"/>
      <c r="G1448" s="37"/>
    </row>
    <row r="1449" spans="1:7">
      <c r="A1449" s="37"/>
      <c r="B1449" s="37" t="s">
        <v>6031</v>
      </c>
      <c r="C1449" s="37" t="s">
        <v>4449</v>
      </c>
      <c r="D1449" s="37" t="s">
        <v>4450</v>
      </c>
      <c r="E1449" s="37" t="s">
        <v>4701</v>
      </c>
      <c r="F1449" s="37"/>
      <c r="G1449" s="37"/>
    </row>
    <row r="1450" spans="1:7">
      <c r="A1450" s="37"/>
      <c r="B1450" s="37" t="s">
        <v>6032</v>
      </c>
      <c r="C1450" s="37" t="s">
        <v>4466</v>
      </c>
      <c r="D1450" s="37" t="s">
        <v>4462</v>
      </c>
      <c r="E1450" s="37" t="s">
        <v>4738</v>
      </c>
      <c r="F1450" s="37"/>
      <c r="G1450" s="37"/>
    </row>
    <row r="1451" spans="1:7">
      <c r="A1451" s="37"/>
      <c r="B1451" s="37" t="s">
        <v>6033</v>
      </c>
      <c r="C1451" s="37" t="s">
        <v>4466</v>
      </c>
      <c r="D1451" s="37" t="s">
        <v>4462</v>
      </c>
      <c r="E1451" s="37" t="s">
        <v>4738</v>
      </c>
      <c r="F1451" s="37"/>
      <c r="G1451" s="37"/>
    </row>
    <row r="1452" spans="1:7">
      <c r="A1452" s="37"/>
      <c r="B1452" s="37" t="s">
        <v>6034</v>
      </c>
      <c r="C1452" s="37" t="s">
        <v>4466</v>
      </c>
      <c r="D1452" s="37" t="s">
        <v>4462</v>
      </c>
      <c r="E1452" s="37" t="s">
        <v>4738</v>
      </c>
      <c r="F1452" s="37"/>
      <c r="G1452" s="37"/>
    </row>
    <row r="1453" spans="1:7">
      <c r="A1453" s="37"/>
      <c r="B1453" s="37" t="s">
        <v>6035</v>
      </c>
      <c r="C1453" s="37" t="s">
        <v>4466</v>
      </c>
      <c r="D1453" s="37" t="s">
        <v>4462</v>
      </c>
      <c r="E1453" s="37" t="s">
        <v>4738</v>
      </c>
      <c r="F1453" s="37"/>
      <c r="G1453" s="37"/>
    </row>
    <row r="1454" spans="1:7">
      <c r="A1454" s="37"/>
      <c r="B1454" s="37" t="s">
        <v>6036</v>
      </c>
      <c r="C1454" s="37" t="s">
        <v>4466</v>
      </c>
      <c r="D1454" s="37" t="s">
        <v>4462</v>
      </c>
      <c r="E1454" s="37" t="s">
        <v>4738</v>
      </c>
      <c r="F1454" s="37"/>
      <c r="G1454" s="37"/>
    </row>
    <row r="1455" spans="1:7">
      <c r="A1455" s="37"/>
      <c r="B1455" s="37" t="s">
        <v>6037</v>
      </c>
      <c r="C1455" s="37" t="s">
        <v>4466</v>
      </c>
      <c r="D1455" s="37" t="s">
        <v>4462</v>
      </c>
      <c r="E1455" s="37" t="s">
        <v>4738</v>
      </c>
      <c r="F1455" s="37"/>
      <c r="G1455" s="37"/>
    </row>
    <row r="1456" spans="1:7">
      <c r="A1456" s="37"/>
      <c r="B1456" s="37" t="s">
        <v>6038</v>
      </c>
      <c r="C1456" s="37" t="s">
        <v>4474</v>
      </c>
      <c r="D1456" s="37" t="s">
        <v>4476</v>
      </c>
      <c r="E1456" s="37" t="s">
        <v>4627</v>
      </c>
      <c r="F1456" s="37"/>
      <c r="G1456" s="37"/>
    </row>
    <row r="1457" spans="1:7">
      <c r="A1457" s="37"/>
      <c r="B1457" s="37" t="s">
        <v>6039</v>
      </c>
      <c r="C1457" s="37" t="s">
        <v>4474</v>
      </c>
      <c r="D1457" s="37" t="s">
        <v>4476</v>
      </c>
      <c r="E1457" s="37" t="s">
        <v>4627</v>
      </c>
      <c r="F1457" s="37"/>
      <c r="G1457" s="37"/>
    </row>
    <row r="1458" spans="1:7">
      <c r="A1458" s="37"/>
      <c r="B1458" s="37" t="s">
        <v>6040</v>
      </c>
      <c r="C1458" s="37" t="s">
        <v>4474</v>
      </c>
      <c r="D1458" s="37" t="s">
        <v>4476</v>
      </c>
      <c r="E1458" s="37" t="s">
        <v>4627</v>
      </c>
      <c r="F1458" s="37"/>
      <c r="G1458" s="37"/>
    </row>
    <row r="1459" spans="1:7">
      <c r="A1459" s="37"/>
      <c r="B1459" s="37" t="s">
        <v>6041</v>
      </c>
      <c r="C1459" s="37" t="s">
        <v>4474</v>
      </c>
      <c r="D1459" s="37" t="s">
        <v>4476</v>
      </c>
      <c r="E1459" s="37" t="s">
        <v>4627</v>
      </c>
      <c r="F1459" s="37"/>
      <c r="G1459" s="37"/>
    </row>
    <row r="1460" spans="1:7">
      <c r="A1460" s="37"/>
      <c r="B1460" s="37" t="s">
        <v>6042</v>
      </c>
      <c r="C1460" s="37" t="s">
        <v>4474</v>
      </c>
      <c r="D1460" s="37" t="s">
        <v>4476</v>
      </c>
      <c r="E1460" s="37" t="s">
        <v>4627</v>
      </c>
      <c r="F1460" s="37"/>
      <c r="G1460" s="37"/>
    </row>
    <row r="1461" spans="1:7">
      <c r="A1461" s="37"/>
      <c r="B1461" s="37" t="s">
        <v>6043</v>
      </c>
      <c r="C1461" s="37" t="s">
        <v>4474</v>
      </c>
      <c r="D1461" s="37" t="s">
        <v>4476</v>
      </c>
      <c r="E1461" s="37" t="s">
        <v>4627</v>
      </c>
      <c r="F1461" s="37"/>
      <c r="G1461" s="37"/>
    </row>
    <row r="1462" spans="1:7">
      <c r="A1462" s="37"/>
      <c r="B1462" s="37" t="s">
        <v>6044</v>
      </c>
      <c r="C1462" s="37" t="s">
        <v>4474</v>
      </c>
      <c r="D1462" s="37" t="s">
        <v>4476</v>
      </c>
      <c r="E1462" s="37" t="s">
        <v>4627</v>
      </c>
      <c r="F1462" s="37"/>
      <c r="G1462" s="37"/>
    </row>
    <row r="1463" spans="1:7">
      <c r="A1463" s="37"/>
      <c r="B1463" s="37" t="s">
        <v>6045</v>
      </c>
      <c r="C1463" s="37" t="s">
        <v>4474</v>
      </c>
      <c r="D1463" s="37" t="s">
        <v>4476</v>
      </c>
      <c r="E1463" s="37" t="s">
        <v>4627</v>
      </c>
      <c r="F1463" s="37"/>
      <c r="G1463" s="37"/>
    </row>
    <row r="1464" spans="1:7">
      <c r="A1464" s="37"/>
      <c r="B1464" s="37" t="s">
        <v>6046</v>
      </c>
      <c r="C1464" s="37" t="s">
        <v>4474</v>
      </c>
      <c r="D1464" s="37" t="s">
        <v>4476</v>
      </c>
      <c r="E1464" s="37" t="s">
        <v>4627</v>
      </c>
      <c r="F1464" s="37"/>
      <c r="G1464" s="37"/>
    </row>
    <row r="1465" spans="1:7">
      <c r="A1465" s="37"/>
      <c r="B1465" s="37" t="s">
        <v>6047</v>
      </c>
      <c r="C1465" s="37" t="s">
        <v>4491</v>
      </c>
      <c r="D1465" s="37" t="s">
        <v>4476</v>
      </c>
      <c r="E1465" s="37" t="s">
        <v>4627</v>
      </c>
      <c r="F1465" s="37"/>
      <c r="G1465" s="37"/>
    </row>
    <row r="1466" spans="1:7">
      <c r="A1466" s="37"/>
      <c r="B1466" s="37" t="s">
        <v>6048</v>
      </c>
      <c r="C1466" s="37" t="s">
        <v>4491</v>
      </c>
      <c r="D1466" s="37" t="s">
        <v>4476</v>
      </c>
      <c r="E1466" s="37" t="s">
        <v>4627</v>
      </c>
      <c r="F1466" s="37"/>
      <c r="G1466" s="37"/>
    </row>
    <row r="1467" spans="1:7">
      <c r="A1467" s="37"/>
      <c r="B1467" s="37" t="s">
        <v>6049</v>
      </c>
      <c r="C1467" s="37" t="s">
        <v>4491</v>
      </c>
      <c r="D1467" s="37" t="s">
        <v>4476</v>
      </c>
      <c r="E1467" s="37" t="s">
        <v>4627</v>
      </c>
      <c r="F1467" s="37"/>
      <c r="G1467" s="37"/>
    </row>
    <row r="1468" spans="1:7">
      <c r="A1468" s="37"/>
      <c r="B1468" s="37" t="s">
        <v>6050</v>
      </c>
      <c r="C1468" s="37" t="s">
        <v>4491</v>
      </c>
      <c r="D1468" s="37" t="s">
        <v>4476</v>
      </c>
      <c r="E1468" s="37" t="s">
        <v>4627</v>
      </c>
      <c r="F1468" s="37"/>
      <c r="G1468" s="37"/>
    </row>
    <row r="1469" spans="1:7">
      <c r="A1469" s="37"/>
      <c r="B1469" s="37" t="s">
        <v>6051</v>
      </c>
      <c r="C1469" s="37" t="s">
        <v>4491</v>
      </c>
      <c r="D1469" s="37" t="s">
        <v>4476</v>
      </c>
      <c r="E1469" s="37" t="s">
        <v>4627</v>
      </c>
      <c r="F1469" s="37"/>
      <c r="G1469" s="37"/>
    </row>
    <row r="1470" spans="1:7">
      <c r="A1470" s="37"/>
      <c r="B1470" s="37" t="s">
        <v>6052</v>
      </c>
      <c r="C1470" s="37" t="s">
        <v>4491</v>
      </c>
      <c r="D1470" s="37" t="s">
        <v>4476</v>
      </c>
      <c r="E1470" s="37" t="s">
        <v>4627</v>
      </c>
      <c r="F1470" s="37"/>
      <c r="G1470" s="37"/>
    </row>
    <row r="1471" spans="1:7">
      <c r="A1471" s="37"/>
      <c r="B1471" s="37" t="s">
        <v>4509</v>
      </c>
      <c r="C1471" s="37" t="s">
        <v>4504</v>
      </c>
      <c r="D1471" s="37" t="s">
        <v>2579</v>
      </c>
      <c r="E1471" s="37" t="s">
        <v>4682</v>
      </c>
      <c r="F1471" s="37"/>
      <c r="G1471" s="37"/>
    </row>
    <row r="1472" spans="1:7">
      <c r="A1472" s="37"/>
      <c r="B1472" s="37" t="s">
        <v>6053</v>
      </c>
      <c r="C1472" s="37" t="s">
        <v>4524</v>
      </c>
      <c r="D1472" s="37" t="s">
        <v>4527</v>
      </c>
      <c r="E1472" s="37" t="s">
        <v>4682</v>
      </c>
      <c r="F1472" s="37"/>
      <c r="G1472" s="37"/>
    </row>
    <row r="1473" spans="1:7">
      <c r="A1473" s="37"/>
      <c r="B1473" s="37" t="s">
        <v>6054</v>
      </c>
      <c r="C1473" s="37" t="s">
        <v>4524</v>
      </c>
      <c r="D1473" s="37" t="s">
        <v>4527</v>
      </c>
      <c r="E1473" s="37" t="s">
        <v>4682</v>
      </c>
      <c r="F1473" s="37"/>
      <c r="G1473" s="37"/>
    </row>
    <row r="1474" spans="1:7">
      <c r="A1474" s="37"/>
      <c r="B1474" s="37" t="s">
        <v>6055</v>
      </c>
      <c r="C1474" s="37" t="s">
        <v>4524</v>
      </c>
      <c r="D1474" s="37" t="s">
        <v>4527</v>
      </c>
      <c r="E1474" s="37" t="s">
        <v>4682</v>
      </c>
      <c r="F1474" s="37"/>
      <c r="G1474" s="37"/>
    </row>
    <row r="1475" spans="1:7">
      <c r="A1475" s="37"/>
      <c r="B1475" s="37" t="s">
        <v>6056</v>
      </c>
      <c r="C1475" s="37" t="s">
        <v>4524</v>
      </c>
      <c r="D1475" s="37" t="s">
        <v>4527</v>
      </c>
      <c r="E1475" s="37" t="s">
        <v>4682</v>
      </c>
      <c r="F1475" s="37"/>
      <c r="G1475" s="37"/>
    </row>
    <row r="1476" spans="1:7">
      <c r="A1476" s="37"/>
      <c r="B1476" s="37" t="s">
        <v>6057</v>
      </c>
      <c r="C1476" s="37" t="s">
        <v>4524</v>
      </c>
      <c r="D1476" s="37" t="s">
        <v>4527</v>
      </c>
      <c r="E1476" s="37" t="s">
        <v>4682</v>
      </c>
      <c r="F1476" s="37"/>
      <c r="G1476" s="37"/>
    </row>
    <row r="1477" spans="1:7">
      <c r="A1477" s="37"/>
      <c r="B1477" s="37" t="s">
        <v>6058</v>
      </c>
      <c r="C1477" s="37" t="s">
        <v>4524</v>
      </c>
      <c r="D1477" s="37" t="s">
        <v>4527</v>
      </c>
      <c r="E1477" s="37" t="s">
        <v>4682</v>
      </c>
      <c r="F1477" s="37"/>
      <c r="G1477" s="37"/>
    </row>
    <row r="1478" spans="1:7">
      <c r="A1478" s="37"/>
      <c r="B1478" s="37" t="s">
        <v>6059</v>
      </c>
      <c r="C1478" s="37" t="s">
        <v>4524</v>
      </c>
      <c r="D1478" s="37" t="s">
        <v>4527</v>
      </c>
      <c r="E1478" s="37" t="s">
        <v>4682</v>
      </c>
      <c r="F1478" s="37"/>
      <c r="G1478" s="37"/>
    </row>
    <row r="1479" spans="1:7">
      <c r="A1479" s="37"/>
      <c r="B1479" s="37" t="s">
        <v>6060</v>
      </c>
      <c r="C1479" s="37" t="s">
        <v>4524</v>
      </c>
      <c r="D1479" s="37" t="s">
        <v>4527</v>
      </c>
      <c r="E1479" s="37" t="s">
        <v>4682</v>
      </c>
      <c r="F1479" s="37"/>
      <c r="G1479" s="37"/>
    </row>
    <row r="1480" spans="1:7">
      <c r="A1480" s="37"/>
      <c r="B1480" s="37" t="s">
        <v>6061</v>
      </c>
      <c r="C1480" s="37" t="s">
        <v>4524</v>
      </c>
      <c r="D1480" s="37" t="s">
        <v>4527</v>
      </c>
      <c r="E1480" s="37" t="s">
        <v>4682</v>
      </c>
      <c r="F1480" s="37"/>
      <c r="G1480" s="37"/>
    </row>
    <row r="1481" spans="1:7">
      <c r="A1481" s="37"/>
      <c r="B1481" s="37" t="s">
        <v>6062</v>
      </c>
      <c r="C1481" s="37" t="s">
        <v>4524</v>
      </c>
      <c r="D1481" s="37" t="s">
        <v>4527</v>
      </c>
      <c r="E1481" s="37" t="s">
        <v>4682</v>
      </c>
      <c r="F1481" s="37"/>
      <c r="G1481" s="37"/>
    </row>
    <row r="1482" spans="1:7">
      <c r="A1482" s="37"/>
      <c r="B1482" s="37" t="s">
        <v>6063</v>
      </c>
      <c r="C1482" s="37" t="s">
        <v>4524</v>
      </c>
      <c r="D1482" s="37" t="s">
        <v>4527</v>
      </c>
      <c r="E1482" s="37" t="s">
        <v>4682</v>
      </c>
      <c r="F1482" s="37"/>
      <c r="G1482" s="37"/>
    </row>
    <row r="1483" spans="1:7">
      <c r="A1483" s="37"/>
      <c r="B1483" s="37" t="s">
        <v>6064</v>
      </c>
      <c r="C1483" s="37" t="s">
        <v>4524</v>
      </c>
      <c r="D1483" s="37" t="s">
        <v>4527</v>
      </c>
      <c r="E1483" s="37" t="s">
        <v>4682</v>
      </c>
      <c r="F1483" s="37"/>
      <c r="G1483" s="37"/>
    </row>
    <row r="1484" spans="1:7">
      <c r="A1484" s="37"/>
      <c r="B1484" s="37" t="s">
        <v>6065</v>
      </c>
      <c r="C1484" s="37" t="s">
        <v>4524</v>
      </c>
      <c r="D1484" s="37" t="s">
        <v>4527</v>
      </c>
      <c r="E1484" s="37" t="s">
        <v>4682</v>
      </c>
      <c r="F1484" s="37"/>
      <c r="G1484" s="37"/>
    </row>
    <row r="1485" spans="1:7">
      <c r="A1485" s="37"/>
      <c r="B1485" s="37" t="s">
        <v>6066</v>
      </c>
      <c r="C1485" s="37" t="s">
        <v>4524</v>
      </c>
      <c r="D1485" s="37" t="s">
        <v>4527</v>
      </c>
      <c r="E1485" s="37" t="s">
        <v>4682</v>
      </c>
      <c r="F1485" s="37"/>
      <c r="G1485" s="37"/>
    </row>
    <row r="1486" spans="1:7">
      <c r="A1486" s="37"/>
      <c r="B1486" s="37" t="s">
        <v>6067</v>
      </c>
      <c r="C1486" s="37" t="s">
        <v>4524</v>
      </c>
      <c r="D1486" s="37" t="s">
        <v>4527</v>
      </c>
      <c r="E1486" s="37" t="s">
        <v>4682</v>
      </c>
      <c r="F1486" s="37"/>
      <c r="G1486" s="37"/>
    </row>
    <row r="1487" spans="1:7">
      <c r="A1487" s="37"/>
      <c r="B1487" s="37" t="s">
        <v>6068</v>
      </c>
      <c r="C1487" s="37" t="s">
        <v>4524</v>
      </c>
      <c r="D1487" s="37" t="s">
        <v>4527</v>
      </c>
      <c r="E1487" s="37" t="s">
        <v>4682</v>
      </c>
      <c r="F1487" s="37"/>
      <c r="G1487" s="37"/>
    </row>
    <row r="1488" spans="1:7">
      <c r="A1488" s="37"/>
      <c r="B1488" s="37" t="s">
        <v>6069</v>
      </c>
      <c r="C1488" s="37" t="s">
        <v>4524</v>
      </c>
      <c r="D1488" s="37" t="s">
        <v>4527</v>
      </c>
      <c r="E1488" s="37" t="s">
        <v>4682</v>
      </c>
      <c r="F1488" s="37"/>
      <c r="G1488" s="37"/>
    </row>
    <row r="1489" spans="1:7">
      <c r="A1489" s="37"/>
      <c r="B1489" s="37" t="s">
        <v>6070</v>
      </c>
      <c r="C1489" s="37" t="s">
        <v>4534</v>
      </c>
      <c r="D1489" s="37" t="s">
        <v>4535</v>
      </c>
      <c r="E1489" s="37" t="s">
        <v>4627</v>
      </c>
      <c r="F1489" s="37"/>
      <c r="G1489" s="37"/>
    </row>
    <row r="1490" spans="1:7">
      <c r="A1490" s="37"/>
      <c r="B1490" s="37" t="s">
        <v>6071</v>
      </c>
      <c r="C1490" s="37" t="s">
        <v>4534</v>
      </c>
      <c r="D1490" s="37" t="s">
        <v>4535</v>
      </c>
      <c r="E1490" s="37" t="s">
        <v>4627</v>
      </c>
      <c r="F1490" s="37"/>
      <c r="G1490" s="37"/>
    </row>
    <row r="1491" spans="1:7">
      <c r="A1491" s="37"/>
      <c r="B1491" s="37" t="s">
        <v>6072</v>
      </c>
      <c r="C1491" s="37" t="s">
        <v>4534</v>
      </c>
      <c r="D1491" s="37" t="s">
        <v>4535</v>
      </c>
      <c r="E1491" s="37" t="s">
        <v>4627</v>
      </c>
      <c r="F1491" s="37"/>
      <c r="G1491" s="37"/>
    </row>
    <row r="1492" spans="1:7">
      <c r="A1492" s="37"/>
      <c r="B1492" s="37" t="s">
        <v>6073</v>
      </c>
      <c r="C1492" s="37" t="s">
        <v>4534</v>
      </c>
      <c r="D1492" s="37" t="s">
        <v>4535</v>
      </c>
      <c r="E1492" s="37" t="s">
        <v>4627</v>
      </c>
      <c r="F1492" s="37"/>
      <c r="G1492" s="37"/>
    </row>
    <row r="1493" spans="1:7">
      <c r="A1493" s="37"/>
      <c r="B1493" s="37" t="s">
        <v>6074</v>
      </c>
      <c r="C1493" s="37" t="s">
        <v>4563</v>
      </c>
      <c r="D1493" s="37" t="s">
        <v>4564</v>
      </c>
      <c r="E1493" s="37" t="s">
        <v>6075</v>
      </c>
      <c r="F1493" s="37"/>
      <c r="G1493" s="37"/>
    </row>
    <row r="1494" spans="1:7">
      <c r="A1494" s="37"/>
      <c r="B1494" s="37" t="s">
        <v>6076</v>
      </c>
      <c r="C1494" s="37" t="s">
        <v>4563</v>
      </c>
      <c r="D1494" s="37" t="s">
        <v>4564</v>
      </c>
      <c r="E1494" s="37" t="s">
        <v>6075</v>
      </c>
      <c r="F1494" s="37"/>
      <c r="G1494" s="37"/>
    </row>
    <row r="1495" spans="1:7">
      <c r="A1495" s="37"/>
      <c r="B1495" s="37" t="s">
        <v>6077</v>
      </c>
      <c r="C1495" s="37" t="s">
        <v>4563</v>
      </c>
      <c r="D1495" s="37" t="s">
        <v>4564</v>
      </c>
      <c r="E1495" s="37" t="s">
        <v>6075</v>
      </c>
      <c r="F1495" s="37"/>
      <c r="G1495" s="37"/>
    </row>
    <row r="1496" spans="1:7">
      <c r="A1496" s="37"/>
      <c r="B1496" s="37" t="s">
        <v>6078</v>
      </c>
      <c r="C1496" s="37" t="s">
        <v>4563</v>
      </c>
      <c r="D1496" s="37" t="s">
        <v>4564</v>
      </c>
      <c r="E1496" s="37" t="s">
        <v>6075</v>
      </c>
      <c r="F1496" s="37"/>
      <c r="G1496" s="37"/>
    </row>
    <row r="1497" spans="1:7">
      <c r="A1497" s="37"/>
      <c r="B1497" s="37" t="s">
        <v>6079</v>
      </c>
      <c r="C1497" s="37" t="s">
        <v>4563</v>
      </c>
      <c r="D1497" s="37" t="s">
        <v>4564</v>
      </c>
      <c r="E1497" s="37" t="s">
        <v>6075</v>
      </c>
      <c r="F1497" s="37"/>
      <c r="G1497" s="37"/>
    </row>
    <row r="1498" spans="1:7">
      <c r="A1498" s="37"/>
      <c r="B1498" s="37" t="s">
        <v>6080</v>
      </c>
      <c r="C1498" s="37" t="s">
        <v>4563</v>
      </c>
      <c r="D1498" s="37" t="s">
        <v>4564</v>
      </c>
      <c r="E1498" s="37" t="s">
        <v>6075</v>
      </c>
      <c r="F1498" s="37"/>
      <c r="G1498" s="37"/>
    </row>
    <row r="1499" spans="1:7">
      <c r="A1499" s="37"/>
      <c r="B1499" s="37" t="s">
        <v>6081</v>
      </c>
      <c r="C1499" s="37" t="s">
        <v>4563</v>
      </c>
      <c r="D1499" s="37" t="s">
        <v>4564</v>
      </c>
      <c r="E1499" s="37" t="s">
        <v>6075</v>
      </c>
      <c r="F1499" s="37"/>
      <c r="G1499" s="37"/>
    </row>
    <row r="1500" spans="1:7">
      <c r="A1500" s="37"/>
      <c r="B1500" s="37" t="s">
        <v>6082</v>
      </c>
      <c r="C1500" s="37" t="s">
        <v>4563</v>
      </c>
      <c r="D1500" s="37" t="s">
        <v>4564</v>
      </c>
      <c r="E1500" s="37" t="s">
        <v>6075</v>
      </c>
      <c r="F1500" s="37"/>
      <c r="G1500" s="37"/>
    </row>
    <row r="1501" spans="1:7">
      <c r="A1501" s="37"/>
      <c r="B1501" s="37" t="s">
        <v>6083</v>
      </c>
      <c r="C1501" s="37" t="s">
        <v>4563</v>
      </c>
      <c r="D1501" s="37" t="s">
        <v>4564</v>
      </c>
      <c r="E1501" s="37" t="s">
        <v>6075</v>
      </c>
      <c r="F1501" s="37"/>
      <c r="G1501" s="37"/>
    </row>
    <row r="1502" spans="1:7">
      <c r="A1502" s="37"/>
      <c r="B1502" s="37" t="s">
        <v>6084</v>
      </c>
      <c r="C1502" s="37" t="s">
        <v>4563</v>
      </c>
      <c r="D1502" s="37" t="s">
        <v>4564</v>
      </c>
      <c r="E1502" s="37" t="s">
        <v>6075</v>
      </c>
      <c r="F1502" s="37"/>
      <c r="G1502" s="37"/>
    </row>
    <row r="1503" spans="1:7">
      <c r="A1503" s="37"/>
      <c r="B1503" s="37" t="s">
        <v>6085</v>
      </c>
      <c r="C1503" s="37" t="s">
        <v>4563</v>
      </c>
      <c r="D1503" s="37" t="s">
        <v>4564</v>
      </c>
      <c r="E1503" s="37" t="s">
        <v>6075</v>
      </c>
      <c r="F1503" s="37"/>
      <c r="G1503" s="37"/>
    </row>
    <row r="1504" spans="1:7">
      <c r="A1504" s="37"/>
      <c r="B1504" s="37" t="s">
        <v>6086</v>
      </c>
      <c r="C1504" s="37" t="s">
        <v>4563</v>
      </c>
      <c r="D1504" s="37" t="s">
        <v>4564</v>
      </c>
      <c r="E1504" s="37" t="s">
        <v>6075</v>
      </c>
      <c r="F1504" s="37"/>
      <c r="G1504" s="37"/>
    </row>
    <row r="1505" spans="1:7">
      <c r="A1505" s="37"/>
      <c r="B1505" s="37" t="s">
        <v>6087</v>
      </c>
      <c r="C1505" s="37" t="s">
        <v>4563</v>
      </c>
      <c r="D1505" s="37" t="s">
        <v>4564</v>
      </c>
      <c r="E1505" s="37" t="s">
        <v>6075</v>
      </c>
      <c r="F1505" s="37"/>
      <c r="G1505" s="37"/>
    </row>
    <row r="1506" spans="1:7">
      <c r="A1506" s="37"/>
      <c r="B1506" s="37" t="s">
        <v>6088</v>
      </c>
      <c r="C1506" s="37" t="s">
        <v>4563</v>
      </c>
      <c r="D1506" s="37" t="s">
        <v>4564</v>
      </c>
      <c r="E1506" s="37" t="s">
        <v>6075</v>
      </c>
      <c r="F1506" s="37"/>
      <c r="G1506" s="37"/>
    </row>
    <row r="1507" spans="1:7">
      <c r="A1507" s="37"/>
      <c r="B1507" s="37" t="s">
        <v>6089</v>
      </c>
      <c r="C1507" s="37" t="s">
        <v>4563</v>
      </c>
      <c r="D1507" s="37" t="s">
        <v>4564</v>
      </c>
      <c r="E1507" s="37" t="s">
        <v>6075</v>
      </c>
      <c r="F1507" s="37"/>
      <c r="G1507" s="37"/>
    </row>
    <row r="1508" spans="1:7">
      <c r="A1508" s="37"/>
      <c r="B1508" s="37" t="s">
        <v>6090</v>
      </c>
      <c r="C1508" s="37" t="s">
        <v>4563</v>
      </c>
      <c r="D1508" s="37" t="s">
        <v>4564</v>
      </c>
      <c r="E1508" s="37" t="s">
        <v>6075</v>
      </c>
      <c r="F1508" s="37"/>
      <c r="G1508" s="37"/>
    </row>
    <row r="1509" spans="1:7">
      <c r="A1509" s="37"/>
      <c r="B1509" s="37" t="s">
        <v>6091</v>
      </c>
      <c r="C1509" s="37" t="s">
        <v>4563</v>
      </c>
      <c r="D1509" s="37" t="s">
        <v>4564</v>
      </c>
      <c r="E1509" s="37" t="s">
        <v>6075</v>
      </c>
      <c r="F1509" s="37"/>
      <c r="G1509" s="37"/>
    </row>
    <row r="1510" spans="1:7">
      <c r="A1510" s="37"/>
      <c r="B1510" s="37" t="s">
        <v>6092</v>
      </c>
      <c r="C1510" s="37" t="s">
        <v>4563</v>
      </c>
      <c r="D1510" s="37" t="s">
        <v>4564</v>
      </c>
      <c r="E1510" s="37" t="s">
        <v>6075</v>
      </c>
      <c r="F1510" s="37"/>
      <c r="G1510" s="37"/>
    </row>
    <row r="1511" spans="1:7">
      <c r="A1511" s="37"/>
      <c r="B1511" s="37" t="s">
        <v>6093</v>
      </c>
      <c r="C1511" s="37" t="s">
        <v>4563</v>
      </c>
      <c r="D1511" s="37" t="s">
        <v>4564</v>
      </c>
      <c r="E1511" s="37" t="s">
        <v>6075</v>
      </c>
      <c r="F1511" s="37"/>
      <c r="G1511" s="37"/>
    </row>
    <row r="1512" spans="1:7">
      <c r="A1512" s="37"/>
      <c r="B1512" s="37" t="s">
        <v>6094</v>
      </c>
      <c r="C1512" s="37" t="s">
        <v>4563</v>
      </c>
      <c r="D1512" s="37" t="s">
        <v>4564</v>
      </c>
      <c r="E1512" s="37" t="s">
        <v>6075</v>
      </c>
      <c r="F1512" s="37"/>
      <c r="G1512" s="37"/>
    </row>
    <row r="1513" spans="1:7">
      <c r="A1513" s="37"/>
      <c r="B1513" s="37" t="s">
        <v>6095</v>
      </c>
      <c r="C1513" s="37" t="s">
        <v>4563</v>
      </c>
      <c r="D1513" s="37" t="s">
        <v>4564</v>
      </c>
      <c r="E1513" s="37" t="s">
        <v>6075</v>
      </c>
      <c r="F1513" s="37"/>
      <c r="G1513" s="37"/>
    </row>
    <row r="1514" spans="1:7">
      <c r="A1514" s="37"/>
      <c r="B1514" s="37" t="s">
        <v>6096</v>
      </c>
      <c r="C1514" s="37" t="s">
        <v>4563</v>
      </c>
      <c r="D1514" s="37" t="s">
        <v>4564</v>
      </c>
      <c r="E1514" s="37" t="s">
        <v>6075</v>
      </c>
      <c r="F1514" s="37"/>
      <c r="G1514" s="37"/>
    </row>
    <row r="1515" spans="1:7">
      <c r="A1515" s="37"/>
      <c r="B1515" s="37" t="s">
        <v>4580</v>
      </c>
      <c r="C1515" s="37" t="s">
        <v>4576</v>
      </c>
      <c r="D1515" s="37" t="s">
        <v>4577</v>
      </c>
      <c r="E1515" s="37" t="s">
        <v>6075</v>
      </c>
      <c r="F1515" s="37"/>
      <c r="G1515" s="37"/>
    </row>
    <row r="1516" spans="1:7">
      <c r="A1516" s="37"/>
      <c r="B1516" s="37" t="s">
        <v>4596</v>
      </c>
      <c r="C1516" s="37" t="s">
        <v>4591</v>
      </c>
      <c r="D1516" s="37" t="s">
        <v>4592</v>
      </c>
      <c r="E1516" s="37" t="s">
        <v>2674</v>
      </c>
      <c r="F1516" s="37"/>
      <c r="G1516" s="37"/>
    </row>
    <row r="1517" spans="1:7">
      <c r="A1517" s="37"/>
      <c r="B1517" s="37" t="s">
        <v>4604</v>
      </c>
      <c r="C1517" s="37" t="s">
        <v>4599</v>
      </c>
      <c r="D1517" s="37" t="s">
        <v>4600</v>
      </c>
      <c r="E1517" s="37" t="s">
        <v>2674</v>
      </c>
      <c r="F1517" s="37"/>
      <c r="G1517" s="37"/>
    </row>
    <row r="1518" spans="1:7">
      <c r="A1518" s="37"/>
      <c r="B1518" s="37" t="s">
        <v>6097</v>
      </c>
      <c r="C1518" s="37" t="s">
        <v>4607</v>
      </c>
      <c r="D1518" s="37" t="s">
        <v>4608</v>
      </c>
      <c r="E1518" s="37" t="s">
        <v>2674</v>
      </c>
      <c r="F1518" s="37"/>
      <c r="G1518" s="37"/>
    </row>
    <row r="1519" spans="1:7">
      <c r="A1519" s="37"/>
      <c r="B1519" s="37" t="s">
        <v>6098</v>
      </c>
      <c r="C1519" s="37" t="s">
        <v>4607</v>
      </c>
      <c r="D1519" s="37" t="s">
        <v>4608</v>
      </c>
      <c r="E1519" s="37" t="s">
        <v>2674</v>
      </c>
      <c r="F1519" s="37"/>
      <c r="G1519" s="37"/>
    </row>
    <row r="1520" spans="1:7">
      <c r="A1520" s="37"/>
      <c r="B1520" s="37" t="s">
        <v>4620</v>
      </c>
      <c r="C1520" s="37" t="s">
        <v>4616</v>
      </c>
      <c r="D1520" s="37" t="s">
        <v>2375</v>
      </c>
      <c r="E1520" s="37" t="s">
        <v>2674</v>
      </c>
      <c r="F1520" s="37"/>
      <c r="G1520" s="37"/>
    </row>
    <row r="1521" spans="1:7">
      <c r="A1521" s="37"/>
      <c r="B1521" s="37"/>
      <c r="C1521" s="37"/>
      <c r="D1521" s="37"/>
      <c r="E1521" s="37"/>
      <c r="F1521" s="37"/>
      <c r="G1521" s="37"/>
    </row>
    <row r="1522" spans="1:7">
      <c r="A1522" s="37"/>
      <c r="B1522" s="37"/>
      <c r="C1522" s="37"/>
      <c r="D1522" s="37"/>
      <c r="E1522" s="37"/>
      <c r="F1522" s="37"/>
      <c r="G1522" s="37"/>
    </row>
    <row r="1523" spans="1:7">
      <c r="A1523" s="37"/>
      <c r="B1523" s="37"/>
      <c r="C1523" s="37"/>
      <c r="D1523" s="37"/>
      <c r="E1523" s="37"/>
      <c r="F1523" s="37"/>
      <c r="G1523" s="37"/>
    </row>
    <row r="1524" spans="1:7">
      <c r="A1524" s="37"/>
      <c r="B1524" s="37"/>
      <c r="C1524" s="37"/>
      <c r="D1524" s="37"/>
      <c r="E1524" s="37"/>
      <c r="F1524" s="37"/>
      <c r="G1524" s="37"/>
    </row>
    <row r="1525" spans="1:7">
      <c r="A1525" s="37"/>
      <c r="B1525" s="37"/>
      <c r="C1525" s="37"/>
      <c r="D1525" s="37"/>
      <c r="E1525" s="37"/>
      <c r="F1525" s="37"/>
      <c r="G1525" s="37"/>
    </row>
    <row r="1526" spans="1:7">
      <c r="A1526" s="37"/>
      <c r="B1526" s="37"/>
      <c r="C1526" s="37"/>
      <c r="D1526" s="37"/>
      <c r="E1526" s="37"/>
      <c r="F1526" s="37"/>
      <c r="G1526" s="37"/>
    </row>
    <row r="1527" spans="1:7">
      <c r="A1527" s="37"/>
      <c r="B1527" s="37"/>
      <c r="C1527" s="37"/>
      <c r="D1527" s="37"/>
      <c r="E1527" s="37"/>
      <c r="F1527" s="37"/>
      <c r="G1527" s="37"/>
    </row>
    <row r="1528" spans="1:7">
      <c r="A1528" s="37"/>
      <c r="B1528" s="37"/>
      <c r="C1528" s="37"/>
      <c r="D1528" s="37"/>
      <c r="E1528" s="37"/>
      <c r="F1528" s="37"/>
      <c r="G1528" s="37"/>
    </row>
    <row r="1529" spans="1:7">
      <c r="A1529" s="37"/>
      <c r="B1529" s="37"/>
      <c r="C1529" s="37"/>
      <c r="D1529" s="37"/>
      <c r="E1529" s="37"/>
      <c r="F1529" s="37"/>
      <c r="G1529" s="37"/>
    </row>
    <row r="1530" spans="1:7">
      <c r="A1530" s="37"/>
      <c r="B1530" s="37"/>
      <c r="C1530" s="37"/>
      <c r="D1530" s="37"/>
      <c r="E1530" s="37"/>
      <c r="F1530" s="37"/>
      <c r="G1530" s="37"/>
    </row>
    <row r="1531" spans="1:7">
      <c r="A1531" s="37"/>
      <c r="B1531" s="37"/>
      <c r="C1531" s="37"/>
      <c r="D1531" s="37"/>
      <c r="E1531" s="37"/>
      <c r="F1531" s="37"/>
      <c r="G1531" s="37"/>
    </row>
    <row r="1532" spans="1:7">
      <c r="A1532" s="37"/>
      <c r="B1532" s="37"/>
      <c r="C1532" s="37"/>
      <c r="D1532" s="37"/>
      <c r="E1532" s="37"/>
      <c r="F1532" s="37"/>
      <c r="G1532" s="37"/>
    </row>
    <row r="1533" spans="1:7">
      <c r="A1533" s="37"/>
      <c r="B1533" s="37"/>
      <c r="C1533" s="37"/>
      <c r="D1533" s="37"/>
      <c r="E1533" s="37"/>
      <c r="F1533" s="37"/>
      <c r="G1533" s="37"/>
    </row>
    <row r="1534" spans="1:7">
      <c r="A1534" s="37"/>
      <c r="B1534" s="37"/>
      <c r="C1534" s="37"/>
      <c r="D1534" s="37"/>
      <c r="E1534" s="37"/>
      <c r="F1534" s="37"/>
      <c r="G1534" s="37"/>
    </row>
    <row r="1535" spans="1:7">
      <c r="A1535" s="37"/>
      <c r="B1535" s="37"/>
      <c r="C1535" s="37"/>
      <c r="D1535" s="37"/>
      <c r="E1535" s="37"/>
      <c r="F1535" s="37"/>
      <c r="G1535" s="37"/>
    </row>
    <row r="1536" spans="1:7">
      <c r="A1536" s="37"/>
      <c r="B1536" s="37"/>
      <c r="C1536" s="37"/>
      <c r="D1536" s="37"/>
      <c r="E1536" s="37"/>
      <c r="F1536" s="37"/>
      <c r="G1536" s="37"/>
    </row>
    <row r="1537" spans="1:7">
      <c r="A1537" s="37"/>
      <c r="B1537" s="37"/>
      <c r="C1537" s="37"/>
      <c r="D1537" s="37"/>
      <c r="E1537" s="37"/>
      <c r="F1537" s="37"/>
      <c r="G1537" s="37"/>
    </row>
    <row r="1538" spans="1:7">
      <c r="A1538" s="37"/>
      <c r="B1538" s="37"/>
      <c r="C1538" s="37"/>
      <c r="D1538" s="37"/>
      <c r="E1538" s="37"/>
      <c r="F1538" s="37"/>
      <c r="G1538" s="37"/>
    </row>
    <row r="1539" spans="1:7">
      <c r="A1539" s="37"/>
      <c r="B1539" s="37"/>
      <c r="C1539" s="37"/>
      <c r="D1539" s="37"/>
      <c r="E1539" s="37"/>
      <c r="F1539" s="37"/>
      <c r="G1539" s="37"/>
    </row>
    <row r="1540" spans="1:7">
      <c r="A1540" s="37"/>
      <c r="B1540" s="37"/>
      <c r="C1540" s="37"/>
      <c r="D1540" s="37"/>
      <c r="E1540" s="37"/>
      <c r="F1540" s="37"/>
      <c r="G1540" s="37"/>
    </row>
    <row r="1541" spans="1:7">
      <c r="A1541" s="37"/>
      <c r="B1541" s="37"/>
      <c r="C1541" s="37"/>
      <c r="D1541" s="37"/>
      <c r="E1541" s="37"/>
      <c r="F1541" s="37"/>
      <c r="G1541" s="37"/>
    </row>
    <row r="1542" spans="1:7">
      <c r="A1542" s="37"/>
      <c r="B1542" s="37"/>
      <c r="C1542" s="37"/>
      <c r="D1542" s="37"/>
      <c r="E1542" s="37"/>
      <c r="F1542" s="37"/>
      <c r="G1542" s="37"/>
    </row>
    <row r="1543" spans="1:7">
      <c r="A1543" s="37"/>
      <c r="B1543" s="37"/>
      <c r="C1543" s="37"/>
      <c r="D1543" s="37"/>
      <c r="E1543" s="37"/>
      <c r="F1543" s="37"/>
      <c r="G1543" s="37"/>
    </row>
    <row r="1544" spans="1:7">
      <c r="A1544" s="37"/>
      <c r="B1544" s="37"/>
      <c r="C1544" s="37"/>
      <c r="D1544" s="37"/>
      <c r="E1544" s="37"/>
      <c r="F1544" s="37"/>
      <c r="G1544" s="37"/>
    </row>
    <row r="1545" spans="1:7">
      <c r="A1545" s="37"/>
      <c r="B1545" s="37"/>
      <c r="C1545" s="37"/>
      <c r="D1545" s="37"/>
      <c r="E1545" s="37"/>
      <c r="F1545" s="37"/>
      <c r="G1545" s="37"/>
    </row>
    <row r="1546" spans="1:7">
      <c r="A1546" s="37"/>
      <c r="B1546" s="37"/>
      <c r="C1546" s="37"/>
      <c r="D1546" s="37"/>
      <c r="E1546" s="37"/>
      <c r="F1546" s="37"/>
      <c r="G1546" s="37"/>
    </row>
    <row r="1547" spans="1:7">
      <c r="A1547" s="37"/>
      <c r="B1547" s="37"/>
      <c r="C1547" s="37"/>
      <c r="D1547" s="37"/>
      <c r="E1547" s="37"/>
      <c r="F1547" s="37"/>
      <c r="G1547" s="37"/>
    </row>
    <row r="1548" spans="1:7">
      <c r="A1548" s="37"/>
      <c r="B1548" s="37"/>
      <c r="C1548" s="37"/>
      <c r="D1548" s="37"/>
      <c r="E1548" s="37"/>
      <c r="F1548" s="37"/>
      <c r="G1548" s="37"/>
    </row>
    <row r="1549" spans="1:7">
      <c r="A1549" s="37"/>
      <c r="B1549" s="37"/>
      <c r="C1549" s="37"/>
      <c r="D1549" s="37"/>
      <c r="E1549" s="37"/>
      <c r="F1549" s="37"/>
      <c r="G1549" s="37"/>
    </row>
    <row r="1550" spans="1:7">
      <c r="A1550" s="37"/>
      <c r="B1550" s="37"/>
      <c r="C1550" s="37"/>
      <c r="D1550" s="37"/>
      <c r="E1550" s="37"/>
      <c r="F1550" s="37"/>
      <c r="G1550" s="37"/>
    </row>
    <row r="1551" spans="1:7">
      <c r="A1551" s="37"/>
      <c r="B1551" s="37"/>
      <c r="C1551" s="37"/>
      <c r="D1551" s="37"/>
      <c r="E1551" s="37"/>
      <c r="F1551" s="37"/>
      <c r="G1551" s="37"/>
    </row>
    <row r="1552" spans="1:7">
      <c r="A1552" s="37"/>
      <c r="B1552" s="37"/>
      <c r="C1552" s="37"/>
      <c r="D1552" s="37"/>
      <c r="E1552" s="37"/>
      <c r="F1552" s="37"/>
      <c r="G1552" s="37"/>
    </row>
    <row r="1553" spans="1:7">
      <c r="A1553" s="37"/>
      <c r="B1553" s="37"/>
      <c r="C1553" s="37"/>
      <c r="D1553" s="37"/>
      <c r="E1553" s="37"/>
      <c r="F1553" s="37"/>
      <c r="G1553" s="37"/>
    </row>
    <row r="1554" spans="1:7">
      <c r="A1554" s="37"/>
      <c r="B1554" s="37"/>
      <c r="C1554" s="37"/>
      <c r="D1554" s="37"/>
      <c r="E1554" s="37"/>
      <c r="F1554" s="37"/>
      <c r="G1554" s="37"/>
    </row>
    <row r="1555" spans="1:7">
      <c r="A1555" s="37"/>
      <c r="B1555" s="37"/>
      <c r="C1555" s="37"/>
      <c r="D1555" s="37"/>
      <c r="E1555" s="37"/>
      <c r="F1555" s="37"/>
      <c r="G1555" s="37"/>
    </row>
    <row r="1556" spans="1:7">
      <c r="A1556" s="37"/>
      <c r="B1556" s="37"/>
      <c r="C1556" s="37"/>
      <c r="D1556" s="37"/>
      <c r="E1556" s="37"/>
      <c r="F1556" s="37"/>
      <c r="G1556" s="37"/>
    </row>
    <row r="1557" spans="1:7">
      <c r="A1557" s="37"/>
      <c r="B1557" s="37"/>
      <c r="C1557" s="37"/>
      <c r="D1557" s="37"/>
      <c r="E1557" s="37"/>
      <c r="F1557" s="37"/>
      <c r="G1557" s="37"/>
    </row>
    <row r="1558" spans="1:7">
      <c r="A1558" s="37"/>
      <c r="B1558" s="37"/>
      <c r="C1558" s="37"/>
      <c r="D1558" s="37"/>
      <c r="E1558" s="37"/>
      <c r="F1558" s="37"/>
      <c r="G1558" s="37"/>
    </row>
    <row r="1559" spans="1:7">
      <c r="A1559" s="37"/>
      <c r="B1559" s="37"/>
      <c r="C1559" s="37"/>
      <c r="D1559" s="37"/>
      <c r="E1559" s="37"/>
      <c r="F1559" s="37"/>
      <c r="G1559" s="37"/>
    </row>
    <row r="1560" spans="1:7">
      <c r="A1560" s="37"/>
      <c r="B1560" s="37"/>
      <c r="C1560" s="37"/>
      <c r="D1560" s="37"/>
      <c r="E1560" s="37"/>
      <c r="F1560" s="37"/>
      <c r="G1560" s="37"/>
    </row>
    <row r="1561" spans="1:7">
      <c r="A1561" s="37"/>
      <c r="B1561" s="37"/>
      <c r="C1561" s="37"/>
      <c r="D1561" s="37"/>
      <c r="E1561" s="37"/>
      <c r="F1561" s="37"/>
      <c r="G1561" s="37"/>
    </row>
    <row r="1562" spans="1:7">
      <c r="A1562" s="37"/>
      <c r="B1562" s="37"/>
      <c r="C1562" s="37"/>
      <c r="D1562" s="37"/>
      <c r="E1562" s="37"/>
      <c r="F1562" s="37"/>
      <c r="G1562" s="37"/>
    </row>
    <row r="1563" spans="1:7">
      <c r="A1563" s="37"/>
      <c r="B1563" s="37"/>
      <c r="C1563" s="37"/>
      <c r="D1563" s="37"/>
      <c r="E1563" s="37"/>
      <c r="F1563" s="37"/>
      <c r="G1563" s="37"/>
    </row>
    <row r="1564" spans="1:7">
      <c r="A1564" s="37"/>
      <c r="B1564" s="37"/>
      <c r="C1564" s="37"/>
      <c r="D1564" s="37"/>
      <c r="E1564" s="37"/>
      <c r="F1564" s="37"/>
      <c r="G1564" s="37"/>
    </row>
    <row r="1565" spans="1:7">
      <c r="A1565" s="37"/>
      <c r="B1565" s="37"/>
      <c r="C1565" s="37"/>
      <c r="D1565" s="37"/>
      <c r="E1565" s="37"/>
      <c r="F1565" s="37"/>
      <c r="G1565" s="37"/>
    </row>
    <row r="1566" spans="1:7">
      <c r="A1566" s="37"/>
      <c r="B1566" s="37"/>
      <c r="C1566" s="37"/>
      <c r="D1566" s="37"/>
      <c r="E1566" s="37"/>
      <c r="F1566" s="37"/>
      <c r="G1566" s="37"/>
    </row>
    <row r="1567" spans="1:7">
      <c r="A1567" s="37"/>
      <c r="B1567" s="37"/>
      <c r="C1567" s="37"/>
      <c r="D1567" s="37"/>
      <c r="E1567" s="37"/>
      <c r="F1567" s="37"/>
      <c r="G1567" s="37"/>
    </row>
    <row r="1568" spans="1:7">
      <c r="A1568" s="37"/>
      <c r="B1568" s="37"/>
      <c r="C1568" s="37"/>
      <c r="D1568" s="37"/>
      <c r="E1568" s="37"/>
      <c r="F1568" s="37"/>
      <c r="G1568" s="37"/>
    </row>
    <row r="1569" spans="1:7">
      <c r="A1569" s="37"/>
      <c r="B1569" s="37"/>
      <c r="C1569" s="37"/>
      <c r="D1569" s="37"/>
      <c r="E1569" s="37"/>
      <c r="F1569" s="37"/>
      <c r="G1569" s="37"/>
    </row>
    <row r="1570" spans="1:7">
      <c r="A1570" s="37"/>
      <c r="B1570" s="37"/>
      <c r="C1570" s="37"/>
      <c r="D1570" s="37"/>
      <c r="E1570" s="37"/>
      <c r="F1570" s="37"/>
      <c r="G1570" s="37"/>
    </row>
    <row r="1571" spans="1:7">
      <c r="A1571" s="37"/>
      <c r="B1571" s="37"/>
      <c r="C1571" s="37"/>
      <c r="D1571" s="37"/>
      <c r="E1571" s="37"/>
      <c r="F1571" s="37"/>
      <c r="G1571" s="37"/>
    </row>
    <row r="1572" spans="1:7">
      <c r="A1572" s="37"/>
      <c r="B1572" s="37"/>
      <c r="C1572" s="37"/>
      <c r="D1572" s="37"/>
      <c r="E1572" s="37"/>
      <c r="F1572" s="37"/>
      <c r="G1572" s="37"/>
    </row>
    <row r="1573" spans="1:7">
      <c r="A1573" s="37"/>
      <c r="B1573" s="37"/>
      <c r="C1573" s="37"/>
      <c r="D1573" s="37"/>
      <c r="E1573" s="37"/>
      <c r="F1573" s="37"/>
      <c r="G1573" s="37"/>
    </row>
    <row r="1574" spans="1:7">
      <c r="A1574" s="37"/>
      <c r="B1574" s="37"/>
      <c r="C1574" s="37"/>
      <c r="D1574" s="37"/>
      <c r="E1574" s="37"/>
      <c r="F1574" s="37"/>
      <c r="G1574" s="37"/>
    </row>
    <row r="1575" spans="1:7">
      <c r="A1575" s="37"/>
      <c r="B1575" s="37"/>
      <c r="C1575" s="37"/>
      <c r="D1575" s="37"/>
      <c r="E1575" s="37"/>
      <c r="F1575" s="37"/>
      <c r="G1575" s="37"/>
    </row>
    <row r="1576" spans="1:7">
      <c r="A1576" s="37"/>
      <c r="B1576" s="37"/>
      <c r="C1576" s="37"/>
      <c r="D1576" s="37"/>
      <c r="E1576" s="37"/>
      <c r="F1576" s="37"/>
      <c r="G1576" s="37"/>
    </row>
    <row r="1577" spans="1:7">
      <c r="A1577" s="37"/>
      <c r="B1577" s="37"/>
      <c r="C1577" s="37"/>
      <c r="D1577" s="37"/>
      <c r="E1577" s="37"/>
      <c r="F1577" s="37"/>
      <c r="G1577" s="37"/>
    </row>
    <row r="1578" spans="1:7">
      <c r="A1578" s="37"/>
      <c r="B1578" s="37"/>
      <c r="C1578" s="37"/>
      <c r="D1578" s="37"/>
      <c r="E1578" s="37"/>
      <c r="F1578" s="37"/>
      <c r="G1578" s="37"/>
    </row>
    <row r="1579" spans="1:7">
      <c r="A1579" s="37"/>
      <c r="B1579" s="37"/>
      <c r="C1579" s="37"/>
      <c r="D1579" s="37"/>
      <c r="E1579" s="37"/>
      <c r="F1579" s="37"/>
      <c r="G1579" s="37"/>
    </row>
    <row r="1580" spans="1:7">
      <c r="A1580" s="37"/>
      <c r="B1580" s="37"/>
      <c r="C1580" s="37"/>
      <c r="D1580" s="37"/>
      <c r="E1580" s="37"/>
      <c r="F1580" s="37"/>
      <c r="G1580" s="37"/>
    </row>
    <row r="1581" spans="1:7">
      <c r="A1581" s="37"/>
      <c r="B1581" s="37"/>
      <c r="C1581" s="37"/>
      <c r="D1581" s="37"/>
      <c r="E1581" s="37"/>
      <c r="F1581" s="37"/>
      <c r="G1581" s="37"/>
    </row>
    <row r="1582" spans="1:7">
      <c r="A1582" s="37"/>
      <c r="B1582" s="37"/>
      <c r="C1582" s="37"/>
      <c r="D1582" s="37"/>
      <c r="E1582" s="37"/>
      <c r="F1582" s="37"/>
      <c r="G1582" s="37"/>
    </row>
    <row r="1583" spans="1:7">
      <c r="A1583" s="37"/>
      <c r="B1583" s="37"/>
      <c r="C1583" s="37"/>
      <c r="D1583" s="37"/>
      <c r="E1583" s="37"/>
      <c r="F1583" s="37"/>
      <c r="G1583" s="37"/>
    </row>
    <row r="1584" spans="1:7">
      <c r="A1584" s="37"/>
      <c r="B1584" s="37"/>
      <c r="C1584" s="37"/>
      <c r="D1584" s="37"/>
      <c r="E1584" s="37"/>
      <c r="F1584" s="37"/>
      <c r="G1584" s="37"/>
    </row>
    <row r="1585" spans="1:7">
      <c r="A1585" s="37"/>
      <c r="B1585" s="37"/>
      <c r="C1585" s="37"/>
      <c r="D1585" s="37"/>
      <c r="E1585" s="37"/>
      <c r="F1585" s="37"/>
      <c r="G1585" s="37"/>
    </row>
    <row r="1586" spans="1:7">
      <c r="A1586" s="37"/>
      <c r="B1586" s="37"/>
      <c r="C1586" s="37"/>
      <c r="D1586" s="37"/>
      <c r="E1586" s="37"/>
      <c r="F1586" s="37"/>
      <c r="G1586" s="37"/>
    </row>
    <row r="1587" spans="1:7">
      <c r="A1587" s="37"/>
      <c r="B1587" s="37"/>
      <c r="C1587" s="37"/>
      <c r="D1587" s="37"/>
      <c r="E1587" s="37"/>
      <c r="F1587" s="37"/>
      <c r="G1587" s="37"/>
    </row>
    <row r="1588" spans="1:7">
      <c r="A1588" s="37"/>
      <c r="B1588" s="37"/>
      <c r="C1588" s="37"/>
      <c r="D1588" s="37"/>
      <c r="E1588" s="37"/>
      <c r="F1588" s="37"/>
      <c r="G1588" s="37"/>
    </row>
    <row r="1589" spans="1:7">
      <c r="A1589" s="37"/>
      <c r="B1589" s="37"/>
      <c r="C1589" s="37"/>
      <c r="D1589" s="37"/>
      <c r="E1589" s="37"/>
      <c r="F1589" s="37"/>
      <c r="G1589" s="37"/>
    </row>
    <row r="1590" spans="1:7">
      <c r="A1590" s="37"/>
      <c r="B1590" s="37"/>
      <c r="C1590" s="37"/>
      <c r="D1590" s="37"/>
      <c r="E1590" s="37"/>
      <c r="F1590" s="37"/>
      <c r="G1590" s="37"/>
    </row>
    <row r="1591" spans="1:7">
      <c r="A1591" s="37"/>
      <c r="B1591" s="37"/>
      <c r="C1591" s="37"/>
      <c r="D1591" s="37"/>
      <c r="E1591" s="37"/>
      <c r="F1591" s="37"/>
      <c r="G1591" s="37"/>
    </row>
    <row r="1592" spans="1:7">
      <c r="A1592" s="37"/>
      <c r="B1592" s="37"/>
      <c r="C1592" s="37"/>
      <c r="D1592" s="37"/>
      <c r="E1592" s="37"/>
      <c r="F1592" s="37"/>
      <c r="G1592" s="37"/>
    </row>
    <row r="1593" spans="1:7">
      <c r="A1593" s="37"/>
      <c r="B1593" s="37"/>
      <c r="C1593" s="37"/>
      <c r="D1593" s="37"/>
      <c r="E1593" s="37"/>
      <c r="F1593" s="37"/>
      <c r="G1593" s="37"/>
    </row>
    <row r="1594" spans="1:7">
      <c r="A1594" s="37"/>
      <c r="B1594" s="37"/>
      <c r="C1594" s="37"/>
      <c r="D1594" s="37"/>
      <c r="E1594" s="37"/>
      <c r="F1594" s="37"/>
      <c r="G1594" s="37"/>
    </row>
    <row r="1595" spans="1:7">
      <c r="A1595" s="37"/>
      <c r="B1595" s="37"/>
      <c r="C1595" s="37"/>
      <c r="D1595" s="37"/>
      <c r="E1595" s="37"/>
      <c r="F1595" s="37"/>
      <c r="G1595" s="37"/>
    </row>
    <row r="1596" spans="1:7">
      <c r="A1596" s="37"/>
      <c r="B1596" s="37"/>
      <c r="C1596" s="37"/>
      <c r="D1596" s="37"/>
      <c r="E1596" s="37"/>
      <c r="F1596" s="37"/>
      <c r="G1596" s="37"/>
    </row>
    <row r="1597" spans="1:7">
      <c r="A1597" s="37"/>
      <c r="B1597" s="37"/>
      <c r="C1597" s="37"/>
      <c r="D1597" s="37"/>
      <c r="E1597" s="37"/>
      <c r="F1597" s="37"/>
      <c r="G1597" s="37"/>
    </row>
    <row r="1598" spans="1:7">
      <c r="A1598" s="37"/>
      <c r="B1598" s="37"/>
      <c r="C1598" s="37"/>
      <c r="D1598" s="37"/>
      <c r="E1598" s="37"/>
      <c r="F1598" s="37"/>
      <c r="G1598" s="37"/>
    </row>
    <row r="1599" spans="1:7">
      <c r="A1599" s="37"/>
      <c r="B1599" s="37"/>
      <c r="C1599" s="37"/>
      <c r="D1599" s="37"/>
      <c r="E1599" s="37"/>
      <c r="F1599" s="37"/>
      <c r="G1599" s="37"/>
    </row>
    <row r="1600" spans="1:7">
      <c r="A1600" s="37"/>
      <c r="B1600" s="37"/>
      <c r="C1600" s="37"/>
      <c r="D1600" s="37"/>
      <c r="E1600" s="37"/>
      <c r="F1600" s="37"/>
      <c r="G1600" s="37"/>
    </row>
    <row r="1601" spans="1:7">
      <c r="A1601" s="37"/>
      <c r="B1601" s="37"/>
      <c r="C1601" s="37"/>
      <c r="D1601" s="37"/>
      <c r="E1601" s="37"/>
      <c r="F1601" s="37"/>
      <c r="G1601" s="37"/>
    </row>
    <row r="1602" spans="1:7">
      <c r="A1602" s="37"/>
      <c r="B1602" s="37"/>
      <c r="C1602" s="37"/>
      <c r="D1602" s="37"/>
      <c r="E1602" s="37"/>
      <c r="F1602" s="37"/>
      <c r="G1602" s="37"/>
    </row>
    <row r="1603" spans="1:7">
      <c r="A1603" s="37"/>
      <c r="B1603" s="37"/>
      <c r="C1603" s="37"/>
      <c r="D1603" s="37"/>
      <c r="E1603" s="37"/>
      <c r="F1603" s="37"/>
      <c r="G1603" s="37"/>
    </row>
    <row r="1604" spans="1:7">
      <c r="A1604" s="37"/>
      <c r="B1604" s="37"/>
      <c r="C1604" s="37"/>
      <c r="D1604" s="37"/>
      <c r="E1604" s="37"/>
      <c r="F1604" s="37"/>
      <c r="G1604" s="37"/>
    </row>
    <row r="1605" spans="1:7">
      <c r="A1605" s="37"/>
      <c r="B1605" s="37"/>
      <c r="C1605" s="37"/>
      <c r="D1605" s="37"/>
      <c r="E1605" s="37"/>
      <c r="F1605" s="37"/>
      <c r="G1605" s="37"/>
    </row>
    <row r="1606" spans="1:7">
      <c r="A1606" s="37"/>
      <c r="B1606" s="37"/>
      <c r="C1606" s="37"/>
      <c r="D1606" s="37"/>
      <c r="E1606" s="37"/>
      <c r="F1606" s="37"/>
      <c r="G1606" s="37"/>
    </row>
    <row r="1607" spans="1:7">
      <c r="A1607" s="37"/>
      <c r="B1607" s="37"/>
      <c r="C1607" s="37"/>
      <c r="D1607" s="37"/>
      <c r="E1607" s="37"/>
      <c r="F1607" s="37"/>
      <c r="G1607" s="37"/>
    </row>
    <row r="1608" spans="1:7">
      <c r="A1608" s="37"/>
      <c r="B1608" s="37"/>
      <c r="C1608" s="37"/>
      <c r="D1608" s="37"/>
      <c r="E1608" s="37"/>
      <c r="F1608" s="37"/>
      <c r="G1608" s="37"/>
    </row>
    <row r="1609" spans="1:7">
      <c r="A1609" s="37"/>
      <c r="B1609" s="37"/>
      <c r="C1609" s="37"/>
      <c r="D1609" s="37"/>
      <c r="E1609" s="37"/>
      <c r="F1609" s="37"/>
      <c r="G1609" s="37"/>
    </row>
    <row r="1610" spans="1:7">
      <c r="A1610" s="37"/>
      <c r="B1610" s="37"/>
      <c r="C1610" s="37"/>
      <c r="D1610" s="37"/>
      <c r="E1610" s="37"/>
      <c r="F1610" s="37"/>
      <c r="G1610" s="37"/>
    </row>
    <row r="1611" spans="1:7">
      <c r="A1611" s="37"/>
      <c r="B1611" s="37"/>
      <c r="C1611" s="37"/>
      <c r="D1611" s="37"/>
      <c r="E1611" s="37"/>
      <c r="F1611" s="37"/>
      <c r="G1611" s="37"/>
    </row>
    <row r="1612" spans="1:7">
      <c r="A1612" s="37"/>
      <c r="B1612" s="37"/>
      <c r="C1612" s="37"/>
      <c r="D1612" s="37"/>
      <c r="E1612" s="37"/>
      <c r="F1612" s="37"/>
      <c r="G1612" s="37"/>
    </row>
    <row r="1613" spans="1:7">
      <c r="A1613" s="37"/>
      <c r="B1613" s="37"/>
      <c r="C1613" s="37"/>
      <c r="D1613" s="37"/>
      <c r="E1613" s="37"/>
      <c r="F1613" s="37"/>
      <c r="G1613" s="37"/>
    </row>
    <row r="1614" spans="1:7">
      <c r="A1614" s="37"/>
      <c r="B1614" s="37"/>
      <c r="C1614" s="37"/>
      <c r="D1614" s="37"/>
      <c r="E1614" s="37"/>
      <c r="F1614" s="37"/>
      <c r="G1614" s="37"/>
    </row>
    <row r="1615" spans="1:7">
      <c r="A1615" s="37"/>
      <c r="B1615" s="37"/>
      <c r="C1615" s="37"/>
      <c r="D1615" s="37"/>
      <c r="E1615" s="37"/>
      <c r="F1615" s="37"/>
      <c r="G1615" s="37"/>
    </row>
    <row r="1616" spans="1:7">
      <c r="A1616" s="37"/>
      <c r="B1616" s="37"/>
      <c r="C1616" s="37"/>
      <c r="D1616" s="37"/>
      <c r="E1616" s="37"/>
      <c r="F1616" s="37"/>
      <c r="G1616" s="37"/>
    </row>
    <row r="1617" spans="1:7">
      <c r="A1617" s="37"/>
      <c r="B1617" s="37"/>
      <c r="C1617" s="37"/>
      <c r="D1617" s="37"/>
      <c r="E1617" s="37"/>
      <c r="F1617" s="37"/>
      <c r="G1617" s="37"/>
    </row>
    <row r="1618" spans="1:7">
      <c r="A1618" s="37"/>
      <c r="B1618" s="37"/>
      <c r="C1618" s="37"/>
      <c r="D1618" s="37"/>
      <c r="E1618" s="37"/>
      <c r="F1618" s="37"/>
      <c r="G1618" s="37"/>
    </row>
    <row r="1619" spans="1:7">
      <c r="A1619" s="37"/>
      <c r="B1619" s="37"/>
      <c r="C1619" s="37"/>
      <c r="D1619" s="37"/>
      <c r="E1619" s="37"/>
      <c r="F1619" s="37"/>
      <c r="G1619" s="37"/>
    </row>
    <row r="1620" spans="1:7">
      <c r="A1620" s="37"/>
      <c r="B1620" s="37"/>
      <c r="C1620" s="37"/>
      <c r="D1620" s="37"/>
      <c r="E1620" s="37"/>
      <c r="F1620" s="37"/>
      <c r="G1620" s="37"/>
    </row>
    <row r="1621" spans="1:7">
      <c r="A1621" s="37"/>
      <c r="B1621" s="37"/>
      <c r="C1621" s="37"/>
      <c r="D1621" s="37"/>
      <c r="E1621" s="37"/>
      <c r="F1621" s="37"/>
      <c r="G1621" s="37"/>
    </row>
    <row r="1622" spans="1:7">
      <c r="A1622" s="37"/>
      <c r="B1622" s="37"/>
      <c r="C1622" s="37"/>
      <c r="D1622" s="37"/>
      <c r="E1622" s="37"/>
      <c r="F1622" s="37"/>
      <c r="G1622" s="37"/>
    </row>
    <row r="1623" spans="1:7">
      <c r="A1623" s="37"/>
      <c r="B1623" s="37"/>
      <c r="C1623" s="37"/>
      <c r="D1623" s="37"/>
      <c r="E1623" s="37"/>
      <c r="F1623" s="37"/>
      <c r="G1623" s="37"/>
    </row>
    <row r="1624" spans="1:7">
      <c r="A1624" s="37"/>
      <c r="B1624" s="37"/>
      <c r="C1624" s="37"/>
      <c r="D1624" s="37"/>
      <c r="E1624" s="37"/>
      <c r="F1624" s="37"/>
      <c r="G1624" s="37"/>
    </row>
    <row r="1625" spans="1:7">
      <c r="A1625" s="37"/>
      <c r="B1625" s="37"/>
      <c r="C1625" s="37"/>
      <c r="D1625" s="37"/>
      <c r="E1625" s="37"/>
      <c r="F1625" s="37"/>
      <c r="G1625" s="37"/>
    </row>
    <row r="1626" spans="1:7">
      <c r="A1626" s="37"/>
      <c r="B1626" s="37"/>
      <c r="C1626" s="37"/>
      <c r="D1626" s="37"/>
      <c r="E1626" s="37"/>
      <c r="F1626" s="37"/>
      <c r="G1626" s="37"/>
    </row>
    <row r="1627" spans="1:7">
      <c r="A1627" s="37"/>
      <c r="B1627" s="37"/>
      <c r="C1627" s="37"/>
      <c r="D1627" s="37"/>
      <c r="E1627" s="37"/>
      <c r="F1627" s="37"/>
      <c r="G1627" s="37"/>
    </row>
    <row r="1628" spans="1:7">
      <c r="A1628" s="37"/>
      <c r="B1628" s="37"/>
      <c r="C1628" s="37"/>
      <c r="D1628" s="37"/>
      <c r="E1628" s="37"/>
      <c r="F1628" s="37"/>
      <c r="G1628" s="37"/>
    </row>
    <row r="1629" spans="1:7">
      <c r="A1629" s="37"/>
      <c r="B1629" s="37"/>
      <c r="C1629" s="37"/>
      <c r="D1629" s="37"/>
      <c r="E1629" s="37"/>
      <c r="F1629" s="37"/>
      <c r="G1629" s="37"/>
    </row>
    <row r="1630" spans="1:7">
      <c r="A1630" s="37"/>
      <c r="B1630" s="37"/>
      <c r="C1630" s="37"/>
      <c r="D1630" s="37"/>
      <c r="E1630" s="37"/>
      <c r="F1630" s="37"/>
      <c r="G1630" s="37"/>
    </row>
    <row r="1631" spans="1:7">
      <c r="A1631" s="37"/>
      <c r="B1631" s="37"/>
      <c r="C1631" s="37"/>
      <c r="D1631" s="37"/>
      <c r="E1631" s="37"/>
      <c r="F1631" s="37"/>
      <c r="G1631" s="37"/>
    </row>
    <row r="1632" spans="1:7">
      <c r="A1632" s="37"/>
      <c r="B1632" s="37"/>
      <c r="C1632" s="37"/>
      <c r="D1632" s="37"/>
      <c r="E1632" s="37"/>
      <c r="F1632" s="37"/>
      <c r="G1632" s="37"/>
    </row>
    <row r="1633" spans="1:7">
      <c r="A1633" s="37"/>
      <c r="B1633" s="37"/>
      <c r="C1633" s="37"/>
      <c r="D1633" s="37"/>
      <c r="E1633" s="37"/>
      <c r="F1633" s="37"/>
      <c r="G1633" s="37"/>
    </row>
    <row r="1634" spans="1:7">
      <c r="A1634" s="37"/>
      <c r="B1634" s="37"/>
      <c r="C1634" s="37"/>
      <c r="D1634" s="37"/>
      <c r="E1634" s="37"/>
      <c r="F1634" s="37"/>
      <c r="G1634" s="37"/>
    </row>
    <row r="1635" spans="1:7">
      <c r="A1635" s="37"/>
      <c r="B1635" s="37"/>
      <c r="C1635" s="37"/>
      <c r="D1635" s="37"/>
      <c r="E1635" s="37"/>
      <c r="F1635" s="37"/>
      <c r="G1635" s="37"/>
    </row>
    <row r="1636" spans="1:7">
      <c r="A1636" s="37"/>
      <c r="B1636" s="37"/>
      <c r="C1636" s="37"/>
      <c r="D1636" s="37"/>
      <c r="E1636" s="37"/>
      <c r="F1636" s="37"/>
      <c r="G1636" s="37"/>
    </row>
    <row r="1637" spans="1:7">
      <c r="A1637" s="37"/>
      <c r="B1637" s="37"/>
      <c r="C1637" s="37"/>
      <c r="D1637" s="37"/>
      <c r="E1637" s="37"/>
      <c r="F1637" s="37"/>
      <c r="G1637" s="37"/>
    </row>
    <row r="1638" spans="1:7">
      <c r="A1638" s="37"/>
      <c r="B1638" s="37"/>
      <c r="C1638" s="37"/>
      <c r="D1638" s="37"/>
      <c r="E1638" s="37"/>
      <c r="F1638" s="37"/>
      <c r="G1638" s="37"/>
    </row>
    <row r="1639" spans="1:7">
      <c r="A1639" s="37"/>
      <c r="B1639" s="37"/>
      <c r="C1639" s="37"/>
      <c r="D1639" s="37"/>
      <c r="E1639" s="37"/>
      <c r="F1639" s="37"/>
      <c r="G1639" s="37"/>
    </row>
    <row r="1640" spans="1:7">
      <c r="A1640" s="37"/>
      <c r="B1640" s="37"/>
      <c r="C1640" s="37"/>
      <c r="D1640" s="37"/>
      <c r="E1640" s="37"/>
      <c r="F1640" s="37"/>
      <c r="G1640" s="37"/>
    </row>
    <row r="1641" spans="1:7">
      <c r="A1641" s="37"/>
      <c r="B1641" s="37"/>
      <c r="C1641" s="37"/>
      <c r="D1641" s="37"/>
      <c r="E1641" s="37"/>
      <c r="F1641" s="37"/>
      <c r="G1641" s="37"/>
    </row>
    <row r="1642" spans="1:7">
      <c r="A1642" s="37"/>
      <c r="B1642" s="37"/>
      <c r="C1642" s="37"/>
      <c r="D1642" s="37"/>
      <c r="E1642" s="37"/>
      <c r="F1642" s="37"/>
      <c r="G1642" s="37"/>
    </row>
    <row r="1643" spans="1:7">
      <c r="A1643" s="37"/>
      <c r="B1643" s="37"/>
      <c r="C1643" s="37"/>
      <c r="D1643" s="37"/>
      <c r="E1643" s="37"/>
      <c r="F1643" s="37"/>
      <c r="G1643" s="37"/>
    </row>
    <row r="1644" spans="1:7">
      <c r="A1644" s="37"/>
      <c r="B1644" s="37"/>
      <c r="C1644" s="37"/>
      <c r="D1644" s="37"/>
      <c r="E1644" s="37"/>
      <c r="F1644" s="37"/>
      <c r="G1644" s="37"/>
    </row>
    <row r="1645" spans="1:7">
      <c r="A1645" s="37"/>
      <c r="B1645" s="37"/>
      <c r="C1645" s="37"/>
      <c r="D1645" s="37"/>
      <c r="E1645" s="37"/>
      <c r="F1645" s="37"/>
      <c r="G1645" s="37"/>
    </row>
    <row r="1646" spans="1:7">
      <c r="A1646" s="37"/>
      <c r="B1646" s="37"/>
      <c r="C1646" s="37"/>
      <c r="D1646" s="37"/>
      <c r="E1646" s="37"/>
      <c r="F1646" s="37"/>
      <c r="G1646" s="37"/>
    </row>
    <row r="1647" spans="1:7">
      <c r="A1647" s="37"/>
      <c r="B1647" s="37"/>
      <c r="C1647" s="37"/>
      <c r="D1647" s="37"/>
      <c r="E1647" s="37"/>
      <c r="F1647" s="37"/>
      <c r="G1647" s="37"/>
    </row>
    <row r="1648" spans="1:7">
      <c r="A1648" s="37"/>
      <c r="B1648" s="37"/>
      <c r="C1648" s="37"/>
      <c r="D1648" s="37"/>
      <c r="E1648" s="37"/>
      <c r="F1648" s="37"/>
      <c r="G1648" s="37"/>
    </row>
    <row r="1649" spans="1:7">
      <c r="A1649" s="37"/>
      <c r="B1649" s="37"/>
      <c r="C1649" s="37"/>
      <c r="D1649" s="37"/>
      <c r="E1649" s="37"/>
      <c r="F1649" s="37"/>
      <c r="G1649" s="37"/>
    </row>
    <row r="1650" spans="1:7">
      <c r="A1650" s="37"/>
      <c r="B1650" s="37"/>
      <c r="C1650" s="37"/>
      <c r="D1650" s="37"/>
      <c r="E1650" s="37"/>
      <c r="F1650" s="37"/>
      <c r="G1650" s="37"/>
    </row>
    <row r="1651" spans="1:7">
      <c r="A1651" s="37"/>
      <c r="B1651" s="37"/>
      <c r="C1651" s="37"/>
      <c r="D1651" s="37"/>
      <c r="E1651" s="37"/>
      <c r="F1651" s="37"/>
      <c r="G1651" s="37"/>
    </row>
    <row r="1652" spans="1:7">
      <c r="A1652" s="37"/>
      <c r="B1652" s="37"/>
      <c r="C1652" s="37"/>
      <c r="D1652" s="37"/>
      <c r="E1652" s="37"/>
      <c r="F1652" s="37"/>
      <c r="G1652" s="37"/>
    </row>
    <row r="1653" spans="1:7">
      <c r="A1653" s="37"/>
      <c r="B1653" s="37"/>
      <c r="C1653" s="37"/>
      <c r="D1653" s="37"/>
      <c r="E1653" s="37"/>
      <c r="F1653" s="37"/>
      <c r="G1653" s="37"/>
    </row>
    <row r="1654" spans="1:7">
      <c r="A1654" s="37"/>
      <c r="B1654" s="37"/>
      <c r="C1654" s="37"/>
      <c r="D1654" s="37"/>
      <c r="E1654" s="37"/>
      <c r="F1654" s="37"/>
      <c r="G1654" s="37"/>
    </row>
    <row r="1655" spans="1:7">
      <c r="A1655" s="37"/>
      <c r="B1655" s="37"/>
      <c r="C1655" s="37"/>
      <c r="D1655" s="37"/>
      <c r="E1655" s="37"/>
      <c r="F1655" s="37"/>
      <c r="G1655" s="37"/>
    </row>
    <row r="1656" spans="1:7">
      <c r="A1656" s="37"/>
      <c r="B1656" s="37"/>
      <c r="C1656" s="37"/>
      <c r="D1656" s="37"/>
      <c r="E1656" s="37"/>
      <c r="F1656" s="37"/>
      <c r="G1656" s="37"/>
    </row>
    <row r="1657" spans="1:7">
      <c r="A1657" s="37"/>
      <c r="B1657" s="37"/>
      <c r="C1657" s="37"/>
      <c r="D1657" s="37"/>
      <c r="E1657" s="37"/>
      <c r="F1657" s="37"/>
      <c r="G1657" s="37"/>
    </row>
    <row r="1658" spans="1:7">
      <c r="A1658" s="37"/>
      <c r="B1658" s="37"/>
      <c r="C1658" s="37"/>
      <c r="D1658" s="37"/>
      <c r="E1658" s="37"/>
      <c r="F1658" s="37"/>
      <c r="G1658" s="37"/>
    </row>
    <row r="1659" spans="1:7">
      <c r="A1659" s="37"/>
      <c r="B1659" s="37"/>
      <c r="C1659" s="37"/>
      <c r="D1659" s="37"/>
      <c r="E1659" s="37"/>
      <c r="F1659" s="37"/>
      <c r="G1659" s="37"/>
    </row>
    <row r="1660" spans="1:7">
      <c r="A1660" s="37"/>
      <c r="B1660" s="37"/>
      <c r="C1660" s="37"/>
      <c r="D1660" s="37"/>
      <c r="E1660" s="37"/>
      <c r="F1660" s="37"/>
      <c r="G1660" s="37"/>
    </row>
    <row r="1661" spans="1:7">
      <c r="A1661" s="37"/>
      <c r="B1661" s="37"/>
      <c r="C1661" s="37"/>
      <c r="D1661" s="37"/>
      <c r="E1661" s="37"/>
      <c r="F1661" s="37"/>
      <c r="G1661" s="37"/>
    </row>
    <row r="1662" spans="1:7">
      <c r="A1662" s="37"/>
      <c r="B1662" s="37"/>
      <c r="C1662" s="37"/>
      <c r="D1662" s="37"/>
      <c r="E1662" s="37"/>
      <c r="F1662" s="37"/>
      <c r="G1662" s="37"/>
    </row>
    <row r="1663" spans="1:7">
      <c r="A1663" s="37"/>
      <c r="B1663" s="37"/>
      <c r="C1663" s="37"/>
      <c r="D1663" s="37"/>
      <c r="E1663" s="37"/>
      <c r="F1663" s="37"/>
      <c r="G1663" s="37"/>
    </row>
    <row r="1664" spans="1:7">
      <c r="A1664" s="37"/>
      <c r="B1664" s="37"/>
      <c r="C1664" s="37"/>
      <c r="D1664" s="37"/>
      <c r="E1664" s="37"/>
      <c r="F1664" s="37"/>
      <c r="G1664" s="37"/>
    </row>
    <row r="1665" spans="1:7">
      <c r="A1665" s="37"/>
      <c r="B1665" s="37"/>
      <c r="C1665" s="37"/>
      <c r="D1665" s="37"/>
      <c r="E1665" s="37"/>
      <c r="F1665" s="37"/>
      <c r="G1665" s="37"/>
    </row>
    <row r="1666" spans="1:7">
      <c r="A1666" s="37"/>
      <c r="B1666" s="37"/>
      <c r="C1666" s="37"/>
      <c r="D1666" s="37"/>
      <c r="E1666" s="37"/>
      <c r="F1666" s="37"/>
      <c r="G1666" s="37"/>
    </row>
    <row r="1667" spans="1:7">
      <c r="A1667" s="37"/>
      <c r="B1667" s="37"/>
      <c r="C1667" s="37"/>
      <c r="D1667" s="37"/>
      <c r="E1667" s="37"/>
      <c r="F1667" s="37"/>
      <c r="G1667" s="37"/>
    </row>
    <row r="1668" spans="1:7">
      <c r="A1668" s="37"/>
      <c r="B1668" s="37"/>
      <c r="C1668" s="37"/>
      <c r="D1668" s="37"/>
      <c r="E1668" s="37"/>
      <c r="F1668" s="37"/>
      <c r="G1668" s="37"/>
    </row>
    <row r="1669" spans="1:7">
      <c r="A1669" s="37"/>
      <c r="B1669" s="37"/>
      <c r="C1669" s="37"/>
      <c r="D1669" s="37"/>
      <c r="E1669" s="37"/>
      <c r="F1669" s="37"/>
      <c r="G1669" s="37"/>
    </row>
    <row r="1670" spans="1:7">
      <c r="A1670" s="37"/>
      <c r="B1670" s="37"/>
      <c r="C1670" s="37"/>
      <c r="D1670" s="37"/>
      <c r="E1670" s="37"/>
      <c r="F1670" s="37"/>
      <c r="G1670" s="37"/>
    </row>
    <row r="1671" spans="1:7">
      <c r="A1671" s="37"/>
      <c r="B1671" s="37"/>
      <c r="C1671" s="37"/>
      <c r="D1671" s="37"/>
      <c r="E1671" s="37"/>
      <c r="F1671" s="37"/>
      <c r="G1671" s="37"/>
    </row>
    <row r="1672" spans="1:7">
      <c r="A1672" s="37"/>
      <c r="B1672" s="37"/>
      <c r="C1672" s="37"/>
      <c r="D1672" s="37"/>
      <c r="E1672" s="37"/>
      <c r="F1672" s="37"/>
      <c r="G1672" s="37"/>
    </row>
    <row r="1673" spans="1:7">
      <c r="A1673" s="37"/>
      <c r="B1673" s="37"/>
      <c r="C1673" s="37"/>
      <c r="D1673" s="37"/>
      <c r="E1673" s="37"/>
      <c r="F1673" s="37"/>
      <c r="G1673" s="37"/>
    </row>
    <row r="1674" spans="1:7">
      <c r="A1674" s="37"/>
      <c r="B1674" s="37"/>
      <c r="C1674" s="37"/>
      <c r="D1674" s="37"/>
      <c r="E1674" s="37"/>
      <c r="F1674" s="37"/>
      <c r="G1674" s="37"/>
    </row>
    <row r="1675" spans="1:7">
      <c r="A1675" s="37"/>
      <c r="B1675" s="37"/>
      <c r="C1675" s="37"/>
      <c r="D1675" s="37"/>
      <c r="E1675" s="37"/>
      <c r="F1675" s="37"/>
      <c r="G1675" s="37"/>
    </row>
    <row r="1676" spans="1:7">
      <c r="A1676" s="37"/>
      <c r="B1676" s="37"/>
      <c r="C1676" s="37"/>
      <c r="D1676" s="37"/>
      <c r="E1676" s="37"/>
      <c r="F1676" s="37"/>
      <c r="G1676" s="37"/>
    </row>
    <row r="1677" spans="1:7">
      <c r="A1677" s="37"/>
      <c r="B1677" s="37"/>
      <c r="C1677" s="37"/>
      <c r="D1677" s="37"/>
      <c r="E1677" s="37"/>
      <c r="F1677" s="37"/>
      <c r="G1677" s="37"/>
    </row>
    <row r="1678" spans="1:7">
      <c r="A1678" s="37"/>
      <c r="B1678" s="37"/>
      <c r="C1678" s="37"/>
      <c r="D1678" s="37"/>
      <c r="E1678" s="37"/>
      <c r="F1678" s="37"/>
      <c r="G1678" s="37"/>
    </row>
    <row r="1679" spans="1:7">
      <c r="A1679" s="37"/>
      <c r="B1679" s="37"/>
      <c r="C1679" s="37"/>
      <c r="D1679" s="37"/>
      <c r="E1679" s="37"/>
      <c r="F1679" s="37"/>
      <c r="G1679" s="37"/>
    </row>
    <row r="1680" spans="1:7">
      <c r="A1680" s="37"/>
      <c r="B1680" s="37"/>
      <c r="C1680" s="37"/>
      <c r="D1680" s="37"/>
      <c r="E1680" s="37"/>
      <c r="F1680" s="37"/>
      <c r="G1680" s="37"/>
    </row>
    <row r="1681" spans="1:7">
      <c r="A1681" s="37"/>
      <c r="B1681" s="37"/>
      <c r="C1681" s="37"/>
      <c r="D1681" s="37"/>
      <c r="E1681" s="37"/>
      <c r="F1681" s="37"/>
      <c r="G1681" s="37"/>
    </row>
    <row r="1682" spans="1:7">
      <c r="A1682" s="37"/>
      <c r="B1682" s="37"/>
      <c r="C1682" s="37"/>
      <c r="D1682" s="37"/>
      <c r="E1682" s="37"/>
      <c r="F1682" s="37"/>
      <c r="G1682" s="37"/>
    </row>
    <row r="1683" spans="1:7">
      <c r="A1683" s="37"/>
      <c r="B1683" s="37"/>
      <c r="C1683" s="37"/>
      <c r="D1683" s="37"/>
      <c r="E1683" s="37"/>
      <c r="F1683" s="37"/>
      <c r="G1683" s="37"/>
    </row>
    <row r="1684" spans="1:7">
      <c r="A1684" s="37"/>
      <c r="B1684" s="37"/>
      <c r="C1684" s="37"/>
      <c r="D1684" s="37"/>
      <c r="E1684" s="37"/>
      <c r="F1684" s="37"/>
      <c r="G1684" s="37"/>
    </row>
    <row r="1685" spans="1:7">
      <c r="A1685" s="37"/>
      <c r="B1685" s="37"/>
      <c r="C1685" s="37"/>
      <c r="D1685" s="37"/>
      <c r="E1685" s="37"/>
      <c r="F1685" s="37"/>
      <c r="G1685" s="37"/>
    </row>
    <row r="1686" spans="1:7">
      <c r="A1686" s="37"/>
      <c r="B1686" s="37"/>
      <c r="C1686" s="37"/>
      <c r="D1686" s="37"/>
      <c r="E1686" s="37"/>
      <c r="F1686" s="37"/>
      <c r="G1686" s="37"/>
    </row>
    <row r="1687" spans="1:7">
      <c r="A1687" s="37"/>
      <c r="B1687" s="37"/>
      <c r="C1687" s="37"/>
      <c r="D1687" s="37"/>
      <c r="E1687" s="37"/>
      <c r="F1687" s="37"/>
      <c r="G1687" s="37"/>
    </row>
    <row r="1688" spans="1:7">
      <c r="A1688" s="37"/>
      <c r="B1688" s="37"/>
      <c r="C1688" s="37"/>
      <c r="D1688" s="37"/>
      <c r="E1688" s="37"/>
      <c r="F1688" s="37"/>
      <c r="G1688" s="37"/>
    </row>
    <row r="1689" spans="1:7">
      <c r="A1689" s="37"/>
      <c r="B1689" s="37"/>
      <c r="C1689" s="37"/>
      <c r="D1689" s="37"/>
      <c r="E1689" s="37"/>
      <c r="F1689" s="37"/>
      <c r="G1689" s="37"/>
    </row>
    <row r="1690" spans="1:7">
      <c r="A1690" s="37"/>
      <c r="B1690" s="37"/>
      <c r="C1690" s="37"/>
      <c r="D1690" s="37"/>
      <c r="E1690" s="37"/>
      <c r="F1690" s="37"/>
      <c r="G1690" s="37"/>
    </row>
    <row r="1691" spans="1:7">
      <c r="A1691" s="37"/>
      <c r="B1691" s="37"/>
      <c r="C1691" s="37"/>
      <c r="D1691" s="37"/>
      <c r="E1691" s="37"/>
      <c r="F1691" s="37"/>
      <c r="G1691" s="37"/>
    </row>
    <row r="1692" spans="1:7">
      <c r="A1692" s="37"/>
      <c r="B1692" s="37"/>
      <c r="C1692" s="37"/>
      <c r="D1692" s="37"/>
      <c r="E1692" s="37"/>
      <c r="F1692" s="37"/>
      <c r="G1692" s="37"/>
    </row>
    <row r="1693" spans="1:7">
      <c r="A1693" s="37"/>
      <c r="B1693" s="37"/>
      <c r="C1693" s="37"/>
      <c r="D1693" s="37"/>
      <c r="E1693" s="37"/>
      <c r="F1693" s="37"/>
      <c r="G1693" s="37"/>
    </row>
    <row r="1694" spans="1:7">
      <c r="A1694" s="37"/>
      <c r="B1694" s="37"/>
      <c r="C1694" s="37"/>
      <c r="D1694" s="37"/>
      <c r="E1694" s="37"/>
      <c r="F1694" s="37"/>
      <c r="G1694" s="37"/>
    </row>
    <row r="1695" spans="1:7">
      <c r="A1695" s="37"/>
      <c r="B1695" s="37"/>
      <c r="C1695" s="37"/>
      <c r="D1695" s="37"/>
      <c r="E1695" s="37"/>
      <c r="F1695" s="37"/>
      <c r="G1695" s="37"/>
    </row>
    <row r="1696" spans="1:7">
      <c r="A1696" s="37"/>
      <c r="B1696" s="37"/>
      <c r="C1696" s="37"/>
      <c r="D1696" s="37"/>
      <c r="E1696" s="37"/>
      <c r="F1696" s="37"/>
      <c r="G1696" s="37"/>
    </row>
    <row r="1697" spans="1:7">
      <c r="A1697" s="37"/>
      <c r="B1697" s="37"/>
      <c r="C1697" s="37"/>
      <c r="D1697" s="37"/>
      <c r="E1697" s="37"/>
      <c r="F1697" s="37"/>
      <c r="G1697" s="37"/>
    </row>
    <row r="1698" spans="1:7">
      <c r="A1698" s="37"/>
      <c r="B1698" s="37"/>
      <c r="C1698" s="37"/>
      <c r="D1698" s="37"/>
      <c r="E1698" s="37"/>
      <c r="F1698" s="37"/>
      <c r="G1698" s="37"/>
    </row>
    <row r="1699" spans="1:7">
      <c r="A1699" s="37"/>
      <c r="B1699" s="37"/>
      <c r="C1699" s="37"/>
      <c r="D1699" s="37"/>
      <c r="E1699" s="37"/>
      <c r="F1699" s="37"/>
      <c r="G1699" s="37"/>
    </row>
    <row r="1700" spans="1:7">
      <c r="A1700" s="37"/>
      <c r="B1700" s="37"/>
      <c r="C1700" s="37"/>
      <c r="D1700" s="37"/>
      <c r="E1700" s="37"/>
      <c r="F1700" s="37"/>
      <c r="G1700" s="37"/>
    </row>
    <row r="1701" spans="1:7">
      <c r="A1701" s="37"/>
      <c r="B1701" s="37"/>
      <c r="C1701" s="37"/>
      <c r="D1701" s="37"/>
      <c r="E1701" s="37"/>
      <c r="F1701" s="37"/>
      <c r="G1701" s="37"/>
    </row>
    <row r="1702" spans="1:7">
      <c r="A1702" s="37"/>
      <c r="B1702" s="37"/>
      <c r="C1702" s="37"/>
      <c r="D1702" s="37"/>
      <c r="E1702" s="37"/>
      <c r="F1702" s="37"/>
      <c r="G1702" s="37"/>
    </row>
    <row r="1703" spans="1:7">
      <c r="A1703" s="37"/>
      <c r="B1703" s="37"/>
      <c r="C1703" s="37"/>
      <c r="D1703" s="37"/>
      <c r="E1703" s="37"/>
      <c r="F1703" s="37"/>
      <c r="G1703" s="37"/>
    </row>
    <row r="1704" spans="1:7">
      <c r="A1704" s="37"/>
      <c r="B1704" s="37"/>
      <c r="C1704" s="37"/>
      <c r="D1704" s="37"/>
      <c r="E1704" s="37"/>
      <c r="F1704" s="37"/>
      <c r="G1704" s="37"/>
    </row>
    <row r="1705" spans="1:7">
      <c r="A1705" s="37"/>
      <c r="B1705" s="37"/>
      <c r="C1705" s="37"/>
      <c r="D1705" s="37"/>
      <c r="E1705" s="37"/>
      <c r="F1705" s="37"/>
      <c r="G1705" s="37"/>
    </row>
    <row r="1706" spans="1:7">
      <c r="A1706" s="37"/>
      <c r="B1706" s="37"/>
      <c r="C1706" s="37"/>
      <c r="D1706" s="37"/>
      <c r="E1706" s="37"/>
      <c r="F1706" s="37"/>
      <c r="G1706" s="37"/>
    </row>
    <row r="1707" spans="1:7">
      <c r="A1707" s="37"/>
      <c r="B1707" s="37"/>
      <c r="C1707" s="37"/>
      <c r="D1707" s="37"/>
      <c r="E1707" s="37"/>
      <c r="F1707" s="37"/>
      <c r="G1707" s="37"/>
    </row>
    <row r="1708" spans="1:7">
      <c r="A1708" s="37"/>
      <c r="B1708" s="37"/>
      <c r="C1708" s="37"/>
      <c r="D1708" s="37"/>
      <c r="E1708" s="37"/>
      <c r="F1708" s="37"/>
      <c r="G1708" s="37"/>
    </row>
    <row r="1709" spans="1:7">
      <c r="A1709" s="37"/>
      <c r="B1709" s="37"/>
      <c r="C1709" s="37"/>
      <c r="D1709" s="37"/>
      <c r="E1709" s="37"/>
      <c r="F1709" s="37"/>
      <c r="G1709" s="37"/>
    </row>
    <row r="1710" spans="1:7">
      <c r="A1710" s="37"/>
      <c r="B1710" s="37"/>
      <c r="C1710" s="37"/>
      <c r="D1710" s="37"/>
      <c r="E1710" s="37"/>
      <c r="F1710" s="37"/>
      <c r="G1710" s="37"/>
    </row>
    <row r="1711" spans="1:7">
      <c r="A1711" s="37"/>
      <c r="B1711" s="37"/>
      <c r="C1711" s="37"/>
      <c r="D1711" s="37"/>
      <c r="E1711" s="37"/>
      <c r="F1711" s="37"/>
      <c r="G1711" s="37"/>
    </row>
    <row r="1712" spans="1:7">
      <c r="A1712" s="37"/>
      <c r="B1712" s="37"/>
      <c r="C1712" s="37"/>
      <c r="D1712" s="37"/>
      <c r="E1712" s="37"/>
      <c r="F1712" s="37"/>
      <c r="G1712" s="37"/>
    </row>
    <row r="1713" spans="1:7">
      <c r="A1713" s="37"/>
      <c r="B1713" s="37"/>
      <c r="C1713" s="37"/>
      <c r="D1713" s="37"/>
      <c r="E1713" s="37"/>
      <c r="F1713" s="37"/>
      <c r="G1713" s="37"/>
    </row>
    <row r="1714" spans="1:7">
      <c r="A1714" s="37"/>
      <c r="B1714" s="37"/>
      <c r="C1714" s="37"/>
      <c r="D1714" s="37"/>
      <c r="E1714" s="37"/>
      <c r="F1714" s="37"/>
      <c r="G1714" s="37"/>
    </row>
    <row r="1715" spans="1:7">
      <c r="A1715" s="37"/>
      <c r="B1715" s="37"/>
      <c r="C1715" s="37"/>
      <c r="D1715" s="37"/>
      <c r="E1715" s="37"/>
      <c r="F1715" s="37"/>
      <c r="G1715" s="37"/>
    </row>
    <row r="1716" spans="1:7">
      <c r="A1716" s="37"/>
      <c r="B1716" s="37"/>
      <c r="C1716" s="37"/>
      <c r="D1716" s="37"/>
      <c r="E1716" s="37"/>
      <c r="F1716" s="37"/>
      <c r="G1716" s="37"/>
    </row>
    <row r="1717" spans="1:7">
      <c r="A1717" s="37"/>
      <c r="B1717" s="37"/>
      <c r="C1717" s="37"/>
      <c r="D1717" s="37"/>
      <c r="E1717" s="37"/>
      <c r="F1717" s="37"/>
      <c r="G1717" s="37"/>
    </row>
    <row r="1718" spans="1:7">
      <c r="A1718" s="37"/>
      <c r="B1718" s="37"/>
      <c r="C1718" s="37"/>
      <c r="D1718" s="37"/>
      <c r="E1718" s="37"/>
      <c r="F1718" s="37"/>
      <c r="G1718" s="37"/>
    </row>
    <row r="1719" spans="1:7">
      <c r="A1719" s="37"/>
      <c r="B1719" s="37"/>
      <c r="C1719" s="37"/>
      <c r="D1719" s="37"/>
      <c r="E1719" s="37"/>
      <c r="F1719" s="37"/>
      <c r="G1719" s="37"/>
    </row>
    <row r="1720" spans="1:7">
      <c r="A1720" s="37"/>
      <c r="B1720" s="37"/>
      <c r="C1720" s="37"/>
      <c r="D1720" s="37"/>
      <c r="E1720" s="37"/>
      <c r="F1720" s="37"/>
      <c r="G1720" s="37"/>
    </row>
    <row r="1721" spans="1:7">
      <c r="A1721" s="37"/>
      <c r="B1721" s="37"/>
      <c r="C1721" s="37"/>
      <c r="D1721" s="37"/>
      <c r="E1721" s="37"/>
      <c r="F1721" s="37"/>
      <c r="G1721" s="37"/>
    </row>
    <row r="1722" spans="1:7">
      <c r="A1722" s="37"/>
      <c r="B1722" s="37"/>
      <c r="C1722" s="37"/>
      <c r="D1722" s="37"/>
      <c r="E1722" s="37"/>
      <c r="F1722" s="37"/>
      <c r="G1722" s="37"/>
    </row>
    <row r="1723" spans="1:7">
      <c r="A1723" s="37"/>
      <c r="B1723" s="37"/>
      <c r="C1723" s="37"/>
      <c r="D1723" s="37"/>
      <c r="E1723" s="37"/>
      <c r="F1723" s="37"/>
      <c r="G1723" s="37"/>
    </row>
    <row r="1724" spans="1:7">
      <c r="A1724" s="37"/>
      <c r="B1724" s="37"/>
      <c r="C1724" s="37"/>
      <c r="D1724" s="37"/>
      <c r="E1724" s="37"/>
      <c r="F1724" s="37"/>
      <c r="G1724" s="37"/>
    </row>
    <row r="1725" spans="1:7">
      <c r="A1725" s="37"/>
      <c r="B1725" s="37"/>
      <c r="C1725" s="37"/>
      <c r="D1725" s="37"/>
      <c r="E1725" s="37"/>
      <c r="F1725" s="37"/>
      <c r="G1725" s="37"/>
    </row>
    <row r="1726" spans="1:7">
      <c r="A1726" s="37"/>
      <c r="B1726" s="37"/>
      <c r="C1726" s="37"/>
      <c r="D1726" s="37"/>
      <c r="E1726" s="37"/>
      <c r="F1726" s="37"/>
      <c r="G1726" s="37"/>
    </row>
    <row r="1727" spans="1:7">
      <c r="A1727" s="37"/>
      <c r="B1727" s="37"/>
      <c r="C1727" s="37"/>
      <c r="D1727" s="37"/>
      <c r="E1727" s="37"/>
      <c r="F1727" s="37"/>
      <c r="G1727" s="37"/>
    </row>
    <row r="1728" spans="1:7">
      <c r="A1728" s="37"/>
      <c r="B1728" s="37"/>
      <c r="C1728" s="37"/>
      <c r="D1728" s="37"/>
      <c r="E1728" s="37"/>
      <c r="F1728" s="37"/>
      <c r="G1728" s="37"/>
    </row>
    <row r="1729" spans="1:7">
      <c r="A1729" s="37"/>
      <c r="B1729" s="37"/>
      <c r="C1729" s="37"/>
      <c r="D1729" s="37"/>
      <c r="E1729" s="37"/>
      <c r="F1729" s="37"/>
      <c r="G1729" s="37"/>
    </row>
    <row r="1730" spans="1:7">
      <c r="A1730" s="37"/>
      <c r="B1730" s="37"/>
      <c r="C1730" s="37"/>
      <c r="D1730" s="37"/>
      <c r="E1730" s="37"/>
      <c r="F1730" s="37"/>
      <c r="G1730" s="37"/>
    </row>
    <row r="1731" spans="1:7">
      <c r="A1731" s="37"/>
      <c r="B1731" s="37"/>
      <c r="C1731" s="37"/>
      <c r="D1731" s="37"/>
      <c r="E1731" s="37"/>
      <c r="F1731" s="37"/>
      <c r="G1731" s="37"/>
    </row>
    <row r="1732" spans="1:7">
      <c r="A1732" s="37"/>
      <c r="B1732" s="37"/>
      <c r="C1732" s="37"/>
      <c r="D1732" s="37"/>
      <c r="E1732" s="37"/>
      <c r="F1732" s="37"/>
      <c r="G1732" s="37"/>
    </row>
    <row r="1733" spans="1:7">
      <c r="A1733" s="37"/>
      <c r="B1733" s="37"/>
      <c r="C1733" s="37"/>
      <c r="D1733" s="37"/>
      <c r="E1733" s="37"/>
      <c r="F1733" s="37"/>
      <c r="G1733" s="37"/>
    </row>
    <row r="1734" spans="1:7">
      <c r="A1734" s="37"/>
      <c r="B1734" s="37"/>
      <c r="C1734" s="37"/>
      <c r="D1734" s="37"/>
      <c r="E1734" s="37"/>
      <c r="F1734" s="37"/>
      <c r="G1734" s="37"/>
    </row>
    <row r="1735" spans="1:7">
      <c r="A1735" s="37"/>
      <c r="B1735" s="37"/>
      <c r="C1735" s="37"/>
      <c r="D1735" s="37"/>
      <c r="E1735" s="37"/>
      <c r="F1735" s="37"/>
      <c r="G1735" s="37"/>
    </row>
    <row r="1736" spans="1:7">
      <c r="A1736" s="37"/>
      <c r="B1736" s="37"/>
      <c r="C1736" s="37"/>
      <c r="D1736" s="37"/>
      <c r="E1736" s="37"/>
      <c r="F1736" s="37"/>
      <c r="G1736" s="37"/>
    </row>
    <row r="1737" spans="1:7">
      <c r="A1737" s="37"/>
      <c r="B1737" s="37"/>
      <c r="C1737" s="37"/>
      <c r="D1737" s="37"/>
      <c r="E1737" s="37"/>
      <c r="F1737" s="37"/>
      <c r="G1737" s="37"/>
    </row>
    <row r="1738" spans="1:7">
      <c r="A1738" s="37"/>
      <c r="B1738" s="37"/>
      <c r="C1738" s="37"/>
      <c r="D1738" s="37"/>
      <c r="E1738" s="37"/>
      <c r="F1738" s="37"/>
      <c r="G1738" s="37"/>
    </row>
    <row r="1739" spans="1:7">
      <c r="A1739" s="37"/>
      <c r="B1739" s="37"/>
      <c r="C1739" s="37"/>
      <c r="D1739" s="37"/>
      <c r="E1739" s="37"/>
      <c r="F1739" s="37"/>
      <c r="G1739" s="37"/>
    </row>
    <row r="1740" spans="1:7">
      <c r="A1740" s="37"/>
      <c r="B1740" s="37"/>
      <c r="C1740" s="37"/>
      <c r="D1740" s="37"/>
      <c r="E1740" s="37"/>
      <c r="F1740" s="37"/>
      <c r="G1740" s="37"/>
    </row>
    <row r="1741" spans="1:7">
      <c r="A1741" s="37"/>
      <c r="B1741" s="37"/>
      <c r="C1741" s="37"/>
      <c r="D1741" s="37"/>
      <c r="E1741" s="37"/>
      <c r="F1741" s="37"/>
      <c r="G1741" s="37"/>
    </row>
    <row r="1742" spans="1:7">
      <c r="A1742" s="37"/>
      <c r="B1742" s="37"/>
      <c r="C1742" s="37"/>
      <c r="D1742" s="37"/>
      <c r="E1742" s="37"/>
      <c r="F1742" s="37"/>
      <c r="G1742" s="37"/>
    </row>
    <row r="1743" spans="1:7">
      <c r="A1743" s="37"/>
      <c r="B1743" s="37"/>
      <c r="C1743" s="37"/>
      <c r="D1743" s="37"/>
      <c r="E1743" s="37"/>
      <c r="F1743" s="37"/>
      <c r="G1743" s="37"/>
    </row>
    <row r="1744" spans="1:7">
      <c r="A1744" s="37"/>
      <c r="B1744" s="37"/>
      <c r="C1744" s="37"/>
      <c r="D1744" s="37"/>
      <c r="E1744" s="37"/>
      <c r="F1744" s="37"/>
      <c r="G1744" s="37"/>
    </row>
    <row r="1745" spans="1:7">
      <c r="A1745" s="37"/>
      <c r="B1745" s="37"/>
      <c r="C1745" s="37"/>
      <c r="D1745" s="37"/>
      <c r="E1745" s="37"/>
      <c r="F1745" s="37"/>
      <c r="G1745" s="37"/>
    </row>
    <row r="1746" spans="1:7">
      <c r="A1746" s="37"/>
      <c r="B1746" s="37"/>
      <c r="C1746" s="37"/>
      <c r="D1746" s="37"/>
      <c r="E1746" s="37"/>
      <c r="F1746" s="37"/>
      <c r="G1746" s="37"/>
    </row>
    <row r="1747" spans="1:7">
      <c r="A1747" s="37"/>
      <c r="B1747" s="37"/>
      <c r="C1747" s="37"/>
      <c r="D1747" s="37"/>
      <c r="E1747" s="37"/>
      <c r="F1747" s="37"/>
      <c r="G1747" s="37"/>
    </row>
    <row r="1748" spans="1:7">
      <c r="A1748" s="37"/>
      <c r="B1748" s="37"/>
      <c r="C1748" s="37"/>
      <c r="D1748" s="37"/>
      <c r="E1748" s="37"/>
      <c r="F1748" s="37"/>
      <c r="G1748" s="37"/>
    </row>
    <row r="1749" spans="1:7">
      <c r="A1749" s="37"/>
      <c r="B1749" s="37"/>
      <c r="C1749" s="37"/>
      <c r="D1749" s="37"/>
      <c r="E1749" s="37"/>
      <c r="F1749" s="37"/>
      <c r="G1749" s="37"/>
    </row>
    <row r="1750" spans="1:7">
      <c r="A1750" s="37"/>
      <c r="B1750" s="37"/>
      <c r="C1750" s="37"/>
      <c r="D1750" s="37"/>
      <c r="E1750" s="37"/>
      <c r="F1750" s="37"/>
      <c r="G1750" s="37"/>
    </row>
    <row r="1751" spans="1:7">
      <c r="A1751" s="37"/>
      <c r="B1751" s="37"/>
      <c r="C1751" s="37"/>
      <c r="D1751" s="37"/>
      <c r="E1751" s="37"/>
      <c r="F1751" s="37"/>
      <c r="G1751" s="37"/>
    </row>
    <row r="1752" spans="1:7">
      <c r="A1752" s="37"/>
      <c r="B1752" s="37"/>
      <c r="C1752" s="37"/>
      <c r="D1752" s="37"/>
      <c r="E1752" s="37"/>
      <c r="F1752" s="37"/>
      <c r="G1752" s="37"/>
    </row>
    <row r="1753" spans="1:7">
      <c r="A1753" s="37"/>
      <c r="B1753" s="37"/>
      <c r="C1753" s="37"/>
      <c r="D1753" s="37"/>
      <c r="E1753" s="37"/>
      <c r="F1753" s="37"/>
      <c r="G1753" s="37"/>
    </row>
    <row r="1754" spans="1:7">
      <c r="A1754" s="37"/>
      <c r="B1754" s="37"/>
      <c r="C1754" s="37"/>
      <c r="D1754" s="37"/>
      <c r="E1754" s="37"/>
      <c r="F1754" s="37"/>
      <c r="G1754" s="37"/>
    </row>
    <row r="1755" spans="1:7">
      <c r="A1755" s="37"/>
      <c r="B1755" s="37"/>
      <c r="C1755" s="37"/>
      <c r="D1755" s="37"/>
      <c r="E1755" s="37"/>
      <c r="F1755" s="37"/>
      <c r="G1755" s="37"/>
    </row>
    <row r="1756" spans="1:7">
      <c r="A1756" s="37"/>
      <c r="B1756" s="37"/>
      <c r="C1756" s="37"/>
      <c r="D1756" s="37"/>
      <c r="E1756" s="37"/>
      <c r="F1756" s="37"/>
      <c r="G1756" s="37"/>
    </row>
    <row r="1757" spans="1:7">
      <c r="A1757" s="37"/>
      <c r="B1757" s="37"/>
      <c r="C1757" s="37"/>
      <c r="D1757" s="37"/>
      <c r="E1757" s="37"/>
      <c r="F1757" s="37"/>
      <c r="G1757" s="37"/>
    </row>
    <row r="1758" spans="1:7">
      <c r="A1758" s="37"/>
      <c r="B1758" s="37"/>
      <c r="C1758" s="37"/>
      <c r="D1758" s="37"/>
      <c r="E1758" s="37"/>
      <c r="F1758" s="37"/>
      <c r="G1758" s="37"/>
    </row>
    <row r="1759" spans="1:7">
      <c r="A1759" s="37"/>
      <c r="B1759" s="37"/>
      <c r="C1759" s="37"/>
      <c r="D1759" s="37"/>
      <c r="E1759" s="37"/>
      <c r="F1759" s="37"/>
      <c r="G1759" s="37"/>
    </row>
    <row r="1760" spans="1:7">
      <c r="A1760" s="37"/>
      <c r="B1760" s="37"/>
      <c r="C1760" s="37"/>
      <c r="D1760" s="37"/>
      <c r="E1760" s="37"/>
      <c r="F1760" s="37"/>
      <c r="G1760" s="37"/>
    </row>
    <row r="1761" spans="1:7">
      <c r="A1761" s="37"/>
      <c r="B1761" s="37"/>
      <c r="C1761" s="37"/>
      <c r="D1761" s="37"/>
      <c r="E1761" s="37"/>
      <c r="F1761" s="37"/>
      <c r="G1761" s="37"/>
    </row>
    <row r="1762" spans="1:7">
      <c r="A1762" s="37"/>
      <c r="B1762" s="37"/>
      <c r="C1762" s="37"/>
      <c r="D1762" s="37"/>
      <c r="E1762" s="37"/>
      <c r="F1762" s="37"/>
      <c r="G1762" s="37"/>
    </row>
    <row r="1763" spans="1:7">
      <c r="A1763" s="37"/>
      <c r="B1763" s="37"/>
      <c r="C1763" s="37"/>
      <c r="D1763" s="37"/>
      <c r="E1763" s="37"/>
      <c r="F1763" s="37"/>
      <c r="G1763" s="37"/>
    </row>
    <row r="1764" spans="1:7">
      <c r="A1764" s="37"/>
      <c r="B1764" s="37"/>
      <c r="C1764" s="37"/>
      <c r="D1764" s="37"/>
      <c r="E1764" s="37"/>
      <c r="F1764" s="37"/>
      <c r="G1764" s="37"/>
    </row>
    <row r="1765" spans="1:7">
      <c r="A1765" s="37"/>
      <c r="B1765" s="37"/>
      <c r="C1765" s="37"/>
      <c r="D1765" s="37"/>
      <c r="E1765" s="37"/>
      <c r="F1765" s="37"/>
      <c r="G1765" s="37"/>
    </row>
    <row r="1766" spans="1:7">
      <c r="A1766" s="37"/>
      <c r="B1766" s="37"/>
      <c r="C1766" s="37"/>
      <c r="D1766" s="37"/>
      <c r="E1766" s="37"/>
      <c r="F1766" s="37"/>
      <c r="G1766" s="37"/>
    </row>
    <row r="1767" spans="1:7">
      <c r="A1767" s="37"/>
      <c r="B1767" s="37"/>
      <c r="C1767" s="37"/>
      <c r="D1767" s="37"/>
      <c r="E1767" s="37"/>
      <c r="F1767" s="37"/>
      <c r="G1767" s="37"/>
    </row>
    <row r="1768" spans="1:7">
      <c r="A1768" s="37"/>
      <c r="B1768" s="37"/>
      <c r="C1768" s="37"/>
      <c r="D1768" s="37"/>
      <c r="E1768" s="37"/>
      <c r="F1768" s="37"/>
      <c r="G1768" s="37"/>
    </row>
    <row r="1769" spans="1:7">
      <c r="A1769" s="37"/>
      <c r="B1769" s="37"/>
      <c r="C1769" s="37"/>
      <c r="D1769" s="37"/>
      <c r="E1769" s="37"/>
      <c r="F1769" s="37"/>
      <c r="G1769" s="37"/>
    </row>
    <row r="1770" spans="1:7">
      <c r="A1770" s="37"/>
      <c r="B1770" s="37"/>
      <c r="C1770" s="37"/>
      <c r="D1770" s="37"/>
      <c r="E1770" s="37"/>
      <c r="F1770" s="37"/>
      <c r="G1770" s="37"/>
    </row>
    <row r="1771" spans="1:7">
      <c r="A1771" s="37"/>
      <c r="B1771" s="37"/>
      <c r="C1771" s="37"/>
      <c r="D1771" s="37"/>
      <c r="E1771" s="37"/>
      <c r="F1771" s="37"/>
      <c r="G1771" s="37"/>
    </row>
    <row r="1772" spans="1:7">
      <c r="A1772" s="37"/>
      <c r="B1772" s="37"/>
      <c r="C1772" s="37"/>
      <c r="D1772" s="37"/>
      <c r="E1772" s="37"/>
      <c r="F1772" s="37"/>
      <c r="G1772" s="37"/>
    </row>
    <row r="1773" spans="1:7">
      <c r="A1773" s="37"/>
      <c r="B1773" s="37"/>
      <c r="C1773" s="37"/>
      <c r="D1773" s="37"/>
      <c r="E1773" s="37"/>
      <c r="F1773" s="37"/>
      <c r="G1773" s="37"/>
    </row>
    <row r="1774" spans="1:7">
      <c r="A1774" s="37"/>
      <c r="B1774" s="37"/>
      <c r="C1774" s="37"/>
      <c r="D1774" s="37"/>
      <c r="E1774" s="37"/>
      <c r="F1774" s="37"/>
      <c r="G1774" s="37"/>
    </row>
    <row r="1775" spans="1:7">
      <c r="A1775" s="37"/>
      <c r="B1775" s="37"/>
      <c r="C1775" s="37"/>
      <c r="D1775" s="37"/>
      <c r="E1775" s="37"/>
      <c r="F1775" s="37"/>
      <c r="G1775" s="37"/>
    </row>
    <row r="1776" spans="1:7">
      <c r="A1776" s="37"/>
      <c r="B1776" s="37"/>
      <c r="C1776" s="37"/>
      <c r="D1776" s="37"/>
      <c r="E1776" s="37"/>
      <c r="F1776" s="37"/>
      <c r="G1776" s="37"/>
    </row>
    <row r="1777" spans="1:7">
      <c r="A1777" s="37"/>
      <c r="B1777" s="37"/>
      <c r="C1777" s="37"/>
      <c r="D1777" s="37"/>
      <c r="E1777" s="37"/>
      <c r="F1777" s="37"/>
      <c r="G1777" s="37"/>
    </row>
    <row r="1778" spans="1:7">
      <c r="A1778" s="37"/>
      <c r="B1778" s="37"/>
      <c r="C1778" s="37"/>
      <c r="D1778" s="37"/>
      <c r="E1778" s="37"/>
      <c r="F1778" s="37"/>
      <c r="G1778" s="37"/>
    </row>
    <row r="1779" spans="1:7">
      <c r="A1779" s="37"/>
      <c r="B1779" s="37"/>
      <c r="C1779" s="37"/>
      <c r="D1779" s="37"/>
      <c r="E1779" s="37"/>
      <c r="F1779" s="37"/>
      <c r="G1779" s="37"/>
    </row>
    <row r="1780" spans="1:7">
      <c r="A1780" s="37"/>
      <c r="B1780" s="37"/>
      <c r="C1780" s="37"/>
      <c r="D1780" s="37"/>
      <c r="E1780" s="37"/>
      <c r="F1780" s="37"/>
      <c r="G1780" s="37"/>
    </row>
    <row r="1781" spans="1:7">
      <c r="A1781" s="37"/>
      <c r="B1781" s="37"/>
      <c r="C1781" s="37"/>
      <c r="D1781" s="37"/>
      <c r="E1781" s="37"/>
      <c r="F1781" s="37"/>
      <c r="G1781" s="37"/>
    </row>
    <row r="1782" spans="1:7">
      <c r="A1782" s="37"/>
      <c r="B1782" s="37"/>
      <c r="C1782" s="37"/>
      <c r="D1782" s="37"/>
      <c r="E1782" s="37"/>
      <c r="F1782" s="37"/>
      <c r="G1782" s="37"/>
    </row>
    <row r="1783" spans="1:7">
      <c r="A1783" s="37"/>
      <c r="B1783" s="37"/>
      <c r="C1783" s="37"/>
      <c r="D1783" s="37"/>
      <c r="E1783" s="37"/>
      <c r="F1783" s="37"/>
      <c r="G1783" s="37"/>
    </row>
    <row r="1784" spans="1:7">
      <c r="A1784" s="37"/>
      <c r="B1784" s="37"/>
      <c r="C1784" s="37"/>
      <c r="D1784" s="37"/>
      <c r="E1784" s="37"/>
      <c r="F1784" s="37"/>
      <c r="G1784" s="37"/>
    </row>
    <row r="1785" spans="1:7">
      <c r="A1785" s="37"/>
      <c r="B1785" s="37"/>
      <c r="C1785" s="37"/>
      <c r="D1785" s="37"/>
      <c r="E1785" s="37"/>
      <c r="F1785" s="37"/>
      <c r="G1785" s="37"/>
    </row>
    <row r="1786" spans="1:7">
      <c r="A1786" s="37"/>
      <c r="B1786" s="37"/>
      <c r="C1786" s="37"/>
      <c r="D1786" s="37"/>
      <c r="E1786" s="37"/>
      <c r="F1786" s="37"/>
      <c r="G1786" s="37"/>
    </row>
    <row r="1787" spans="1:7">
      <c r="A1787" s="37"/>
      <c r="B1787" s="37"/>
      <c r="C1787" s="37"/>
      <c r="D1787" s="37"/>
      <c r="E1787" s="37"/>
      <c r="F1787" s="37"/>
      <c r="G1787" s="37"/>
    </row>
    <row r="1788" spans="1:7">
      <c r="A1788" s="37"/>
      <c r="B1788" s="37"/>
      <c r="C1788" s="37"/>
      <c r="D1788" s="37"/>
      <c r="E1788" s="37"/>
      <c r="F1788" s="37"/>
      <c r="G1788" s="37"/>
    </row>
    <row r="1789" spans="1:7">
      <c r="A1789" s="37"/>
      <c r="B1789" s="37"/>
      <c r="C1789" s="37"/>
      <c r="D1789" s="37"/>
      <c r="E1789" s="37"/>
      <c r="F1789" s="37"/>
      <c r="G1789" s="37"/>
    </row>
    <row r="1790" spans="1:7">
      <c r="A1790" s="37"/>
      <c r="B1790" s="37"/>
      <c r="C1790" s="37"/>
      <c r="D1790" s="37"/>
      <c r="E1790" s="37"/>
      <c r="F1790" s="37"/>
      <c r="G1790" s="37"/>
    </row>
    <row r="1791" spans="1:7">
      <c r="A1791" s="37"/>
      <c r="B1791" s="37"/>
      <c r="C1791" s="37"/>
      <c r="D1791" s="37"/>
      <c r="E1791" s="37"/>
      <c r="F1791" s="37"/>
      <c r="G1791" s="37"/>
    </row>
    <row r="1792" spans="1:7">
      <c r="A1792" s="37"/>
      <c r="B1792" s="37"/>
      <c r="C1792" s="37"/>
      <c r="D1792" s="37"/>
      <c r="E1792" s="37"/>
      <c r="F1792" s="37"/>
      <c r="G1792" s="37"/>
    </row>
    <row r="1793" spans="1:7">
      <c r="A1793" s="37"/>
      <c r="B1793" s="37"/>
      <c r="C1793" s="37"/>
      <c r="D1793" s="37"/>
      <c r="E1793" s="37"/>
      <c r="F1793" s="37"/>
      <c r="G1793" s="37"/>
    </row>
    <row r="1794" spans="1:7">
      <c r="A1794" s="37"/>
      <c r="B1794" s="37"/>
      <c r="C1794" s="37"/>
      <c r="D1794" s="37"/>
      <c r="E1794" s="37"/>
      <c r="F1794" s="37"/>
      <c r="G1794" s="37"/>
    </row>
    <row r="1795" spans="1:7">
      <c r="A1795" s="37"/>
      <c r="B1795" s="37"/>
      <c r="C1795" s="37"/>
      <c r="D1795" s="37"/>
      <c r="E1795" s="37"/>
      <c r="F1795" s="37"/>
      <c r="G1795" s="37"/>
    </row>
    <row r="1796" spans="1:7">
      <c r="A1796" s="37"/>
      <c r="B1796" s="37"/>
      <c r="C1796" s="37"/>
      <c r="D1796" s="37"/>
      <c r="E1796" s="37"/>
      <c r="F1796" s="37"/>
      <c r="G1796" s="37"/>
    </row>
    <row r="1797" spans="1:7">
      <c r="A1797" s="37"/>
      <c r="B1797" s="37"/>
      <c r="C1797" s="37"/>
      <c r="D1797" s="37"/>
      <c r="E1797" s="37"/>
      <c r="F1797" s="37"/>
      <c r="G1797" s="37"/>
    </row>
    <row r="1798" spans="1:7">
      <c r="A1798" s="37"/>
      <c r="B1798" s="37"/>
      <c r="C1798" s="37"/>
      <c r="D1798" s="37"/>
      <c r="E1798" s="37"/>
      <c r="F1798" s="37"/>
      <c r="G1798" s="37"/>
    </row>
    <row r="1799" spans="1:7">
      <c r="A1799" s="37"/>
      <c r="B1799" s="37"/>
      <c r="C1799" s="37"/>
      <c r="D1799" s="37"/>
      <c r="E1799" s="37"/>
      <c r="F1799" s="37"/>
      <c r="G1799" s="37"/>
    </row>
    <row r="1800" spans="1:7">
      <c r="A1800" s="37"/>
      <c r="B1800" s="37"/>
      <c r="C1800" s="37"/>
      <c r="D1800" s="37"/>
      <c r="E1800" s="37"/>
      <c r="F1800" s="37"/>
      <c r="G1800" s="37"/>
    </row>
    <row r="1801" spans="1:7">
      <c r="A1801" s="37"/>
      <c r="B1801" s="37"/>
      <c r="C1801" s="37"/>
      <c r="D1801" s="37"/>
      <c r="E1801" s="37"/>
      <c r="F1801" s="37"/>
      <c r="G1801" s="37"/>
    </row>
    <row r="1802" spans="1:7">
      <c r="A1802" s="37"/>
      <c r="B1802" s="37"/>
      <c r="C1802" s="37"/>
      <c r="D1802" s="37"/>
      <c r="E1802" s="37"/>
      <c r="F1802" s="37"/>
      <c r="G1802" s="37"/>
    </row>
    <row r="1803" spans="1:7">
      <c r="A1803" s="37"/>
      <c r="B1803" s="37"/>
      <c r="C1803" s="37"/>
      <c r="D1803" s="37"/>
      <c r="E1803" s="37"/>
      <c r="F1803" s="37"/>
      <c r="G1803" s="37"/>
    </row>
    <row r="1804" spans="1:7">
      <c r="A1804" s="37"/>
      <c r="B1804" s="37"/>
      <c r="C1804" s="37"/>
      <c r="D1804" s="37"/>
      <c r="E1804" s="37"/>
      <c r="F1804" s="37"/>
      <c r="G1804" s="37"/>
    </row>
    <row r="1805" spans="1:7">
      <c r="A1805" s="37"/>
      <c r="B1805" s="37"/>
      <c r="C1805" s="37"/>
      <c r="D1805" s="37"/>
      <c r="E1805" s="37"/>
      <c r="F1805" s="37"/>
      <c r="G1805" s="37"/>
    </row>
    <row r="1806" spans="1:7">
      <c r="A1806" s="37"/>
      <c r="B1806" s="37"/>
      <c r="C1806" s="37"/>
      <c r="D1806" s="37"/>
      <c r="E1806" s="37"/>
      <c r="F1806" s="37"/>
      <c r="G1806" s="37"/>
    </row>
    <row r="1807" spans="1:7">
      <c r="A1807" s="37"/>
      <c r="B1807" s="37"/>
      <c r="C1807" s="37"/>
      <c r="D1807" s="37"/>
      <c r="E1807" s="37"/>
      <c r="F1807" s="37"/>
      <c r="G1807" s="37"/>
    </row>
    <row r="1808" spans="1:7">
      <c r="A1808" s="37"/>
      <c r="B1808" s="37"/>
      <c r="C1808" s="37"/>
      <c r="D1808" s="37"/>
      <c r="E1808" s="37"/>
      <c r="F1808" s="37"/>
      <c r="G1808" s="37"/>
    </row>
    <row r="1809" spans="1:7">
      <c r="A1809" s="37"/>
      <c r="B1809" s="37"/>
      <c r="C1809" s="37"/>
      <c r="D1809" s="37"/>
      <c r="E1809" s="37"/>
      <c r="F1809" s="37"/>
      <c r="G1809" s="37"/>
    </row>
    <row r="1810" spans="1:7">
      <c r="A1810" s="37"/>
      <c r="B1810" s="37"/>
      <c r="C1810" s="37"/>
      <c r="D1810" s="37"/>
      <c r="E1810" s="37"/>
      <c r="F1810" s="37"/>
      <c r="G1810" s="37"/>
    </row>
    <row r="1811" spans="1:7">
      <c r="A1811" s="37"/>
      <c r="B1811" s="37"/>
      <c r="C1811" s="37"/>
      <c r="D1811" s="37"/>
      <c r="E1811" s="37"/>
      <c r="F1811" s="37"/>
      <c r="G1811" s="37"/>
    </row>
    <row r="1812" spans="1:7">
      <c r="A1812" s="37"/>
      <c r="B1812" s="37"/>
      <c r="C1812" s="37"/>
      <c r="D1812" s="37"/>
      <c r="E1812" s="37"/>
      <c r="F1812" s="37"/>
      <c r="G1812" s="37"/>
    </row>
    <row r="1813" spans="1:7">
      <c r="A1813" s="37"/>
      <c r="B1813" s="37"/>
      <c r="C1813" s="37"/>
      <c r="D1813" s="37"/>
      <c r="E1813" s="37"/>
      <c r="F1813" s="37"/>
      <c r="G1813" s="37"/>
    </row>
    <row r="1814" spans="1:7">
      <c r="A1814" s="37"/>
      <c r="B1814" s="37"/>
      <c r="C1814" s="37"/>
      <c r="D1814" s="37"/>
      <c r="E1814" s="37"/>
      <c r="F1814" s="37"/>
      <c r="G1814" s="37"/>
    </row>
    <row r="1815" spans="1:7">
      <c r="A1815" s="37"/>
      <c r="B1815" s="37"/>
      <c r="C1815" s="37"/>
      <c r="D1815" s="37"/>
      <c r="E1815" s="37"/>
      <c r="F1815" s="37"/>
      <c r="G1815" s="37"/>
    </row>
    <row r="1816" spans="1:7">
      <c r="A1816" s="37"/>
      <c r="B1816" s="37"/>
      <c r="C1816" s="37"/>
      <c r="D1816" s="37"/>
      <c r="E1816" s="37"/>
      <c r="F1816" s="37"/>
      <c r="G1816" s="37"/>
    </row>
    <row r="1817" spans="1:7">
      <c r="A1817" s="37"/>
      <c r="B1817" s="37"/>
      <c r="C1817" s="37"/>
      <c r="D1817" s="37"/>
      <c r="E1817" s="37"/>
      <c r="F1817" s="37"/>
      <c r="G1817" s="37"/>
    </row>
    <row r="1818" spans="1:7">
      <c r="A1818" s="37"/>
      <c r="B1818" s="37"/>
      <c r="C1818" s="37"/>
      <c r="D1818" s="37"/>
      <c r="E1818" s="37"/>
      <c r="F1818" s="37"/>
      <c r="G1818" s="37"/>
    </row>
    <row r="1819" spans="1:7">
      <c r="A1819" s="37"/>
      <c r="B1819" s="37"/>
      <c r="C1819" s="37"/>
      <c r="D1819" s="37"/>
      <c r="E1819" s="37"/>
      <c r="F1819" s="37"/>
      <c r="G1819" s="37"/>
    </row>
    <row r="1820" spans="1:7">
      <c r="A1820" s="37"/>
      <c r="B1820" s="37"/>
      <c r="C1820" s="37"/>
      <c r="D1820" s="37"/>
      <c r="E1820" s="37"/>
      <c r="F1820" s="37"/>
      <c r="G1820" s="37"/>
    </row>
    <row r="1821" spans="1:7">
      <c r="A1821" s="37"/>
      <c r="B1821" s="37"/>
      <c r="C1821" s="37"/>
      <c r="D1821" s="37"/>
      <c r="E1821" s="37"/>
      <c r="F1821" s="37"/>
      <c r="G1821" s="37"/>
    </row>
    <row r="1822" spans="1:7">
      <c r="A1822" s="37"/>
      <c r="B1822" s="37"/>
      <c r="C1822" s="37"/>
      <c r="D1822" s="37"/>
      <c r="E1822" s="37"/>
      <c r="F1822" s="37"/>
      <c r="G1822" s="37"/>
    </row>
    <row r="1823" spans="1:7">
      <c r="A1823" s="37"/>
      <c r="B1823" s="37"/>
      <c r="C1823" s="37"/>
      <c r="D1823" s="37"/>
      <c r="E1823" s="37"/>
      <c r="F1823" s="37"/>
      <c r="G1823" s="37"/>
    </row>
    <row r="1824" spans="1:7">
      <c r="A1824" s="37"/>
      <c r="B1824" s="37"/>
      <c r="C1824" s="37"/>
      <c r="D1824" s="37"/>
      <c r="E1824" s="37"/>
      <c r="F1824" s="37"/>
      <c r="G1824" s="37"/>
    </row>
    <row r="1825" spans="1:7">
      <c r="A1825" s="37"/>
      <c r="B1825" s="37"/>
      <c r="C1825" s="37"/>
      <c r="D1825" s="37"/>
      <c r="E1825" s="37"/>
      <c r="F1825" s="37"/>
      <c r="G1825" s="37"/>
    </row>
    <row r="1826" spans="1:7">
      <c r="A1826" s="37"/>
      <c r="B1826" s="37"/>
      <c r="C1826" s="37"/>
      <c r="D1826" s="37"/>
      <c r="E1826" s="37"/>
      <c r="F1826" s="37"/>
      <c r="G1826" s="37"/>
    </row>
    <row r="1827" spans="1:7">
      <c r="A1827" s="37"/>
      <c r="B1827" s="37"/>
      <c r="C1827" s="37"/>
      <c r="D1827" s="37"/>
      <c r="E1827" s="37"/>
      <c r="F1827" s="37"/>
      <c r="G1827" s="37"/>
    </row>
    <row r="1828" spans="1:7">
      <c r="A1828" s="37"/>
      <c r="B1828" s="37"/>
      <c r="C1828" s="37"/>
      <c r="D1828" s="37"/>
      <c r="E1828" s="37"/>
      <c r="F1828" s="37"/>
      <c r="G1828" s="37"/>
    </row>
    <row r="1829" spans="1:7">
      <c r="A1829" s="37"/>
      <c r="B1829" s="37"/>
      <c r="C1829" s="37"/>
      <c r="D1829" s="37"/>
      <c r="E1829" s="37"/>
      <c r="F1829" s="37"/>
      <c r="G1829" s="37"/>
    </row>
    <row r="1830" spans="1:7">
      <c r="A1830" s="37"/>
      <c r="B1830" s="37"/>
      <c r="C1830" s="37"/>
      <c r="D1830" s="37"/>
      <c r="E1830" s="37"/>
      <c r="F1830" s="37"/>
      <c r="G1830" s="37"/>
    </row>
    <row r="1831" spans="1:7">
      <c r="A1831" s="37"/>
      <c r="B1831" s="37"/>
      <c r="C1831" s="37"/>
      <c r="D1831" s="37"/>
      <c r="E1831" s="37"/>
      <c r="F1831" s="37"/>
      <c r="G1831" s="37"/>
    </row>
    <row r="1832" spans="1:7">
      <c r="A1832" s="37"/>
      <c r="B1832" s="37"/>
      <c r="C1832" s="37"/>
      <c r="D1832" s="37"/>
      <c r="E1832" s="37"/>
      <c r="F1832" s="37"/>
      <c r="G1832" s="37"/>
    </row>
    <row r="1833" spans="1:7">
      <c r="A1833" s="37"/>
      <c r="B1833" s="37"/>
      <c r="C1833" s="37"/>
      <c r="D1833" s="37"/>
      <c r="E1833" s="37"/>
      <c r="F1833" s="37"/>
      <c r="G1833" s="37"/>
    </row>
    <row r="1834" spans="1:7">
      <c r="A1834" s="37"/>
      <c r="B1834" s="37"/>
      <c r="C1834" s="37"/>
      <c r="D1834" s="37"/>
      <c r="E1834" s="37"/>
      <c r="F1834" s="37"/>
      <c r="G1834" s="37"/>
    </row>
    <row r="1835" spans="1:7">
      <c r="A1835" s="37"/>
      <c r="B1835" s="37"/>
      <c r="C1835" s="37"/>
      <c r="D1835" s="37"/>
      <c r="E1835" s="37"/>
      <c r="F1835" s="37"/>
      <c r="G1835" s="37"/>
    </row>
    <row r="1836" spans="1:7">
      <c r="A1836" s="37"/>
      <c r="B1836" s="37"/>
      <c r="C1836" s="37"/>
      <c r="D1836" s="37"/>
      <c r="E1836" s="37"/>
      <c r="F1836" s="37"/>
      <c r="G1836" s="37"/>
    </row>
    <row r="1837" spans="1:7">
      <c r="A1837" s="37"/>
      <c r="B1837" s="37"/>
      <c r="C1837" s="37"/>
      <c r="D1837" s="37"/>
      <c r="E1837" s="37"/>
      <c r="F1837" s="37"/>
      <c r="G1837" s="37"/>
    </row>
    <row r="1838" spans="1:7">
      <c r="A1838" s="37"/>
      <c r="B1838" s="37"/>
      <c r="C1838" s="37"/>
      <c r="D1838" s="37"/>
      <c r="E1838" s="37"/>
      <c r="F1838" s="37"/>
      <c r="G1838" s="37"/>
    </row>
    <row r="1839" spans="1:7">
      <c r="A1839" s="37"/>
      <c r="B1839" s="37"/>
      <c r="C1839" s="37"/>
      <c r="D1839" s="37"/>
      <c r="E1839" s="37"/>
      <c r="F1839" s="37"/>
      <c r="G1839" s="37"/>
    </row>
    <row r="1840" spans="1:7">
      <c r="A1840" s="37"/>
      <c r="B1840" s="37"/>
      <c r="C1840" s="37"/>
      <c r="D1840" s="37"/>
      <c r="E1840" s="37"/>
      <c r="F1840" s="37"/>
      <c r="G1840" s="37"/>
    </row>
    <row r="1841" spans="1:7">
      <c r="A1841" s="37"/>
      <c r="B1841" s="37"/>
      <c r="C1841" s="37"/>
      <c r="D1841" s="37"/>
      <c r="E1841" s="37"/>
      <c r="F1841" s="37"/>
      <c r="G1841" s="37"/>
    </row>
    <row r="1842" spans="1:7">
      <c r="A1842" s="37"/>
      <c r="B1842" s="37"/>
      <c r="C1842" s="37"/>
      <c r="D1842" s="37"/>
      <c r="E1842" s="37"/>
      <c r="F1842" s="37"/>
      <c r="G1842" s="37"/>
    </row>
    <row r="1843" spans="1:7">
      <c r="A1843" s="37"/>
      <c r="B1843" s="37"/>
      <c r="C1843" s="37"/>
      <c r="D1843" s="37"/>
      <c r="E1843" s="37"/>
      <c r="F1843" s="37"/>
      <c r="G1843" s="37"/>
    </row>
    <row r="1844" spans="1:7">
      <c r="A1844" s="37"/>
      <c r="B1844" s="37"/>
      <c r="C1844" s="37"/>
      <c r="D1844" s="37"/>
      <c r="E1844" s="37"/>
      <c r="F1844" s="37"/>
      <c r="G1844" s="37"/>
    </row>
    <row r="1845" spans="1:7">
      <c r="A1845" s="37"/>
      <c r="B1845" s="37"/>
      <c r="C1845" s="37"/>
      <c r="D1845" s="37"/>
      <c r="E1845" s="37"/>
      <c r="F1845" s="37"/>
      <c r="G1845" s="37"/>
    </row>
    <row r="1846" spans="1:7">
      <c r="A1846" s="37"/>
      <c r="B1846" s="37"/>
      <c r="C1846" s="37"/>
      <c r="D1846" s="37"/>
      <c r="E1846" s="37"/>
      <c r="F1846" s="37"/>
      <c r="G1846" s="37"/>
    </row>
    <row r="1847" spans="1:7">
      <c r="A1847" s="37"/>
      <c r="B1847" s="37"/>
      <c r="C1847" s="37"/>
      <c r="D1847" s="37"/>
      <c r="E1847" s="37"/>
      <c r="F1847" s="37"/>
      <c r="G1847" s="37"/>
    </row>
    <row r="1848" spans="1:7">
      <c r="A1848" s="37"/>
      <c r="B1848" s="37"/>
      <c r="C1848" s="37"/>
      <c r="D1848" s="37"/>
      <c r="E1848" s="37"/>
      <c r="F1848" s="37"/>
      <c r="G1848" s="37"/>
    </row>
    <row r="1849" spans="1:7">
      <c r="A1849" s="37"/>
      <c r="B1849" s="37"/>
      <c r="C1849" s="37"/>
      <c r="D1849" s="37"/>
      <c r="E1849" s="37"/>
      <c r="F1849" s="37"/>
      <c r="G1849" s="37"/>
    </row>
    <row r="1850" spans="1:7">
      <c r="A1850" s="37"/>
      <c r="B1850" s="37"/>
      <c r="C1850" s="37"/>
      <c r="D1850" s="37"/>
      <c r="E1850" s="37"/>
      <c r="F1850" s="37"/>
      <c r="G1850" s="37"/>
    </row>
    <row r="1851" spans="1:7">
      <c r="A1851" s="37"/>
      <c r="B1851" s="37"/>
      <c r="C1851" s="37"/>
      <c r="D1851" s="37"/>
      <c r="E1851" s="37"/>
      <c r="F1851" s="37"/>
      <c r="G1851" s="37"/>
    </row>
    <row r="1852" spans="1:7">
      <c r="A1852" s="37"/>
      <c r="B1852" s="37"/>
      <c r="C1852" s="37"/>
      <c r="D1852" s="37"/>
      <c r="E1852" s="37"/>
      <c r="F1852" s="37"/>
      <c r="G1852" s="37"/>
    </row>
    <row r="1853" spans="1:7">
      <c r="A1853" s="37"/>
      <c r="B1853" s="37"/>
      <c r="C1853" s="37"/>
      <c r="D1853" s="37"/>
      <c r="E1853" s="37"/>
      <c r="F1853" s="37"/>
      <c r="G1853" s="37"/>
    </row>
    <row r="1854" spans="1:7">
      <c r="A1854" s="37"/>
      <c r="B1854" s="37"/>
      <c r="C1854" s="37"/>
      <c r="D1854" s="37"/>
      <c r="E1854" s="37"/>
      <c r="F1854" s="37"/>
      <c r="G1854" s="37"/>
    </row>
    <row r="1855" spans="1:7">
      <c r="A1855" s="37"/>
      <c r="B1855" s="37"/>
      <c r="C1855" s="37"/>
      <c r="D1855" s="37"/>
      <c r="E1855" s="37"/>
      <c r="F1855" s="37"/>
      <c r="G1855" s="37"/>
    </row>
    <row r="1856" spans="1:7">
      <c r="A1856" s="37"/>
      <c r="B1856" s="37"/>
      <c r="C1856" s="37"/>
      <c r="D1856" s="37"/>
      <c r="E1856" s="37"/>
      <c r="F1856" s="37"/>
      <c r="G1856" s="37"/>
    </row>
    <row r="1857" spans="1:7">
      <c r="A1857" s="37"/>
      <c r="B1857" s="37"/>
      <c r="C1857" s="37"/>
      <c r="D1857" s="37"/>
      <c r="E1857" s="37"/>
      <c r="F1857" s="37"/>
      <c r="G1857" s="37"/>
    </row>
    <row r="1858" spans="1:7">
      <c r="A1858" s="37"/>
      <c r="B1858" s="37"/>
      <c r="C1858" s="37"/>
      <c r="D1858" s="37"/>
      <c r="E1858" s="37"/>
      <c r="F1858" s="37"/>
      <c r="G1858" s="37"/>
    </row>
    <row r="1859" spans="1:7">
      <c r="A1859" s="37"/>
      <c r="B1859" s="37"/>
      <c r="C1859" s="37"/>
      <c r="D1859" s="37"/>
      <c r="E1859" s="37"/>
      <c r="F1859" s="37"/>
      <c r="G1859" s="37"/>
    </row>
    <row r="1860" spans="1:7">
      <c r="A1860" s="37"/>
      <c r="B1860" s="37"/>
      <c r="C1860" s="37"/>
      <c r="D1860" s="37"/>
      <c r="E1860" s="37"/>
      <c r="F1860" s="37"/>
      <c r="G1860" s="37"/>
    </row>
    <row r="1861" spans="1:7">
      <c r="A1861" s="37"/>
      <c r="B1861" s="37"/>
      <c r="C1861" s="37"/>
      <c r="D1861" s="37"/>
      <c r="E1861" s="37"/>
      <c r="F1861" s="37"/>
      <c r="G1861" s="37"/>
    </row>
    <row r="1862" spans="1:7">
      <c r="A1862" s="37"/>
      <c r="B1862" s="37"/>
      <c r="C1862" s="37"/>
      <c r="D1862" s="37"/>
      <c r="E1862" s="37"/>
      <c r="F1862" s="37"/>
      <c r="G1862" s="37"/>
    </row>
    <row r="1863" spans="1:7">
      <c r="A1863" s="37"/>
      <c r="B1863" s="37"/>
      <c r="C1863" s="37"/>
      <c r="D1863" s="37"/>
      <c r="E1863" s="37"/>
      <c r="F1863" s="37"/>
      <c r="G1863" s="37"/>
    </row>
    <row r="1864" spans="1:7">
      <c r="A1864" s="37"/>
      <c r="B1864" s="37"/>
      <c r="C1864" s="37"/>
      <c r="D1864" s="37"/>
      <c r="E1864" s="37"/>
      <c r="F1864" s="37"/>
      <c r="G1864" s="37"/>
    </row>
    <row r="1865" spans="1:7">
      <c r="A1865" s="37"/>
      <c r="B1865" s="37"/>
      <c r="C1865" s="37"/>
      <c r="D1865" s="37"/>
      <c r="E1865" s="37"/>
      <c r="F1865" s="37"/>
      <c r="G1865" s="37"/>
    </row>
    <row r="1866" spans="1:7">
      <c r="A1866" s="37"/>
      <c r="B1866" s="37"/>
      <c r="C1866" s="37"/>
      <c r="D1866" s="37"/>
      <c r="E1866" s="37"/>
      <c r="F1866" s="37"/>
      <c r="G1866" s="37"/>
    </row>
    <row r="1867" spans="1:7">
      <c r="A1867" s="37"/>
      <c r="B1867" s="37"/>
      <c r="C1867" s="37"/>
      <c r="D1867" s="37"/>
      <c r="E1867" s="37"/>
      <c r="F1867" s="37"/>
      <c r="G1867" s="37"/>
    </row>
    <row r="1868" spans="1:7">
      <c r="A1868" s="37"/>
      <c r="B1868" s="37"/>
      <c r="C1868" s="37"/>
      <c r="D1868" s="37"/>
      <c r="E1868" s="37"/>
      <c r="F1868" s="37"/>
      <c r="G1868" s="37"/>
    </row>
    <row r="1869" spans="1:7">
      <c r="A1869" s="37"/>
      <c r="B1869" s="37"/>
      <c r="C1869" s="37"/>
      <c r="D1869" s="37"/>
      <c r="E1869" s="37"/>
      <c r="F1869" s="37"/>
      <c r="G1869" s="37"/>
    </row>
    <row r="1870" spans="1:7">
      <c r="A1870" s="37"/>
      <c r="B1870" s="37"/>
      <c r="C1870" s="37"/>
      <c r="D1870" s="37"/>
      <c r="E1870" s="37"/>
      <c r="F1870" s="37"/>
      <c r="G1870" s="37"/>
    </row>
    <row r="1871" spans="1:7">
      <c r="A1871" s="37"/>
      <c r="B1871" s="37"/>
      <c r="C1871" s="37"/>
      <c r="D1871" s="37"/>
      <c r="E1871" s="37"/>
      <c r="F1871" s="37"/>
      <c r="G1871" s="37"/>
    </row>
    <row r="1872" spans="1:7">
      <c r="A1872" s="37"/>
      <c r="B1872" s="37"/>
      <c r="C1872" s="37"/>
      <c r="D1872" s="37"/>
      <c r="E1872" s="37"/>
      <c r="F1872" s="37"/>
      <c r="G1872" s="37"/>
    </row>
    <row r="1873" spans="1:7">
      <c r="A1873" s="37"/>
      <c r="B1873" s="37"/>
      <c r="C1873" s="37"/>
      <c r="D1873" s="37"/>
      <c r="E1873" s="37"/>
      <c r="F1873" s="37"/>
      <c r="G1873" s="37"/>
    </row>
    <row r="1874" spans="1:7">
      <c r="A1874" s="37"/>
      <c r="B1874" s="37"/>
      <c r="C1874" s="37"/>
      <c r="D1874" s="37"/>
      <c r="E1874" s="37"/>
      <c r="F1874" s="37"/>
      <c r="G1874" s="37"/>
    </row>
    <row r="1875" spans="1:7">
      <c r="A1875" s="37"/>
      <c r="B1875" s="37"/>
      <c r="C1875" s="37"/>
      <c r="D1875" s="37"/>
      <c r="E1875" s="37"/>
      <c r="F1875" s="37"/>
      <c r="G1875" s="37"/>
    </row>
    <row r="1876" spans="1:7">
      <c r="A1876" s="37"/>
      <c r="B1876" s="37"/>
      <c r="C1876" s="37"/>
      <c r="D1876" s="37"/>
      <c r="E1876" s="37"/>
      <c r="F1876" s="37"/>
      <c r="G1876" s="37"/>
    </row>
    <row r="1877" spans="1:7">
      <c r="A1877" s="37"/>
      <c r="B1877" s="37"/>
      <c r="C1877" s="37"/>
      <c r="D1877" s="37"/>
      <c r="E1877" s="37"/>
      <c r="F1877" s="37"/>
      <c r="G1877" s="37"/>
    </row>
    <row r="1878" spans="1:7">
      <c r="A1878" s="37"/>
      <c r="B1878" s="37"/>
      <c r="C1878" s="37"/>
      <c r="D1878" s="37"/>
      <c r="E1878" s="37"/>
      <c r="F1878" s="37"/>
      <c r="G1878" s="37"/>
    </row>
    <row r="1879" spans="1:7">
      <c r="A1879" s="37"/>
      <c r="B1879" s="37"/>
      <c r="C1879" s="37"/>
      <c r="D1879" s="37"/>
      <c r="E1879" s="37"/>
      <c r="F1879" s="37"/>
      <c r="G1879" s="37"/>
    </row>
    <row r="1880" spans="1:7">
      <c r="A1880" s="37"/>
      <c r="B1880" s="37"/>
      <c r="C1880" s="37"/>
      <c r="D1880" s="37"/>
      <c r="E1880" s="37"/>
      <c r="F1880" s="37"/>
      <c r="G1880" s="37"/>
    </row>
    <row r="1881" spans="1:7">
      <c r="A1881" s="37"/>
      <c r="B1881" s="37"/>
      <c r="C1881" s="37"/>
      <c r="D1881" s="37"/>
      <c r="E1881" s="37"/>
      <c r="F1881" s="37"/>
      <c r="G1881" s="37"/>
    </row>
    <row r="1882" spans="1:7">
      <c r="A1882" s="37"/>
      <c r="B1882" s="37"/>
      <c r="C1882" s="37"/>
      <c r="D1882" s="37"/>
      <c r="E1882" s="37"/>
      <c r="F1882" s="37"/>
      <c r="G1882" s="37"/>
    </row>
    <row r="1883" spans="1:7">
      <c r="A1883" s="37"/>
      <c r="B1883" s="37"/>
      <c r="C1883" s="37"/>
      <c r="D1883" s="37"/>
      <c r="E1883" s="37"/>
      <c r="F1883" s="37"/>
      <c r="G1883" s="37"/>
    </row>
    <row r="1884" spans="1:7">
      <c r="A1884" s="37"/>
      <c r="B1884" s="37"/>
      <c r="C1884" s="37"/>
      <c r="D1884" s="37"/>
      <c r="E1884" s="37"/>
      <c r="F1884" s="37"/>
      <c r="G1884" s="37"/>
    </row>
    <row r="1885" spans="1:7">
      <c r="A1885" s="37"/>
      <c r="B1885" s="37"/>
      <c r="C1885" s="37"/>
      <c r="D1885" s="37"/>
      <c r="E1885" s="37"/>
      <c r="F1885" s="37"/>
      <c r="G1885" s="37"/>
    </row>
    <row r="1886" spans="1:7">
      <c r="A1886" s="37"/>
      <c r="B1886" s="37"/>
      <c r="C1886" s="37"/>
      <c r="D1886" s="37"/>
      <c r="E1886" s="37"/>
      <c r="F1886" s="37"/>
      <c r="G1886" s="37"/>
    </row>
    <row r="1887" spans="1:7">
      <c r="A1887" s="37"/>
      <c r="B1887" s="37"/>
      <c r="C1887" s="37"/>
      <c r="D1887" s="37"/>
      <c r="E1887" s="37"/>
      <c r="F1887" s="37"/>
      <c r="G1887" s="37"/>
    </row>
    <row r="1888" spans="1:7">
      <c r="A1888" s="37"/>
      <c r="B1888" s="37"/>
      <c r="C1888" s="37"/>
      <c r="D1888" s="37"/>
      <c r="E1888" s="37"/>
      <c r="F1888" s="37"/>
      <c r="G1888" s="37"/>
    </row>
    <row r="1889" spans="1:7">
      <c r="A1889" s="37"/>
      <c r="B1889" s="37"/>
      <c r="C1889" s="37"/>
      <c r="D1889" s="37"/>
      <c r="E1889" s="37"/>
      <c r="F1889" s="37"/>
      <c r="G1889" s="37"/>
    </row>
    <row r="1890" spans="1:7">
      <c r="A1890" s="37"/>
      <c r="B1890" s="37"/>
      <c r="C1890" s="37"/>
      <c r="D1890" s="37"/>
      <c r="E1890" s="37"/>
      <c r="F1890" s="37"/>
      <c r="G1890" s="37"/>
    </row>
    <row r="1891" spans="1:7">
      <c r="A1891" s="37"/>
      <c r="B1891" s="37"/>
      <c r="C1891" s="37"/>
      <c r="D1891" s="37"/>
      <c r="E1891" s="37"/>
      <c r="F1891" s="37"/>
      <c r="G1891" s="37"/>
    </row>
    <row r="1892" spans="1:7">
      <c r="A1892" s="37"/>
      <c r="B1892" s="37"/>
      <c r="C1892" s="37"/>
      <c r="D1892" s="37"/>
      <c r="E1892" s="37"/>
      <c r="F1892" s="37"/>
      <c r="G1892" s="37"/>
    </row>
    <row r="1893" spans="1:7">
      <c r="A1893" s="37"/>
      <c r="B1893" s="37"/>
      <c r="C1893" s="37"/>
      <c r="D1893" s="37"/>
      <c r="E1893" s="37"/>
      <c r="F1893" s="37"/>
      <c r="G1893" s="37"/>
    </row>
    <row r="1894" spans="1:7">
      <c r="A1894" s="37"/>
      <c r="B1894" s="37"/>
      <c r="C1894" s="37"/>
      <c r="D1894" s="37"/>
      <c r="E1894" s="37"/>
      <c r="F1894" s="37"/>
      <c r="G1894" s="37"/>
    </row>
    <row r="1895" spans="1:7">
      <c r="A1895" s="37"/>
      <c r="B1895" s="37"/>
      <c r="C1895" s="37"/>
      <c r="D1895" s="37"/>
      <c r="E1895" s="37"/>
      <c r="F1895" s="37"/>
      <c r="G1895" s="37"/>
    </row>
    <row r="1896" spans="1:7">
      <c r="A1896" s="37"/>
      <c r="B1896" s="37"/>
      <c r="C1896" s="37"/>
      <c r="D1896" s="37"/>
      <c r="E1896" s="37"/>
      <c r="F1896" s="37"/>
      <c r="G1896" s="37"/>
    </row>
    <row r="1897" spans="1:7">
      <c r="A1897" s="37"/>
      <c r="B1897" s="37"/>
      <c r="C1897" s="37"/>
      <c r="D1897" s="37"/>
      <c r="E1897" s="37"/>
      <c r="F1897" s="37"/>
      <c r="G1897" s="37"/>
    </row>
    <row r="1898" spans="1:7">
      <c r="A1898" s="37"/>
      <c r="B1898" s="37"/>
      <c r="C1898" s="37"/>
      <c r="D1898" s="37"/>
      <c r="E1898" s="37"/>
      <c r="F1898" s="37"/>
      <c r="G1898" s="37"/>
    </row>
    <row r="1899" spans="1:7">
      <c r="A1899" s="37"/>
      <c r="B1899" s="37"/>
      <c r="C1899" s="37"/>
      <c r="D1899" s="37"/>
      <c r="E1899" s="37"/>
      <c r="F1899" s="37"/>
      <c r="G1899" s="37"/>
    </row>
    <row r="1900" spans="1:7">
      <c r="A1900" s="37"/>
      <c r="B1900" s="37"/>
      <c r="C1900" s="37"/>
      <c r="D1900" s="37"/>
      <c r="E1900" s="37"/>
      <c r="F1900" s="37"/>
      <c r="G1900" s="37"/>
    </row>
    <row r="1901" spans="1:7">
      <c r="A1901" s="37"/>
      <c r="B1901" s="37"/>
      <c r="C1901" s="37"/>
      <c r="D1901" s="37"/>
      <c r="E1901" s="37"/>
      <c r="F1901" s="37"/>
      <c r="G1901" s="37"/>
    </row>
    <row r="1902" spans="1:7">
      <c r="A1902" s="37"/>
      <c r="B1902" s="37"/>
      <c r="C1902" s="37"/>
      <c r="D1902" s="37"/>
      <c r="E1902" s="37"/>
      <c r="F1902" s="37"/>
      <c r="G1902" s="37"/>
    </row>
    <row r="1903" spans="1:7">
      <c r="A1903" s="37"/>
      <c r="B1903" s="37"/>
      <c r="C1903" s="37"/>
      <c r="D1903" s="37"/>
      <c r="E1903" s="37"/>
      <c r="F1903" s="37"/>
      <c r="G1903" s="37"/>
    </row>
    <row r="1904" spans="1:7">
      <c r="A1904" s="37"/>
      <c r="B1904" s="37"/>
      <c r="C1904" s="37"/>
      <c r="D1904" s="37"/>
      <c r="E1904" s="37"/>
      <c r="F1904" s="37"/>
      <c r="G1904" s="37"/>
    </row>
    <row r="1905" spans="1:7">
      <c r="A1905" s="37"/>
      <c r="B1905" s="37"/>
      <c r="C1905" s="37"/>
      <c r="D1905" s="37"/>
      <c r="E1905" s="37"/>
      <c r="F1905" s="37"/>
      <c r="G1905" s="37"/>
    </row>
    <row r="1906" spans="1:7">
      <c r="A1906" s="37"/>
      <c r="B1906" s="37"/>
      <c r="C1906" s="37"/>
      <c r="D1906" s="37"/>
      <c r="E1906" s="37"/>
      <c r="F1906" s="37"/>
      <c r="G1906" s="37"/>
    </row>
    <row r="1907" spans="1:7">
      <c r="A1907" s="37"/>
      <c r="B1907" s="37"/>
      <c r="C1907" s="37"/>
      <c r="D1907" s="37"/>
      <c r="E1907" s="37"/>
      <c r="F1907" s="37"/>
      <c r="G1907" s="37"/>
    </row>
    <row r="1908" spans="1:7">
      <c r="A1908" s="37"/>
      <c r="B1908" s="37"/>
      <c r="C1908" s="37"/>
      <c r="D1908" s="37"/>
      <c r="E1908" s="37"/>
      <c r="F1908" s="37"/>
      <c r="G1908" s="37"/>
    </row>
    <row r="1909" spans="1:7">
      <c r="A1909" s="37"/>
      <c r="B1909" s="37"/>
      <c r="C1909" s="37"/>
      <c r="D1909" s="37"/>
      <c r="E1909" s="37"/>
      <c r="F1909" s="37"/>
      <c r="G1909" s="37"/>
    </row>
    <row r="1910" spans="1:7">
      <c r="A1910" s="37"/>
      <c r="B1910" s="37"/>
      <c r="C1910" s="37"/>
      <c r="D1910" s="37"/>
      <c r="E1910" s="37"/>
      <c r="F1910" s="37"/>
      <c r="G1910" s="37"/>
    </row>
    <row r="1911" spans="1:7">
      <c r="A1911" s="37"/>
      <c r="B1911" s="37"/>
      <c r="C1911" s="37"/>
      <c r="D1911" s="37"/>
      <c r="E1911" s="37"/>
      <c r="F1911" s="37"/>
      <c r="G1911" s="37"/>
    </row>
    <row r="1912" spans="1:7">
      <c r="A1912" s="37"/>
      <c r="B1912" s="37"/>
      <c r="C1912" s="37"/>
      <c r="D1912" s="37"/>
      <c r="E1912" s="37"/>
      <c r="F1912" s="37"/>
      <c r="G1912" s="37"/>
    </row>
    <row r="1913" spans="1:7">
      <c r="A1913" s="37"/>
      <c r="B1913" s="37"/>
      <c r="C1913" s="37"/>
      <c r="D1913" s="37"/>
      <c r="E1913" s="37"/>
      <c r="F1913" s="37"/>
      <c r="G1913" s="37"/>
    </row>
    <row r="1914" spans="1:7">
      <c r="A1914" s="37"/>
      <c r="B1914" s="37"/>
      <c r="C1914" s="37"/>
      <c r="D1914" s="37"/>
      <c r="E1914" s="37"/>
      <c r="F1914" s="37"/>
      <c r="G1914" s="37"/>
    </row>
    <row r="1915" spans="1:7">
      <c r="A1915" s="37"/>
      <c r="B1915" s="37"/>
      <c r="C1915" s="37"/>
      <c r="D1915" s="37"/>
      <c r="E1915" s="37"/>
      <c r="F1915" s="37"/>
      <c r="G1915" s="37"/>
    </row>
    <row r="1916" spans="1:7">
      <c r="A1916" s="37"/>
      <c r="B1916" s="37"/>
      <c r="C1916" s="37"/>
      <c r="D1916" s="37"/>
      <c r="E1916" s="37"/>
      <c r="F1916" s="37"/>
      <c r="G1916" s="37"/>
    </row>
    <row r="1917" spans="1:7">
      <c r="A1917" s="37"/>
      <c r="B1917" s="37"/>
      <c r="C1917" s="37"/>
      <c r="D1917" s="37"/>
      <c r="E1917" s="37"/>
      <c r="F1917" s="37"/>
      <c r="G1917" s="37"/>
    </row>
    <row r="1918" spans="1:7">
      <c r="A1918" s="37"/>
      <c r="B1918" s="37"/>
      <c r="C1918" s="37"/>
      <c r="D1918" s="37"/>
      <c r="E1918" s="37"/>
      <c r="F1918" s="37"/>
      <c r="G1918" s="37"/>
    </row>
    <row r="1919" spans="1:7">
      <c r="A1919" s="37"/>
      <c r="B1919" s="37"/>
      <c r="C1919" s="37"/>
      <c r="D1919" s="37"/>
      <c r="E1919" s="37"/>
      <c r="F1919" s="37"/>
      <c r="G1919" s="37"/>
    </row>
    <row r="1920" spans="1:7">
      <c r="A1920" s="37"/>
      <c r="B1920" s="37"/>
      <c r="C1920" s="37"/>
      <c r="D1920" s="37"/>
      <c r="E1920" s="37"/>
      <c r="F1920" s="37"/>
      <c r="G1920" s="37"/>
    </row>
    <row r="1921" spans="1:7">
      <c r="A1921" s="37"/>
      <c r="B1921" s="37"/>
      <c r="C1921" s="37"/>
      <c r="D1921" s="37"/>
      <c r="E1921" s="37"/>
      <c r="F1921" s="37"/>
      <c r="G1921" s="37"/>
    </row>
    <row r="1922" spans="1:7">
      <c r="A1922" s="37"/>
      <c r="B1922" s="37"/>
      <c r="C1922" s="37"/>
      <c r="D1922" s="37"/>
      <c r="E1922" s="37"/>
      <c r="F1922" s="37"/>
      <c r="G1922" s="37"/>
    </row>
    <row r="1923" spans="1:7">
      <c r="A1923" s="37"/>
      <c r="B1923" s="37"/>
      <c r="C1923" s="37"/>
      <c r="D1923" s="37"/>
      <c r="E1923" s="37"/>
      <c r="F1923" s="37"/>
      <c r="G1923" s="37"/>
    </row>
    <row r="1924" spans="1:7">
      <c r="A1924" s="37"/>
      <c r="B1924" s="37"/>
      <c r="C1924" s="37"/>
      <c r="D1924" s="37"/>
      <c r="E1924" s="37"/>
      <c r="F1924" s="37"/>
      <c r="G1924" s="37"/>
    </row>
    <row r="1925" spans="1:7">
      <c r="A1925" s="37"/>
      <c r="B1925" s="37"/>
      <c r="C1925" s="37"/>
      <c r="D1925" s="37"/>
      <c r="E1925" s="37"/>
      <c r="F1925" s="37"/>
      <c r="G1925" s="37"/>
    </row>
    <row r="1926" spans="1:7">
      <c r="A1926" s="37"/>
      <c r="B1926" s="37"/>
      <c r="C1926" s="37"/>
      <c r="D1926" s="37"/>
      <c r="E1926" s="37"/>
      <c r="F1926" s="37"/>
      <c r="G1926" s="37"/>
    </row>
    <row r="1927" spans="1:7">
      <c r="A1927" s="37"/>
      <c r="B1927" s="37"/>
      <c r="C1927" s="37"/>
      <c r="D1927" s="37"/>
      <c r="E1927" s="37"/>
      <c r="F1927" s="37"/>
      <c r="G1927" s="37"/>
    </row>
    <row r="1928" spans="1:7">
      <c r="A1928" s="37"/>
      <c r="B1928" s="37"/>
      <c r="C1928" s="37"/>
      <c r="D1928" s="37"/>
      <c r="E1928" s="37"/>
      <c r="F1928" s="37"/>
      <c r="G1928" s="37"/>
    </row>
    <row r="1929" spans="1:7">
      <c r="A1929" s="37"/>
      <c r="B1929" s="37"/>
      <c r="C1929" s="37"/>
      <c r="D1929" s="37"/>
      <c r="E1929" s="37"/>
      <c r="F1929" s="37"/>
      <c r="G1929" s="37"/>
    </row>
    <row r="1930" spans="1:7">
      <c r="A1930" s="37"/>
      <c r="B1930" s="37"/>
      <c r="C1930" s="37"/>
      <c r="D1930" s="37"/>
      <c r="E1930" s="37"/>
      <c r="F1930" s="37"/>
      <c r="G1930" s="37"/>
    </row>
    <row r="1931" spans="1:7">
      <c r="A1931" s="37"/>
      <c r="B1931" s="37"/>
      <c r="C1931" s="37"/>
      <c r="D1931" s="37"/>
      <c r="E1931" s="37"/>
      <c r="F1931" s="37"/>
      <c r="G1931" s="37"/>
    </row>
    <row r="1932" spans="1:7">
      <c r="A1932" s="37"/>
      <c r="B1932" s="37"/>
      <c r="C1932" s="37"/>
      <c r="D1932" s="37"/>
      <c r="E1932" s="37"/>
      <c r="F1932" s="37"/>
      <c r="G1932" s="37"/>
    </row>
    <row r="1933" spans="1:7">
      <c r="A1933" s="37"/>
      <c r="B1933" s="37"/>
      <c r="C1933" s="37"/>
      <c r="D1933" s="37"/>
      <c r="E1933" s="37"/>
      <c r="F1933" s="37"/>
      <c r="G1933" s="37"/>
    </row>
    <row r="1934" spans="1:7">
      <c r="A1934" s="37"/>
      <c r="B1934" s="37"/>
      <c r="C1934" s="37"/>
      <c r="D1934" s="37"/>
      <c r="E1934" s="37"/>
      <c r="F1934" s="37"/>
      <c r="G1934" s="37"/>
    </row>
    <row r="1935" spans="1:7">
      <c r="A1935" s="37"/>
      <c r="B1935" s="37"/>
      <c r="C1935" s="37"/>
      <c r="D1935" s="37"/>
      <c r="E1935" s="37"/>
      <c r="F1935" s="37"/>
      <c r="G1935" s="37"/>
    </row>
    <row r="1936" spans="1:7">
      <c r="A1936" s="37"/>
      <c r="B1936" s="37"/>
      <c r="C1936" s="37"/>
      <c r="D1936" s="37"/>
      <c r="E1936" s="37"/>
      <c r="F1936" s="37"/>
      <c r="G1936" s="37"/>
    </row>
    <row r="1937" spans="1:7">
      <c r="A1937" s="37"/>
      <c r="B1937" s="37"/>
      <c r="C1937" s="37"/>
      <c r="D1937" s="37"/>
      <c r="E1937" s="37"/>
      <c r="F1937" s="37"/>
      <c r="G1937" s="37"/>
    </row>
    <row r="1938" spans="1:7">
      <c r="A1938" s="37"/>
      <c r="B1938" s="37"/>
      <c r="C1938" s="37"/>
      <c r="D1938" s="37"/>
      <c r="E1938" s="37"/>
      <c r="F1938" s="37"/>
      <c r="G1938" s="37"/>
    </row>
    <row r="1939" spans="1:7">
      <c r="A1939" s="37"/>
      <c r="B1939" s="37"/>
      <c r="C1939" s="37"/>
      <c r="D1939" s="37"/>
      <c r="E1939" s="37"/>
      <c r="F1939" s="37"/>
      <c r="G1939" s="37"/>
    </row>
    <row r="1940" spans="1:7">
      <c r="A1940" s="37"/>
      <c r="B1940" s="37"/>
      <c r="C1940" s="37"/>
      <c r="D1940" s="37"/>
      <c r="E1940" s="37"/>
      <c r="F1940" s="37"/>
      <c r="G1940" s="37"/>
    </row>
    <row r="1941" spans="1:7">
      <c r="A1941" s="37"/>
      <c r="B1941" s="37"/>
      <c r="C1941" s="37"/>
      <c r="D1941" s="37"/>
      <c r="E1941" s="37"/>
      <c r="F1941" s="37"/>
      <c r="G1941" s="37"/>
    </row>
    <row r="1942" spans="1:7">
      <c r="A1942" s="37"/>
      <c r="B1942" s="37"/>
      <c r="C1942" s="37"/>
      <c r="D1942" s="37"/>
      <c r="E1942" s="37"/>
      <c r="F1942" s="37"/>
      <c r="G1942" s="37"/>
    </row>
    <row r="1943" spans="1:7">
      <c r="A1943" s="37"/>
      <c r="B1943" s="37"/>
      <c r="C1943" s="37"/>
      <c r="D1943" s="37"/>
      <c r="E1943" s="37"/>
      <c r="F1943" s="37"/>
      <c r="G1943" s="37"/>
    </row>
    <row r="1944" spans="1:7">
      <c r="A1944" s="37"/>
      <c r="B1944" s="37"/>
      <c r="C1944" s="37"/>
      <c r="D1944" s="37"/>
      <c r="E1944" s="37"/>
      <c r="F1944" s="37"/>
      <c r="G1944" s="37"/>
    </row>
    <row r="1945" spans="1:7">
      <c r="A1945" s="37"/>
      <c r="B1945" s="37"/>
      <c r="C1945" s="37"/>
      <c r="D1945" s="37"/>
      <c r="E1945" s="37"/>
      <c r="F1945" s="37"/>
      <c r="G1945" s="37"/>
    </row>
    <row r="1946" spans="1:7">
      <c r="A1946" s="37"/>
      <c r="B1946" s="37"/>
      <c r="C1946" s="37"/>
      <c r="D1946" s="37"/>
      <c r="E1946" s="37"/>
      <c r="F1946" s="37"/>
      <c r="G1946" s="37"/>
    </row>
    <row r="1947" spans="1:7">
      <c r="A1947" s="37"/>
      <c r="B1947" s="37"/>
      <c r="C1947" s="37"/>
      <c r="D1947" s="37"/>
      <c r="E1947" s="37"/>
      <c r="F1947" s="37"/>
      <c r="G1947" s="37"/>
    </row>
    <row r="1948" spans="1:7">
      <c r="A1948" s="37"/>
      <c r="B1948" s="37"/>
      <c r="C1948" s="37"/>
      <c r="D1948" s="37"/>
      <c r="E1948" s="37"/>
      <c r="F1948" s="37"/>
      <c r="G1948" s="37"/>
    </row>
    <row r="1949" spans="1:7">
      <c r="A1949" s="37"/>
      <c r="B1949" s="37"/>
      <c r="C1949" s="37"/>
      <c r="D1949" s="37"/>
      <c r="E1949" s="37"/>
      <c r="F1949" s="37"/>
      <c r="G1949" s="37"/>
    </row>
    <row r="1950" spans="1:7">
      <c r="A1950" s="37"/>
      <c r="B1950" s="37"/>
      <c r="C1950" s="37"/>
      <c r="D1950" s="37"/>
      <c r="E1950" s="37"/>
      <c r="F1950" s="37"/>
      <c r="G1950" s="37"/>
    </row>
    <row r="1951" spans="1:7">
      <c r="A1951" s="37"/>
      <c r="B1951" s="37"/>
      <c r="C1951" s="37"/>
      <c r="D1951" s="37"/>
      <c r="E1951" s="37"/>
      <c r="F1951" s="37"/>
      <c r="G1951" s="37"/>
    </row>
    <row r="1952" spans="1:7">
      <c r="A1952" s="37"/>
      <c r="B1952" s="37"/>
      <c r="C1952" s="37"/>
      <c r="D1952" s="37"/>
      <c r="E1952" s="37"/>
      <c r="F1952" s="37"/>
      <c r="G1952" s="37"/>
    </row>
    <row r="1953" spans="1:7">
      <c r="A1953" s="37"/>
      <c r="B1953" s="37"/>
      <c r="C1953" s="37"/>
      <c r="D1953" s="37"/>
      <c r="E1953" s="37"/>
      <c r="F1953" s="37"/>
      <c r="G1953" s="37"/>
    </row>
    <row r="1954" spans="1:7">
      <c r="A1954" s="37"/>
      <c r="B1954" s="37"/>
      <c r="C1954" s="37"/>
      <c r="D1954" s="37"/>
      <c r="E1954" s="37"/>
      <c r="F1954" s="37"/>
      <c r="G1954" s="37"/>
    </row>
    <row r="1955" spans="1:7">
      <c r="A1955" s="37"/>
      <c r="B1955" s="37"/>
      <c r="C1955" s="37"/>
      <c r="D1955" s="37"/>
      <c r="E1955" s="37"/>
      <c r="F1955" s="37"/>
      <c r="G1955" s="37"/>
    </row>
    <row r="1956" spans="1:7">
      <c r="A1956" s="37"/>
      <c r="B1956" s="37"/>
      <c r="C1956" s="37"/>
      <c r="D1956" s="37"/>
      <c r="E1956" s="37"/>
      <c r="F1956" s="37"/>
      <c r="G1956" s="37"/>
    </row>
    <row r="1957" spans="1:7">
      <c r="A1957" s="37"/>
      <c r="B1957" s="37"/>
      <c r="C1957" s="37"/>
      <c r="D1957" s="37"/>
      <c r="E1957" s="37"/>
      <c r="F1957" s="37"/>
      <c r="G1957" s="37"/>
    </row>
    <row r="1958" spans="1:7">
      <c r="A1958" s="37"/>
      <c r="B1958" s="37"/>
      <c r="C1958" s="37"/>
      <c r="D1958" s="37"/>
      <c r="E1958" s="37"/>
      <c r="F1958" s="37"/>
      <c r="G1958" s="37"/>
    </row>
    <row r="1959" spans="1:7">
      <c r="A1959" s="37"/>
      <c r="B1959" s="37"/>
      <c r="C1959" s="37"/>
      <c r="D1959" s="37"/>
      <c r="E1959" s="37"/>
      <c r="F1959" s="37"/>
      <c r="G1959" s="37"/>
    </row>
    <row r="1960" spans="1:7">
      <c r="A1960" s="37"/>
      <c r="B1960" s="37"/>
      <c r="C1960" s="37"/>
      <c r="D1960" s="37"/>
      <c r="E1960" s="37"/>
      <c r="F1960" s="37"/>
      <c r="G1960" s="37"/>
    </row>
    <row r="1961" spans="1:7">
      <c r="A1961" s="37"/>
      <c r="B1961" s="37"/>
      <c r="C1961" s="37"/>
      <c r="D1961" s="37"/>
      <c r="E1961" s="37"/>
      <c r="F1961" s="37"/>
      <c r="G1961" s="37"/>
    </row>
    <row r="1962" spans="1:7">
      <c r="A1962" s="37"/>
      <c r="B1962" s="37"/>
      <c r="C1962" s="37"/>
      <c r="D1962" s="37"/>
      <c r="E1962" s="37"/>
      <c r="F1962" s="37"/>
      <c r="G1962" s="37"/>
    </row>
    <row r="1963" spans="1:7">
      <c r="A1963" s="37"/>
      <c r="B1963" s="37"/>
      <c r="C1963" s="37"/>
      <c r="D1963" s="37"/>
      <c r="E1963" s="37"/>
      <c r="F1963" s="37"/>
      <c r="G1963" s="37"/>
    </row>
    <row r="1964" spans="1:7">
      <c r="A1964" s="37"/>
      <c r="B1964" s="37"/>
      <c r="C1964" s="37"/>
      <c r="D1964" s="37"/>
      <c r="E1964" s="37"/>
      <c r="F1964" s="37"/>
      <c r="G1964" s="37"/>
    </row>
    <row r="1965" spans="1:7">
      <c r="A1965" s="37"/>
      <c r="B1965" s="37"/>
      <c r="C1965" s="37"/>
      <c r="D1965" s="37"/>
      <c r="E1965" s="37"/>
      <c r="F1965" s="37"/>
      <c r="G1965" s="37"/>
    </row>
    <row r="1966" spans="1:7">
      <c r="A1966" s="37"/>
      <c r="B1966" s="37"/>
      <c r="C1966" s="37"/>
      <c r="D1966" s="37"/>
      <c r="E1966" s="37"/>
      <c r="F1966" s="37"/>
      <c r="G1966" s="37"/>
    </row>
    <row r="1967" spans="1:7">
      <c r="A1967" s="37"/>
      <c r="B1967" s="37"/>
      <c r="C1967" s="37"/>
      <c r="D1967" s="37"/>
      <c r="E1967" s="37"/>
      <c r="F1967" s="37"/>
      <c r="G1967" s="37"/>
    </row>
    <row r="1968" spans="1:7">
      <c r="A1968" s="37"/>
      <c r="B1968" s="37"/>
      <c r="C1968" s="37"/>
      <c r="D1968" s="37"/>
      <c r="E1968" s="37"/>
      <c r="F1968" s="37"/>
      <c r="G1968" s="37"/>
    </row>
    <row r="1969" spans="1:7">
      <c r="A1969" s="37"/>
      <c r="B1969" s="37"/>
      <c r="C1969" s="37"/>
      <c r="D1969" s="37"/>
      <c r="E1969" s="37"/>
      <c r="F1969" s="37"/>
      <c r="G1969" s="37"/>
    </row>
    <row r="1970" spans="1:7">
      <c r="A1970" s="37"/>
      <c r="B1970" s="37"/>
      <c r="C1970" s="37"/>
      <c r="D1970" s="37"/>
      <c r="E1970" s="37"/>
      <c r="F1970" s="37"/>
      <c r="G1970" s="37"/>
    </row>
    <row r="1971" spans="1:7">
      <c r="A1971" s="37"/>
      <c r="B1971" s="37"/>
      <c r="C1971" s="37"/>
      <c r="D1971" s="37"/>
      <c r="E1971" s="37"/>
      <c r="F1971" s="37"/>
      <c r="G1971" s="37"/>
    </row>
    <row r="1972" spans="1:7">
      <c r="A1972" s="37"/>
      <c r="B1972" s="37"/>
      <c r="C1972" s="37"/>
      <c r="D1972" s="37"/>
      <c r="E1972" s="37"/>
      <c r="F1972" s="37"/>
      <c r="G1972" s="37"/>
    </row>
    <row r="1973" spans="1:7">
      <c r="A1973" s="37"/>
      <c r="B1973" s="37"/>
      <c r="C1973" s="37"/>
      <c r="D1973" s="37"/>
      <c r="E1973" s="37"/>
      <c r="F1973" s="37"/>
      <c r="G1973" s="37"/>
    </row>
    <row r="1974" spans="1:7">
      <c r="A1974" s="37"/>
      <c r="B1974" s="37"/>
      <c r="C1974" s="37"/>
      <c r="D1974" s="37"/>
      <c r="E1974" s="37"/>
      <c r="F1974" s="37"/>
      <c r="G1974" s="37"/>
    </row>
    <row r="1975" spans="1:7">
      <c r="A1975" s="37"/>
      <c r="B1975" s="37"/>
      <c r="C1975" s="37"/>
      <c r="D1975" s="37"/>
      <c r="E1975" s="37"/>
      <c r="F1975" s="37"/>
      <c r="G1975" s="37"/>
    </row>
    <row r="1976" spans="1:7">
      <c r="A1976" s="37"/>
      <c r="B1976" s="37"/>
      <c r="C1976" s="37"/>
      <c r="D1976" s="37"/>
      <c r="E1976" s="37"/>
      <c r="F1976" s="37"/>
      <c r="G1976" s="37"/>
    </row>
    <row r="1977" spans="1:7">
      <c r="A1977" s="37"/>
      <c r="B1977" s="37"/>
      <c r="C1977" s="37"/>
      <c r="D1977" s="37"/>
      <c r="E1977" s="37"/>
      <c r="F1977" s="37"/>
      <c r="G1977" s="37"/>
    </row>
    <row r="1978" spans="1:7">
      <c r="A1978" s="37"/>
      <c r="B1978" s="37"/>
      <c r="C1978" s="37"/>
      <c r="D1978" s="37"/>
      <c r="E1978" s="37"/>
      <c r="F1978" s="37"/>
      <c r="G1978" s="37"/>
    </row>
    <row r="1979" spans="1:7">
      <c r="A1979" s="37"/>
      <c r="B1979" s="37"/>
      <c r="C1979" s="37"/>
      <c r="D1979" s="37"/>
      <c r="E1979" s="37"/>
      <c r="F1979" s="37"/>
      <c r="G1979" s="37"/>
    </row>
    <row r="1980" spans="1:7">
      <c r="A1980" s="37"/>
      <c r="B1980" s="37"/>
      <c r="C1980" s="37"/>
      <c r="D1980" s="37"/>
      <c r="E1980" s="37"/>
      <c r="F1980" s="37"/>
      <c r="G1980" s="37"/>
    </row>
    <row r="1981" spans="1:7">
      <c r="A1981" s="37"/>
      <c r="B1981" s="37"/>
      <c r="C1981" s="37"/>
      <c r="D1981" s="37"/>
      <c r="E1981" s="37"/>
      <c r="F1981" s="37"/>
      <c r="G1981" s="37"/>
    </row>
    <row r="1982" spans="1:7">
      <c r="A1982" s="37"/>
      <c r="B1982" s="37"/>
      <c r="C1982" s="37"/>
      <c r="D1982" s="37"/>
      <c r="E1982" s="37"/>
      <c r="F1982" s="37"/>
      <c r="G1982" s="37"/>
    </row>
    <row r="1983" spans="1:7">
      <c r="A1983" s="37"/>
      <c r="B1983" s="37"/>
      <c r="C1983" s="37"/>
      <c r="D1983" s="37"/>
      <c r="E1983" s="37"/>
      <c r="F1983" s="37"/>
      <c r="G1983" s="37"/>
    </row>
    <row r="1984" spans="1:7">
      <c r="A1984" s="37"/>
      <c r="B1984" s="37"/>
      <c r="C1984" s="37"/>
      <c r="D1984" s="37"/>
      <c r="E1984" s="37"/>
      <c r="F1984" s="37"/>
      <c r="G1984" s="37"/>
    </row>
    <row r="1985" spans="1:7">
      <c r="A1985" s="37"/>
      <c r="B1985" s="37"/>
      <c r="C1985" s="37"/>
      <c r="D1985" s="37"/>
      <c r="E1985" s="37"/>
      <c r="F1985" s="37"/>
      <c r="G1985" s="37"/>
    </row>
    <row r="1986" spans="1:7">
      <c r="A1986" s="37"/>
      <c r="B1986" s="37"/>
      <c r="C1986" s="37"/>
      <c r="D1986" s="37"/>
      <c r="E1986" s="37"/>
      <c r="F1986" s="37"/>
      <c r="G1986" s="37"/>
    </row>
    <row r="1987" spans="1:7">
      <c r="A1987" s="37"/>
      <c r="B1987" s="37"/>
      <c r="C1987" s="37"/>
      <c r="D1987" s="37"/>
      <c r="E1987" s="37"/>
      <c r="F1987" s="37"/>
      <c r="G1987" s="37"/>
    </row>
    <row r="1988" spans="1:7">
      <c r="A1988" s="37"/>
      <c r="B1988" s="37"/>
      <c r="C1988" s="37"/>
      <c r="D1988" s="37"/>
      <c r="E1988" s="37"/>
      <c r="F1988" s="37"/>
      <c r="G1988" s="37"/>
    </row>
    <row r="1989" spans="1:7">
      <c r="A1989" s="37"/>
      <c r="B1989" s="37"/>
      <c r="C1989" s="37"/>
      <c r="D1989" s="37"/>
      <c r="E1989" s="37"/>
      <c r="F1989" s="37"/>
      <c r="G1989" s="37"/>
    </row>
    <row r="1990" spans="1:7">
      <c r="A1990" s="37"/>
      <c r="B1990" s="37"/>
      <c r="C1990" s="37"/>
      <c r="D1990" s="37"/>
      <c r="E1990" s="37"/>
      <c r="F1990" s="37"/>
      <c r="G1990" s="37"/>
    </row>
    <row r="1991" spans="1:7">
      <c r="A1991" s="37"/>
      <c r="B1991" s="37"/>
      <c r="C1991" s="37"/>
      <c r="D1991" s="37"/>
      <c r="E1991" s="37"/>
      <c r="F1991" s="37"/>
      <c r="G1991" s="37"/>
    </row>
    <row r="1992" spans="1:7">
      <c r="A1992" s="37"/>
      <c r="B1992" s="37"/>
      <c r="C1992" s="37"/>
      <c r="D1992" s="37"/>
      <c r="E1992" s="37"/>
      <c r="F1992" s="37"/>
      <c r="G1992" s="37"/>
    </row>
    <row r="1993" spans="1:7">
      <c r="A1993" s="37"/>
      <c r="B1993" s="37"/>
      <c r="C1993" s="37"/>
      <c r="D1993" s="37"/>
      <c r="E1993" s="37"/>
      <c r="F1993" s="37"/>
      <c r="G1993" s="37"/>
    </row>
    <row r="1994" spans="1:7">
      <c r="A1994" s="37"/>
      <c r="B1994" s="37"/>
      <c r="C1994" s="37"/>
      <c r="D1994" s="37"/>
      <c r="E1994" s="37"/>
      <c r="F1994" s="37"/>
      <c r="G1994" s="37"/>
    </row>
    <row r="1995" spans="1:7">
      <c r="A1995" s="37"/>
      <c r="B1995" s="37"/>
      <c r="C1995" s="37"/>
      <c r="D1995" s="37"/>
      <c r="E1995" s="37"/>
      <c r="F1995" s="37"/>
      <c r="G1995" s="37"/>
    </row>
    <row r="1996" spans="1:7">
      <c r="A1996" s="37"/>
      <c r="B1996" s="37"/>
      <c r="C1996" s="37"/>
      <c r="D1996" s="37"/>
      <c r="E1996" s="37"/>
      <c r="F1996" s="37"/>
      <c r="G1996" s="37"/>
    </row>
    <row r="1997" spans="1:7">
      <c r="A1997" s="37"/>
      <c r="B1997" s="37"/>
      <c r="C1997" s="37"/>
      <c r="D1997" s="37"/>
      <c r="E1997" s="37"/>
      <c r="F1997" s="37"/>
      <c r="G1997" s="37"/>
    </row>
    <row r="1998" spans="1:7">
      <c r="A1998" s="37"/>
      <c r="B1998" s="37"/>
      <c r="C1998" s="37"/>
      <c r="D1998" s="37"/>
      <c r="E1998" s="37"/>
      <c r="F1998" s="37"/>
      <c r="G1998" s="37"/>
    </row>
    <row r="1999" spans="1:7">
      <c r="A1999" s="37"/>
      <c r="B1999" s="37"/>
      <c r="C1999" s="37"/>
      <c r="D1999" s="37"/>
      <c r="E1999" s="37"/>
      <c r="F1999" s="37"/>
      <c r="G1999" s="37"/>
    </row>
    <row r="2000" spans="1:7">
      <c r="A2000" s="37"/>
      <c r="B2000" s="37"/>
      <c r="C2000" s="37"/>
      <c r="D2000" s="37"/>
      <c r="E2000" s="37"/>
      <c r="F2000" s="37"/>
      <c r="G2000" s="37"/>
    </row>
    <row r="2001" spans="1:7">
      <c r="A2001" s="37"/>
      <c r="B2001" s="37"/>
      <c r="C2001" s="37"/>
      <c r="D2001" s="37"/>
      <c r="E2001" s="37"/>
      <c r="F2001" s="37"/>
      <c r="G2001" s="37"/>
    </row>
    <row r="2002" spans="1:7">
      <c r="A2002" s="37"/>
      <c r="B2002" s="37"/>
      <c r="C2002" s="37"/>
      <c r="D2002" s="37"/>
      <c r="E2002" s="37"/>
      <c r="F2002" s="37"/>
      <c r="G2002" s="37"/>
    </row>
    <row r="2003" spans="1:7">
      <c r="A2003" s="37"/>
      <c r="B2003" s="37"/>
      <c r="C2003" s="37"/>
      <c r="D2003" s="37"/>
      <c r="E2003" s="37"/>
      <c r="F2003" s="37"/>
      <c r="G2003" s="37"/>
    </row>
    <row r="2004" spans="1:7">
      <c r="A2004" s="37"/>
      <c r="B2004" s="37"/>
      <c r="C2004" s="37"/>
      <c r="D2004" s="37"/>
      <c r="E2004" s="37"/>
      <c r="F2004" s="37"/>
      <c r="G2004" s="37"/>
    </row>
    <row r="2005" spans="1:7">
      <c r="A2005" s="37"/>
      <c r="B2005" s="37"/>
      <c r="C2005" s="37"/>
      <c r="D2005" s="37"/>
      <c r="E2005" s="37"/>
      <c r="F2005" s="37"/>
      <c r="G2005" s="37"/>
    </row>
    <row r="2006" spans="1:7">
      <c r="A2006" s="37"/>
      <c r="B2006" s="37"/>
      <c r="C2006" s="37"/>
      <c r="D2006" s="37"/>
      <c r="E2006" s="37"/>
      <c r="F2006" s="37"/>
      <c r="G2006" s="37"/>
    </row>
    <row r="2007" spans="1:7">
      <c r="A2007" s="37"/>
      <c r="B2007" s="37"/>
      <c r="C2007" s="37"/>
      <c r="D2007" s="37"/>
      <c r="E2007" s="37"/>
      <c r="F2007" s="37"/>
      <c r="G2007" s="37"/>
    </row>
    <row r="2008" spans="1:7">
      <c r="A2008" s="37"/>
      <c r="B2008" s="37"/>
      <c r="C2008" s="37"/>
      <c r="D2008" s="37"/>
      <c r="E2008" s="37"/>
      <c r="F2008" s="37"/>
      <c r="G2008" s="37"/>
    </row>
    <row r="2009" spans="1:7">
      <c r="A2009" s="37"/>
      <c r="B2009" s="37"/>
      <c r="C2009" s="37"/>
      <c r="D2009" s="37"/>
      <c r="E2009" s="37"/>
      <c r="F2009" s="37"/>
      <c r="G2009" s="37"/>
    </row>
    <row r="2010" spans="1:7">
      <c r="A2010" s="37"/>
      <c r="B2010" s="37"/>
      <c r="C2010" s="37"/>
      <c r="D2010" s="37"/>
      <c r="E2010" s="37"/>
      <c r="F2010" s="37"/>
      <c r="G2010" s="37"/>
    </row>
    <row r="2011" spans="1:7">
      <c r="A2011" s="37"/>
      <c r="B2011" s="37"/>
      <c r="C2011" s="37"/>
      <c r="D2011" s="37"/>
      <c r="E2011" s="37"/>
      <c r="F2011" s="37"/>
      <c r="G2011" s="37"/>
    </row>
    <row r="2012" spans="1:7">
      <c r="A2012" s="37"/>
      <c r="B2012" s="37"/>
      <c r="C2012" s="37"/>
      <c r="D2012" s="37"/>
      <c r="E2012" s="37"/>
      <c r="F2012" s="37"/>
      <c r="G2012" s="37"/>
    </row>
    <row r="2013" spans="1:7">
      <c r="A2013" s="37"/>
      <c r="B2013" s="37"/>
      <c r="C2013" s="37"/>
      <c r="D2013" s="37"/>
      <c r="E2013" s="37"/>
      <c r="F2013" s="37"/>
      <c r="G2013" s="37"/>
    </row>
    <row r="2014" spans="1:7">
      <c r="A2014" s="37"/>
      <c r="B2014" s="37"/>
      <c r="C2014" s="37"/>
      <c r="D2014" s="37"/>
      <c r="E2014" s="37"/>
      <c r="F2014" s="37"/>
      <c r="G2014" s="37"/>
    </row>
    <row r="2015" spans="1:7">
      <c r="A2015" s="37"/>
      <c r="B2015" s="37"/>
      <c r="C2015" s="37"/>
      <c r="D2015" s="37"/>
      <c r="E2015" s="37"/>
      <c r="F2015" s="37"/>
      <c r="G2015" s="37"/>
    </row>
    <row r="2016" spans="1:7">
      <c r="A2016" s="37"/>
      <c r="B2016" s="37"/>
      <c r="C2016" s="37"/>
      <c r="D2016" s="37"/>
      <c r="E2016" s="37"/>
      <c r="F2016" s="37"/>
      <c r="G2016" s="37"/>
    </row>
    <row r="2017" spans="1:7">
      <c r="A2017" s="37"/>
      <c r="B2017" s="37"/>
      <c r="C2017" s="37"/>
      <c r="D2017" s="37"/>
      <c r="E2017" s="37"/>
      <c r="F2017" s="37"/>
      <c r="G2017" s="37"/>
    </row>
    <row r="2018" spans="1:7">
      <c r="A2018" s="37"/>
      <c r="B2018" s="37"/>
      <c r="C2018" s="37"/>
      <c r="D2018" s="37"/>
      <c r="E2018" s="37"/>
      <c r="F2018" s="37"/>
      <c r="G2018" s="37"/>
    </row>
    <row r="2019" spans="1:7">
      <c r="A2019" s="37"/>
      <c r="B2019" s="37"/>
      <c r="C2019" s="37"/>
      <c r="D2019" s="37"/>
      <c r="E2019" s="37"/>
      <c r="F2019" s="37"/>
      <c r="G2019" s="37"/>
    </row>
    <row r="2020" spans="1:7">
      <c r="A2020" s="37"/>
      <c r="B2020" s="37"/>
      <c r="C2020" s="37"/>
      <c r="D2020" s="37"/>
      <c r="E2020" s="37"/>
      <c r="F2020" s="37"/>
      <c r="G2020" s="37"/>
    </row>
    <row r="2021" spans="1:7">
      <c r="A2021" s="37"/>
      <c r="B2021" s="37"/>
      <c r="C2021" s="37"/>
      <c r="D2021" s="37"/>
      <c r="E2021" s="37"/>
      <c r="F2021" s="37"/>
      <c r="G2021" s="37"/>
    </row>
    <row r="2022" spans="1:7">
      <c r="A2022" s="37"/>
      <c r="B2022" s="37"/>
      <c r="C2022" s="37"/>
      <c r="D2022" s="37"/>
      <c r="E2022" s="37"/>
      <c r="F2022" s="37"/>
      <c r="G2022" s="37"/>
    </row>
    <row r="2023" spans="1:7">
      <c r="A2023" s="37"/>
      <c r="B2023" s="37"/>
      <c r="C2023" s="37"/>
      <c r="D2023" s="37"/>
      <c r="E2023" s="37"/>
      <c r="F2023" s="37"/>
      <c r="G2023" s="37"/>
    </row>
    <row r="2024" spans="1:7">
      <c r="A2024" s="37"/>
      <c r="B2024" s="37"/>
      <c r="C2024" s="37"/>
      <c r="D2024" s="37"/>
      <c r="E2024" s="37"/>
      <c r="F2024" s="37"/>
      <c r="G2024" s="37"/>
    </row>
    <row r="2025" spans="1:7">
      <c r="A2025" s="37"/>
      <c r="B2025" s="37"/>
      <c r="C2025" s="37"/>
      <c r="D2025" s="37"/>
      <c r="E2025" s="37"/>
      <c r="F2025" s="37"/>
      <c r="G2025" s="37"/>
    </row>
    <row r="2026" spans="1:7">
      <c r="A2026" s="37"/>
      <c r="B2026" s="37"/>
      <c r="C2026" s="37"/>
      <c r="D2026" s="37"/>
      <c r="E2026" s="37"/>
      <c r="F2026" s="37"/>
      <c r="G2026" s="37"/>
    </row>
    <row r="2027" spans="1:7">
      <c r="A2027" s="37"/>
      <c r="B2027" s="37"/>
      <c r="C2027" s="37"/>
      <c r="D2027" s="37"/>
      <c r="E2027" s="37"/>
      <c r="F2027" s="37"/>
      <c r="G2027" s="37"/>
    </row>
    <row r="2028" spans="1:7">
      <c r="A2028" s="37"/>
      <c r="B2028" s="37"/>
      <c r="C2028" s="37"/>
      <c r="D2028" s="37"/>
      <c r="E2028" s="37"/>
      <c r="F2028" s="37"/>
      <c r="G2028" s="37"/>
    </row>
    <row r="2029" spans="1:7">
      <c r="A2029" s="37"/>
      <c r="B2029" s="37"/>
      <c r="C2029" s="37"/>
      <c r="D2029" s="37"/>
      <c r="E2029" s="37"/>
      <c r="F2029" s="37"/>
      <c r="G2029" s="37"/>
    </row>
    <row r="2030" spans="1:7">
      <c r="A2030" s="37"/>
      <c r="B2030" s="37"/>
      <c r="C2030" s="37"/>
      <c r="D2030" s="37"/>
      <c r="E2030" s="37"/>
      <c r="F2030" s="37"/>
      <c r="G2030" s="37"/>
    </row>
    <row r="2031" spans="1:7">
      <c r="A2031" s="37"/>
      <c r="B2031" s="37"/>
      <c r="C2031" s="37"/>
      <c r="D2031" s="37"/>
      <c r="E2031" s="37"/>
      <c r="F2031" s="37"/>
      <c r="G2031" s="37"/>
    </row>
    <row r="2032" spans="1:7">
      <c r="A2032" s="37"/>
      <c r="B2032" s="37"/>
      <c r="C2032" s="37"/>
      <c r="D2032" s="37"/>
      <c r="E2032" s="37"/>
      <c r="F2032" s="37"/>
      <c r="G2032" s="37"/>
    </row>
    <row r="2033" spans="1:7">
      <c r="A2033" s="37"/>
      <c r="B2033" s="37"/>
      <c r="C2033" s="37"/>
      <c r="D2033" s="37"/>
      <c r="E2033" s="37"/>
      <c r="F2033" s="37"/>
      <c r="G2033" s="37"/>
    </row>
    <row r="2034" spans="1:7">
      <c r="A2034" s="37"/>
      <c r="B2034" s="37"/>
      <c r="C2034" s="37"/>
      <c r="D2034" s="37"/>
      <c r="E2034" s="37"/>
      <c r="F2034" s="37"/>
      <c r="G2034" s="37"/>
    </row>
    <row r="2035" spans="1:7">
      <c r="A2035" s="37"/>
      <c r="B2035" s="37"/>
      <c r="C2035" s="37"/>
      <c r="D2035" s="37"/>
      <c r="E2035" s="37"/>
      <c r="F2035" s="37"/>
      <c r="G2035" s="37"/>
    </row>
    <row r="2036" spans="1:7">
      <c r="A2036" s="37"/>
      <c r="B2036" s="37"/>
      <c r="C2036" s="37"/>
      <c r="D2036" s="37"/>
      <c r="E2036" s="37"/>
      <c r="F2036" s="37"/>
      <c r="G2036" s="37"/>
    </row>
    <row r="2037" spans="1:7">
      <c r="A2037" s="37"/>
      <c r="B2037" s="37"/>
      <c r="C2037" s="37"/>
      <c r="D2037" s="37"/>
      <c r="E2037" s="37"/>
      <c r="F2037" s="37"/>
      <c r="G2037" s="37"/>
    </row>
    <row r="2038" spans="1:7">
      <c r="A2038" s="37"/>
      <c r="B2038" s="37"/>
      <c r="C2038" s="37"/>
      <c r="D2038" s="37"/>
      <c r="E2038" s="37"/>
      <c r="F2038" s="37"/>
      <c r="G2038" s="37"/>
    </row>
    <row r="2039" spans="1:7">
      <c r="A2039" s="37"/>
      <c r="B2039" s="37"/>
      <c r="C2039" s="37"/>
      <c r="D2039" s="37"/>
      <c r="E2039" s="37"/>
      <c r="F2039" s="37"/>
      <c r="G2039" s="37"/>
    </row>
    <row r="2040" spans="1:7">
      <c r="A2040" s="37"/>
      <c r="B2040" s="37"/>
      <c r="C2040" s="37"/>
      <c r="D2040" s="37"/>
      <c r="E2040" s="37"/>
      <c r="F2040" s="37"/>
      <c r="G2040" s="37"/>
    </row>
    <row r="2041" spans="1:7">
      <c r="A2041" s="37"/>
      <c r="B2041" s="37"/>
      <c r="C2041" s="37"/>
      <c r="D2041" s="37"/>
      <c r="E2041" s="37"/>
      <c r="F2041" s="37"/>
      <c r="G2041" s="37"/>
    </row>
    <row r="2042" spans="1:7">
      <c r="A2042" s="37"/>
      <c r="B2042" s="37"/>
      <c r="C2042" s="37"/>
      <c r="D2042" s="37"/>
      <c r="E2042" s="37"/>
      <c r="F2042" s="37"/>
      <c r="G2042" s="37"/>
    </row>
    <row r="2043" spans="1:7">
      <c r="A2043" s="37"/>
      <c r="B2043" s="37"/>
      <c r="C2043" s="37"/>
      <c r="D2043" s="37"/>
      <c r="E2043" s="37"/>
      <c r="F2043" s="37"/>
      <c r="G2043" s="37"/>
    </row>
    <row r="2044" spans="1:7">
      <c r="A2044" s="37"/>
      <c r="B2044" s="37"/>
      <c r="C2044" s="37"/>
      <c r="D2044" s="37"/>
      <c r="E2044" s="37"/>
      <c r="F2044" s="37"/>
      <c r="G2044" s="37"/>
    </row>
    <row r="2045" spans="1:7">
      <c r="A2045" s="37"/>
      <c r="B2045" s="37"/>
      <c r="C2045" s="37"/>
      <c r="D2045" s="37"/>
      <c r="E2045" s="37"/>
      <c r="F2045" s="37"/>
      <c r="G2045" s="37"/>
    </row>
    <row r="2046" spans="1:7">
      <c r="A2046" s="37"/>
      <c r="B2046" s="37"/>
      <c r="C2046" s="37"/>
      <c r="D2046" s="37"/>
      <c r="E2046" s="37"/>
      <c r="F2046" s="37"/>
      <c r="G2046" s="37"/>
    </row>
    <row r="2047" spans="1:7">
      <c r="A2047" s="37"/>
      <c r="B2047" s="37"/>
      <c r="C2047" s="37"/>
      <c r="D2047" s="37"/>
      <c r="E2047" s="37"/>
      <c r="F2047" s="37"/>
      <c r="G2047" s="37"/>
    </row>
    <row r="2048" spans="1:7">
      <c r="A2048" s="37"/>
      <c r="B2048" s="37"/>
      <c r="C2048" s="37"/>
      <c r="D2048" s="37"/>
      <c r="E2048" s="37"/>
      <c r="F2048" s="37"/>
      <c r="G2048" s="37"/>
    </row>
    <row r="2049" spans="1:7">
      <c r="A2049" s="37"/>
      <c r="B2049" s="37"/>
      <c r="C2049" s="37"/>
      <c r="D2049" s="37"/>
      <c r="E2049" s="37"/>
      <c r="F2049" s="37"/>
      <c r="G2049" s="37"/>
    </row>
    <row r="2050" spans="1:7">
      <c r="A2050" s="37"/>
      <c r="B2050" s="37"/>
      <c r="C2050" s="37"/>
      <c r="D2050" s="37"/>
      <c r="E2050" s="37"/>
      <c r="F2050" s="37"/>
      <c r="G2050" s="37"/>
    </row>
    <row r="2051" spans="1:7">
      <c r="A2051" s="37"/>
      <c r="B2051" s="37"/>
      <c r="C2051" s="37"/>
      <c r="D2051" s="37"/>
      <c r="E2051" s="37"/>
      <c r="F2051" s="37"/>
      <c r="G2051" s="37"/>
    </row>
    <row r="2052" spans="1:7">
      <c r="A2052" s="37"/>
      <c r="B2052" s="37"/>
      <c r="C2052" s="37"/>
      <c r="D2052" s="37"/>
      <c r="E2052" s="37"/>
      <c r="F2052" s="37"/>
      <c r="G2052" s="37"/>
    </row>
    <row r="2053" spans="1:7">
      <c r="A2053" s="37"/>
      <c r="B2053" s="37"/>
      <c r="C2053" s="37"/>
      <c r="D2053" s="37"/>
      <c r="E2053" s="37"/>
      <c r="F2053" s="37"/>
      <c r="G2053" s="37"/>
    </row>
    <row r="2054" spans="1:7">
      <c r="A2054" s="37"/>
      <c r="B2054" s="37"/>
      <c r="C2054" s="37"/>
      <c r="D2054" s="37"/>
      <c r="E2054" s="37"/>
      <c r="F2054" s="37"/>
      <c r="G2054" s="37"/>
    </row>
    <row r="2055" spans="1:7">
      <c r="A2055" s="37"/>
      <c r="B2055" s="37"/>
      <c r="C2055" s="37"/>
      <c r="D2055" s="37"/>
      <c r="E2055" s="37"/>
      <c r="F2055" s="37"/>
      <c r="G2055" s="37"/>
    </row>
    <row r="2056" spans="1:7">
      <c r="A2056" s="37"/>
      <c r="B2056" s="37"/>
      <c r="C2056" s="37"/>
      <c r="D2056" s="37"/>
      <c r="E2056" s="37"/>
      <c r="F2056" s="37"/>
      <c r="G2056" s="37"/>
    </row>
    <row r="2057" spans="1:7">
      <c r="A2057" s="37"/>
      <c r="B2057" s="37"/>
      <c r="C2057" s="37"/>
      <c r="D2057" s="37"/>
      <c r="E2057" s="37"/>
      <c r="F2057" s="37"/>
      <c r="G2057" s="37"/>
    </row>
    <row r="2058" spans="1:7">
      <c r="A2058" s="37"/>
      <c r="B2058" s="37"/>
      <c r="C2058" s="37"/>
      <c r="D2058" s="37"/>
      <c r="E2058" s="37"/>
      <c r="F2058" s="37"/>
      <c r="G2058" s="37"/>
    </row>
    <row r="2059" spans="1:7">
      <c r="A2059" s="37"/>
      <c r="B2059" s="37"/>
      <c r="C2059" s="37"/>
      <c r="D2059" s="37"/>
      <c r="E2059" s="37"/>
      <c r="F2059" s="37"/>
      <c r="G2059" s="37"/>
    </row>
    <row r="2060" spans="1:7">
      <c r="A2060" s="37"/>
      <c r="B2060" s="37"/>
      <c r="C2060" s="37"/>
      <c r="D2060" s="37"/>
      <c r="E2060" s="37"/>
      <c r="F2060" s="37"/>
      <c r="G2060" s="37"/>
    </row>
    <row r="2061" spans="1:7">
      <c r="A2061" s="37"/>
      <c r="B2061" s="37"/>
      <c r="C2061" s="37"/>
      <c r="D2061" s="37"/>
      <c r="E2061" s="37"/>
      <c r="F2061" s="37"/>
      <c r="G2061" s="37"/>
    </row>
    <row r="2062" spans="1:7">
      <c r="A2062" s="37"/>
      <c r="B2062" s="37"/>
      <c r="C2062" s="37"/>
      <c r="D2062" s="37"/>
      <c r="E2062" s="37"/>
      <c r="F2062" s="37"/>
      <c r="G2062" s="37"/>
    </row>
    <row r="2063" spans="1:7">
      <c r="A2063" s="37"/>
      <c r="B2063" s="37"/>
      <c r="C2063" s="37"/>
      <c r="D2063" s="37"/>
      <c r="E2063" s="37"/>
      <c r="F2063" s="37"/>
      <c r="G2063" s="37"/>
    </row>
    <row r="2064" spans="1:7">
      <c r="A2064" s="37"/>
      <c r="B2064" s="37"/>
      <c r="C2064" s="37"/>
      <c r="D2064" s="37"/>
      <c r="E2064" s="37"/>
      <c r="F2064" s="37"/>
      <c r="G2064" s="37"/>
    </row>
    <row r="2065" spans="1:7">
      <c r="A2065" s="37"/>
      <c r="B2065" s="37"/>
      <c r="C2065" s="37"/>
      <c r="D2065" s="37"/>
      <c r="E2065" s="37"/>
      <c r="F2065" s="37"/>
      <c r="G2065" s="37"/>
    </row>
    <row r="2066" spans="1:7">
      <c r="A2066" s="37"/>
      <c r="B2066" s="37"/>
      <c r="C2066" s="37"/>
      <c r="D2066" s="37"/>
      <c r="E2066" s="37"/>
      <c r="F2066" s="37"/>
      <c r="G2066" s="37"/>
    </row>
    <row r="2067" spans="1:7">
      <c r="A2067" s="37"/>
      <c r="B2067" s="37"/>
      <c r="C2067" s="37"/>
      <c r="D2067" s="37"/>
      <c r="E2067" s="37"/>
      <c r="F2067" s="37"/>
      <c r="G2067" s="37"/>
    </row>
    <row r="2068" spans="1:7">
      <c r="A2068" s="37"/>
      <c r="B2068" s="37"/>
      <c r="C2068" s="37"/>
      <c r="D2068" s="37"/>
      <c r="E2068" s="37"/>
      <c r="F2068" s="37"/>
      <c r="G2068" s="37"/>
    </row>
    <row r="2069" spans="1:7">
      <c r="A2069" s="37"/>
      <c r="B2069" s="37"/>
      <c r="C2069" s="37"/>
      <c r="D2069" s="37"/>
      <c r="E2069" s="37"/>
      <c r="F2069" s="37"/>
      <c r="G2069" s="37"/>
    </row>
    <row r="2070" spans="1:7">
      <c r="A2070" s="37"/>
      <c r="B2070" s="37"/>
      <c r="C2070" s="37"/>
      <c r="D2070" s="37"/>
      <c r="E2070" s="37"/>
      <c r="F2070" s="37"/>
      <c r="G2070" s="37"/>
    </row>
    <row r="2071" spans="1:7">
      <c r="A2071" s="37"/>
      <c r="B2071" s="37"/>
      <c r="C2071" s="37"/>
      <c r="D2071" s="37"/>
      <c r="E2071" s="37"/>
      <c r="F2071" s="37"/>
      <c r="G2071" s="37"/>
    </row>
    <row r="2072" spans="1:7">
      <c r="A2072" s="37"/>
      <c r="B2072" s="37"/>
      <c r="C2072" s="37"/>
      <c r="D2072" s="37"/>
      <c r="E2072" s="37"/>
      <c r="F2072" s="37"/>
      <c r="G2072" s="37"/>
    </row>
    <row r="2073" spans="1:7">
      <c r="A2073" s="37"/>
      <c r="B2073" s="37"/>
      <c r="C2073" s="37"/>
      <c r="D2073" s="37"/>
      <c r="E2073" s="37"/>
      <c r="F2073" s="37"/>
      <c r="G2073" s="37"/>
    </row>
    <row r="2074" spans="1:7">
      <c r="A2074" s="37"/>
      <c r="B2074" s="37"/>
      <c r="C2074" s="37"/>
      <c r="D2074" s="37"/>
      <c r="E2074" s="37"/>
      <c r="F2074" s="37"/>
      <c r="G2074" s="37"/>
    </row>
    <row r="2075" spans="1:7">
      <c r="A2075" s="37"/>
      <c r="B2075" s="37"/>
      <c r="C2075" s="37"/>
      <c r="D2075" s="37"/>
      <c r="E2075" s="37"/>
      <c r="F2075" s="37"/>
      <c r="G2075" s="37"/>
    </row>
    <row r="2076" spans="1:7">
      <c r="A2076" s="37"/>
      <c r="B2076" s="37"/>
      <c r="C2076" s="37"/>
      <c r="D2076" s="37"/>
      <c r="E2076" s="37"/>
      <c r="F2076" s="37"/>
      <c r="G2076" s="37"/>
    </row>
    <row r="2077" spans="1:7">
      <c r="A2077" s="37"/>
      <c r="B2077" s="37"/>
      <c r="C2077" s="37"/>
      <c r="D2077" s="37"/>
      <c r="E2077" s="37"/>
      <c r="F2077" s="37"/>
      <c r="G2077" s="37"/>
    </row>
    <row r="2078" spans="1:7">
      <c r="A2078" s="37"/>
      <c r="B2078" s="37"/>
      <c r="C2078" s="37"/>
      <c r="D2078" s="37"/>
      <c r="E2078" s="37"/>
      <c r="F2078" s="37"/>
      <c r="G2078" s="37"/>
    </row>
    <row r="2079" spans="1:7">
      <c r="A2079" s="37"/>
      <c r="B2079" s="37"/>
      <c r="C2079" s="37"/>
      <c r="D2079" s="37"/>
      <c r="E2079" s="37"/>
      <c r="F2079" s="37"/>
      <c r="G2079" s="37"/>
    </row>
    <row r="2080" spans="1:7">
      <c r="A2080" s="37"/>
      <c r="B2080" s="37"/>
      <c r="C2080" s="37"/>
      <c r="D2080" s="37"/>
      <c r="E2080" s="37"/>
      <c r="F2080" s="37"/>
      <c r="G2080" s="37"/>
    </row>
    <row r="2081" spans="1:7">
      <c r="A2081" s="37"/>
      <c r="B2081" s="37"/>
      <c r="C2081" s="37"/>
      <c r="D2081" s="37"/>
      <c r="E2081" s="37"/>
      <c r="F2081" s="37"/>
      <c r="G2081" s="37"/>
    </row>
    <row r="2082" spans="1:7">
      <c r="A2082" s="37"/>
      <c r="B2082" s="37"/>
      <c r="C2082" s="37"/>
      <c r="D2082" s="37"/>
      <c r="E2082" s="37"/>
      <c r="F2082" s="37"/>
      <c r="G2082" s="37"/>
    </row>
    <row r="2083" spans="1:7">
      <c r="A2083" s="37"/>
      <c r="B2083" s="37"/>
      <c r="C2083" s="37"/>
      <c r="D2083" s="37"/>
      <c r="E2083" s="37"/>
      <c r="F2083" s="37"/>
      <c r="G2083" s="37"/>
    </row>
    <row r="2084" spans="1:7">
      <c r="A2084" s="37"/>
      <c r="B2084" s="37"/>
      <c r="C2084" s="37"/>
      <c r="D2084" s="37"/>
      <c r="E2084" s="37"/>
      <c r="F2084" s="37"/>
      <c r="G2084" s="37"/>
    </row>
    <row r="2085" spans="1:7">
      <c r="A2085" s="37"/>
      <c r="B2085" s="37"/>
      <c r="C2085" s="37"/>
      <c r="D2085" s="37"/>
      <c r="E2085" s="37"/>
      <c r="F2085" s="37"/>
      <c r="G2085" s="37"/>
    </row>
    <row r="2086" spans="1:7">
      <c r="A2086" s="37"/>
      <c r="B2086" s="37"/>
      <c r="C2086" s="37"/>
      <c r="D2086" s="37"/>
      <c r="E2086" s="37"/>
      <c r="F2086" s="37"/>
      <c r="G2086" s="37"/>
    </row>
    <row r="2087" spans="1:7">
      <c r="A2087" s="37"/>
      <c r="B2087" s="37"/>
      <c r="C2087" s="37"/>
      <c r="D2087" s="37"/>
      <c r="E2087" s="37"/>
      <c r="F2087" s="37"/>
      <c r="G2087" s="37"/>
    </row>
    <row r="2088" spans="1:7">
      <c r="A2088" s="37"/>
      <c r="B2088" s="37"/>
      <c r="C2088" s="37"/>
      <c r="D2088" s="37"/>
      <c r="E2088" s="37"/>
      <c r="F2088" s="37"/>
      <c r="G2088" s="37"/>
    </row>
    <row r="2089" spans="1:7">
      <c r="A2089" s="37"/>
      <c r="B2089" s="37"/>
      <c r="C2089" s="37"/>
      <c r="D2089" s="37"/>
      <c r="E2089" s="37"/>
      <c r="F2089" s="37"/>
      <c r="G2089" s="37"/>
    </row>
    <row r="2090" spans="1:7">
      <c r="A2090" s="37"/>
      <c r="B2090" s="37"/>
      <c r="C2090" s="37"/>
      <c r="D2090" s="37"/>
      <c r="E2090" s="37"/>
      <c r="F2090" s="37"/>
      <c r="G2090" s="37"/>
    </row>
    <row r="2091" spans="1:7">
      <c r="A2091" s="37"/>
      <c r="B2091" s="37"/>
      <c r="C2091" s="37"/>
      <c r="D2091" s="37"/>
      <c r="E2091" s="37"/>
      <c r="F2091" s="37"/>
      <c r="G2091" s="37"/>
    </row>
    <row r="2092" spans="1:7">
      <c r="A2092" s="37"/>
      <c r="B2092" s="37"/>
      <c r="C2092" s="37"/>
      <c r="D2092" s="37"/>
      <c r="E2092" s="37"/>
      <c r="F2092" s="37"/>
      <c r="G2092" s="37"/>
    </row>
    <row r="2093" spans="1:7">
      <c r="A2093" s="37"/>
      <c r="B2093" s="37"/>
      <c r="C2093" s="37"/>
      <c r="D2093" s="37"/>
      <c r="E2093" s="37"/>
      <c r="F2093" s="37"/>
      <c r="G2093" s="37"/>
    </row>
    <row r="2094" spans="1:7">
      <c r="A2094" s="37"/>
      <c r="B2094" s="37"/>
      <c r="C2094" s="37"/>
      <c r="D2094" s="37"/>
      <c r="E2094" s="37"/>
      <c r="F2094" s="37"/>
      <c r="G2094" s="37"/>
    </row>
    <row r="2095" spans="1:7">
      <c r="A2095" s="37"/>
      <c r="B2095" s="37"/>
      <c r="C2095" s="37"/>
      <c r="D2095" s="37"/>
      <c r="E2095" s="37"/>
      <c r="F2095" s="37"/>
      <c r="G2095" s="37"/>
    </row>
    <row r="2096" spans="1:7">
      <c r="A2096" s="37"/>
      <c r="B2096" s="37"/>
      <c r="C2096" s="37"/>
      <c r="D2096" s="37"/>
      <c r="E2096" s="37"/>
      <c r="F2096" s="37"/>
      <c r="G2096" s="37"/>
    </row>
    <row r="2097" spans="1:7">
      <c r="A2097" s="37"/>
      <c r="B2097" s="37"/>
      <c r="C2097" s="37"/>
      <c r="D2097" s="37"/>
      <c r="E2097" s="37"/>
      <c r="F2097" s="37"/>
      <c r="G2097" s="37"/>
    </row>
    <row r="2098" spans="1:7">
      <c r="A2098" s="37"/>
      <c r="B2098" s="37"/>
      <c r="C2098" s="37"/>
      <c r="D2098" s="37"/>
      <c r="E2098" s="37"/>
      <c r="F2098" s="37"/>
      <c r="G2098" s="37"/>
    </row>
    <row r="2099" spans="1:7">
      <c r="A2099" s="37"/>
      <c r="B2099" s="37"/>
      <c r="C2099" s="37"/>
      <c r="D2099" s="37"/>
      <c r="E2099" s="37"/>
      <c r="F2099" s="37"/>
      <c r="G2099" s="37"/>
    </row>
    <row r="2100" spans="1:7">
      <c r="A2100" s="37"/>
      <c r="B2100" s="37"/>
      <c r="C2100" s="37"/>
      <c r="D2100" s="37"/>
      <c r="E2100" s="37"/>
      <c r="F2100" s="37"/>
      <c r="G2100" s="37"/>
    </row>
    <row r="2101" spans="1:7">
      <c r="A2101" s="37"/>
      <c r="B2101" s="37"/>
      <c r="C2101" s="37"/>
      <c r="D2101" s="37"/>
      <c r="E2101" s="37"/>
      <c r="F2101" s="37"/>
      <c r="G2101" s="37"/>
    </row>
    <row r="2102" spans="1:7">
      <c r="A2102" s="37"/>
      <c r="B2102" s="37"/>
      <c r="C2102" s="37"/>
      <c r="D2102" s="37"/>
      <c r="E2102" s="37"/>
      <c r="F2102" s="37"/>
      <c r="G2102" s="37"/>
    </row>
    <row r="2103" spans="1:7">
      <c r="A2103" s="37"/>
      <c r="B2103" s="37"/>
      <c r="C2103" s="37"/>
      <c r="D2103" s="37"/>
      <c r="E2103" s="37"/>
      <c r="F2103" s="37"/>
      <c r="G2103" s="37"/>
    </row>
    <row r="2104" spans="1:7">
      <c r="A2104" s="37"/>
      <c r="B2104" s="37"/>
      <c r="C2104" s="37"/>
      <c r="D2104" s="37"/>
      <c r="E2104" s="37"/>
      <c r="F2104" s="37"/>
      <c r="G2104" s="37"/>
    </row>
    <row r="2105" spans="1:7">
      <c r="A2105" s="37"/>
      <c r="B2105" s="37"/>
      <c r="C2105" s="37"/>
      <c r="D2105" s="37"/>
      <c r="E2105" s="37"/>
      <c r="F2105" s="37"/>
      <c r="G2105" s="37"/>
    </row>
    <row r="2106" spans="1:7">
      <c r="A2106" s="37"/>
      <c r="B2106" s="37"/>
      <c r="C2106" s="37"/>
      <c r="D2106" s="37"/>
      <c r="E2106" s="37"/>
      <c r="F2106" s="37"/>
      <c r="G2106" s="37"/>
    </row>
    <row r="2107" spans="1:7">
      <c r="A2107" s="37"/>
      <c r="B2107" s="37"/>
      <c r="C2107" s="37"/>
      <c r="D2107" s="37"/>
      <c r="E2107" s="37"/>
      <c r="F2107" s="37"/>
      <c r="G2107" s="37"/>
    </row>
    <row r="2108" spans="1:7">
      <c r="A2108" s="37"/>
      <c r="B2108" s="37"/>
      <c r="C2108" s="37"/>
      <c r="D2108" s="37"/>
      <c r="E2108" s="37"/>
      <c r="F2108" s="37"/>
      <c r="G2108" s="37"/>
    </row>
    <row r="2109" spans="1:7">
      <c r="A2109" s="37"/>
      <c r="B2109" s="37"/>
      <c r="C2109" s="37"/>
      <c r="D2109" s="37"/>
      <c r="E2109" s="37"/>
      <c r="F2109" s="37"/>
      <c r="G2109" s="37"/>
    </row>
    <row r="2110" spans="1:7">
      <c r="A2110" s="37"/>
      <c r="B2110" s="37"/>
      <c r="C2110" s="37"/>
      <c r="D2110" s="37"/>
      <c r="E2110" s="37"/>
      <c r="F2110" s="37"/>
      <c r="G2110" s="37"/>
    </row>
    <row r="2111" spans="1:7">
      <c r="A2111" s="37"/>
      <c r="B2111" s="37"/>
      <c r="C2111" s="37"/>
      <c r="D2111" s="37"/>
      <c r="E2111" s="37"/>
      <c r="F2111" s="37"/>
      <c r="G2111" s="37"/>
    </row>
    <row r="2112" spans="1:7">
      <c r="A2112" s="37"/>
      <c r="B2112" s="37"/>
      <c r="C2112" s="37"/>
      <c r="D2112" s="37"/>
      <c r="E2112" s="37"/>
      <c r="F2112" s="37"/>
      <c r="G2112" s="37"/>
    </row>
    <row r="2113" spans="1:7">
      <c r="A2113" s="37"/>
      <c r="B2113" s="37"/>
      <c r="C2113" s="37"/>
      <c r="D2113" s="37"/>
      <c r="E2113" s="37"/>
      <c r="F2113" s="37"/>
      <c r="G2113" s="37"/>
    </row>
    <row r="2114" spans="1:7">
      <c r="A2114" s="37"/>
      <c r="B2114" s="37"/>
      <c r="C2114" s="37"/>
      <c r="D2114" s="37"/>
      <c r="E2114" s="37"/>
      <c r="F2114" s="37"/>
      <c r="G2114" s="37"/>
    </row>
    <row r="2115" spans="1:7">
      <c r="A2115" s="37"/>
      <c r="B2115" s="37"/>
      <c r="C2115" s="37"/>
      <c r="D2115" s="37"/>
      <c r="E2115" s="37"/>
      <c r="F2115" s="37"/>
      <c r="G2115" s="37"/>
    </row>
    <row r="2116" spans="1:7">
      <c r="A2116" s="37"/>
      <c r="B2116" s="37"/>
      <c r="C2116" s="37"/>
      <c r="D2116" s="37"/>
      <c r="E2116" s="37"/>
      <c r="F2116" s="37"/>
      <c r="G2116" s="37"/>
    </row>
    <row r="2117" spans="1:7">
      <c r="A2117" s="37"/>
      <c r="B2117" s="37"/>
      <c r="C2117" s="37"/>
      <c r="D2117" s="37"/>
      <c r="E2117" s="37"/>
      <c r="F2117" s="37"/>
      <c r="G2117" s="37"/>
    </row>
    <row r="2118" spans="1:7">
      <c r="A2118" s="37"/>
      <c r="B2118" s="37"/>
      <c r="C2118" s="37"/>
      <c r="D2118" s="37"/>
      <c r="E2118" s="37"/>
      <c r="F2118" s="37"/>
      <c r="G2118" s="37"/>
    </row>
    <row r="2119" spans="1:7">
      <c r="A2119" s="37"/>
      <c r="B2119" s="37"/>
      <c r="C2119" s="37"/>
      <c r="D2119" s="37"/>
      <c r="E2119" s="37"/>
      <c r="F2119" s="37"/>
      <c r="G2119" s="37"/>
    </row>
    <row r="2120" spans="1:7">
      <c r="A2120" s="37"/>
      <c r="B2120" s="37"/>
      <c r="C2120" s="37"/>
      <c r="D2120" s="37"/>
      <c r="E2120" s="37"/>
      <c r="F2120" s="37"/>
      <c r="G2120" s="37"/>
    </row>
    <row r="2121" spans="1:7">
      <c r="A2121" s="37"/>
      <c r="B2121" s="37"/>
      <c r="C2121" s="37"/>
      <c r="D2121" s="37"/>
      <c r="E2121" s="37"/>
      <c r="F2121" s="37"/>
      <c r="G2121" s="37"/>
    </row>
    <row r="2122" spans="1:7">
      <c r="A2122" s="37"/>
      <c r="B2122" s="37"/>
      <c r="C2122" s="37"/>
      <c r="D2122" s="37"/>
      <c r="E2122" s="37"/>
      <c r="F2122" s="37"/>
      <c r="G2122" s="37"/>
    </row>
    <row r="2123" spans="1:7">
      <c r="A2123" s="37"/>
      <c r="B2123" s="37"/>
      <c r="C2123" s="37"/>
      <c r="D2123" s="37"/>
      <c r="E2123" s="37"/>
      <c r="F2123" s="37"/>
      <c r="G2123" s="37"/>
    </row>
    <row r="2124" spans="1:7">
      <c r="A2124" s="37"/>
      <c r="B2124" s="37"/>
      <c r="C2124" s="37"/>
      <c r="D2124" s="37"/>
      <c r="E2124" s="37"/>
      <c r="F2124" s="37"/>
      <c r="G2124" s="37"/>
    </row>
    <row r="2125" spans="1:7">
      <c r="A2125" s="37"/>
      <c r="B2125" s="37"/>
      <c r="C2125" s="37"/>
      <c r="D2125" s="37"/>
      <c r="E2125" s="37"/>
      <c r="F2125" s="37"/>
      <c r="G2125" s="37"/>
    </row>
    <row r="2126" spans="1:7">
      <c r="A2126" s="37"/>
      <c r="B2126" s="37"/>
      <c r="C2126" s="37"/>
      <c r="D2126" s="37"/>
      <c r="E2126" s="37"/>
      <c r="F2126" s="37"/>
      <c r="G2126" s="37"/>
    </row>
    <row r="2127" spans="1:7">
      <c r="A2127" s="37"/>
      <c r="B2127" s="37"/>
      <c r="C2127" s="37"/>
      <c r="D2127" s="37"/>
      <c r="E2127" s="37"/>
      <c r="F2127" s="37"/>
      <c r="G2127" s="37"/>
    </row>
    <row r="2128" spans="1:7">
      <c r="A2128" s="37"/>
      <c r="B2128" s="37"/>
      <c r="C2128" s="37"/>
      <c r="D2128" s="37"/>
      <c r="E2128" s="37"/>
      <c r="F2128" s="37"/>
      <c r="G2128" s="37"/>
    </row>
    <row r="2129" spans="1:7">
      <c r="A2129" s="37"/>
      <c r="B2129" s="37"/>
      <c r="C2129" s="37"/>
      <c r="D2129" s="37"/>
      <c r="E2129" s="37"/>
      <c r="F2129" s="37"/>
      <c r="G2129" s="37"/>
    </row>
    <row r="2130" spans="1:7">
      <c r="A2130" s="37"/>
      <c r="B2130" s="37"/>
      <c r="C2130" s="37"/>
      <c r="D2130" s="37"/>
      <c r="E2130" s="37"/>
      <c r="F2130" s="37"/>
      <c r="G2130" s="37"/>
    </row>
    <row r="2131" spans="1:7">
      <c r="A2131" s="37"/>
      <c r="B2131" s="37"/>
      <c r="C2131" s="37"/>
      <c r="D2131" s="37"/>
      <c r="E2131" s="37"/>
      <c r="F2131" s="37"/>
      <c r="G2131" s="37"/>
    </row>
    <row r="2132" spans="1:7">
      <c r="A2132" s="37"/>
      <c r="B2132" s="37"/>
      <c r="C2132" s="37"/>
      <c r="D2132" s="37"/>
      <c r="E2132" s="37"/>
      <c r="F2132" s="37"/>
      <c r="G2132" s="37"/>
    </row>
    <row r="2133" spans="1:7">
      <c r="A2133" s="37"/>
      <c r="B2133" s="37"/>
      <c r="C2133" s="37"/>
      <c r="D2133" s="37"/>
      <c r="E2133" s="37"/>
      <c r="F2133" s="37"/>
      <c r="G2133" s="37"/>
    </row>
    <row r="2134" spans="1:7">
      <c r="A2134" s="37"/>
      <c r="B2134" s="37"/>
      <c r="C2134" s="37"/>
      <c r="D2134" s="37"/>
      <c r="E2134" s="37"/>
      <c r="F2134" s="37"/>
      <c r="G2134" s="37"/>
    </row>
    <row r="2135" spans="1:7">
      <c r="A2135" s="37"/>
      <c r="B2135" s="37"/>
      <c r="C2135" s="37"/>
      <c r="D2135" s="37"/>
      <c r="E2135" s="37"/>
      <c r="F2135" s="37"/>
      <c r="G2135" s="37"/>
    </row>
    <row r="2136" spans="1:7">
      <c r="A2136" s="37"/>
      <c r="B2136" s="37"/>
      <c r="C2136" s="37"/>
      <c r="D2136" s="37"/>
      <c r="E2136" s="37"/>
      <c r="F2136" s="37"/>
      <c r="G2136" s="37"/>
    </row>
    <row r="2137" spans="1:7">
      <c r="A2137" s="37"/>
      <c r="B2137" s="37"/>
      <c r="C2137" s="37"/>
      <c r="D2137" s="37"/>
      <c r="E2137" s="37"/>
      <c r="F2137" s="37"/>
      <c r="G2137" s="37"/>
    </row>
    <row r="2138" spans="1:7">
      <c r="A2138" s="37"/>
      <c r="B2138" s="37"/>
      <c r="C2138" s="37"/>
      <c r="D2138" s="37"/>
      <c r="E2138" s="37"/>
      <c r="F2138" s="37"/>
      <c r="G2138" s="37"/>
    </row>
    <row r="2139" spans="1:7">
      <c r="A2139" s="37"/>
      <c r="B2139" s="37"/>
      <c r="C2139" s="37"/>
      <c r="D2139" s="37"/>
      <c r="E2139" s="37"/>
      <c r="F2139" s="37"/>
      <c r="G2139" s="37"/>
    </row>
    <row r="2140" spans="1:7">
      <c r="A2140" s="37"/>
      <c r="B2140" s="37"/>
      <c r="C2140" s="37"/>
      <c r="D2140" s="37"/>
      <c r="E2140" s="37"/>
      <c r="F2140" s="37"/>
      <c r="G2140" s="37"/>
    </row>
    <row r="2141" spans="1:7">
      <c r="A2141" s="37"/>
      <c r="B2141" s="37"/>
      <c r="C2141" s="37"/>
      <c r="D2141" s="37"/>
      <c r="E2141" s="37"/>
      <c r="F2141" s="37"/>
      <c r="G2141" s="37"/>
    </row>
    <row r="2142" spans="1:7">
      <c r="A2142" s="37"/>
      <c r="B2142" s="37"/>
      <c r="C2142" s="37"/>
      <c r="D2142" s="37"/>
      <c r="E2142" s="37"/>
      <c r="F2142" s="37"/>
      <c r="G2142" s="37"/>
    </row>
    <row r="2143" spans="1:7">
      <c r="A2143" s="37"/>
      <c r="B2143" s="37"/>
      <c r="C2143" s="37"/>
      <c r="D2143" s="37"/>
      <c r="E2143" s="37"/>
      <c r="F2143" s="37"/>
      <c r="G2143" s="37"/>
    </row>
    <row r="2144" spans="1:7">
      <c r="A2144" s="37"/>
      <c r="B2144" s="37"/>
      <c r="C2144" s="37"/>
      <c r="D2144" s="37"/>
      <c r="E2144" s="37"/>
      <c r="F2144" s="37"/>
      <c r="G2144" s="37"/>
    </row>
    <row r="2145" spans="1:7">
      <c r="A2145" s="37"/>
      <c r="B2145" s="37"/>
      <c r="C2145" s="37"/>
      <c r="D2145" s="37"/>
      <c r="E2145" s="37"/>
      <c r="F2145" s="37"/>
      <c r="G2145" s="37"/>
    </row>
    <row r="2146" spans="1:7">
      <c r="A2146" s="37"/>
      <c r="B2146" s="37"/>
      <c r="C2146" s="37"/>
      <c r="D2146" s="37"/>
      <c r="E2146" s="37"/>
      <c r="F2146" s="37"/>
      <c r="G2146" s="37"/>
    </row>
    <row r="2147" spans="1:7">
      <c r="A2147" s="37"/>
      <c r="B2147" s="37"/>
      <c r="C2147" s="37"/>
      <c r="D2147" s="37"/>
      <c r="E2147" s="37"/>
      <c r="F2147" s="37"/>
      <c r="G2147" s="37"/>
    </row>
    <row r="2148" spans="1:7">
      <c r="A2148" s="37"/>
      <c r="B2148" s="37"/>
      <c r="C2148" s="37"/>
      <c r="D2148" s="37"/>
      <c r="E2148" s="37"/>
      <c r="F2148" s="37"/>
      <c r="G2148" s="37"/>
    </row>
    <row r="2149" spans="1:7">
      <c r="A2149" s="37"/>
      <c r="B2149" s="37"/>
      <c r="C2149" s="37"/>
      <c r="D2149" s="37"/>
      <c r="E2149" s="37"/>
      <c r="F2149" s="37"/>
      <c r="G2149" s="37"/>
    </row>
    <row r="2150" spans="1:7">
      <c r="A2150" s="37"/>
      <c r="B2150" s="37"/>
      <c r="C2150" s="37"/>
      <c r="D2150" s="37"/>
      <c r="E2150" s="37"/>
      <c r="F2150" s="37"/>
      <c r="G2150" s="37"/>
    </row>
    <row r="2151" spans="1:7">
      <c r="A2151" s="37"/>
      <c r="B2151" s="37"/>
      <c r="C2151" s="37"/>
      <c r="D2151" s="37"/>
      <c r="E2151" s="37"/>
      <c r="F2151" s="37"/>
      <c r="G2151" s="37"/>
    </row>
    <row r="2152" spans="1:7">
      <c r="A2152" s="37"/>
      <c r="B2152" s="37"/>
      <c r="C2152" s="37"/>
      <c r="D2152" s="37"/>
      <c r="E2152" s="37"/>
      <c r="F2152" s="37"/>
      <c r="G2152" s="37"/>
    </row>
    <row r="2153" spans="1:7">
      <c r="A2153" s="37"/>
      <c r="B2153" s="37"/>
      <c r="C2153" s="37"/>
      <c r="D2153" s="37"/>
      <c r="E2153" s="37"/>
      <c r="F2153" s="37"/>
      <c r="G2153" s="37"/>
    </row>
    <row r="2154" spans="1:7">
      <c r="A2154" s="37"/>
      <c r="B2154" s="37"/>
      <c r="C2154" s="37"/>
      <c r="D2154" s="37"/>
      <c r="E2154" s="37"/>
      <c r="F2154" s="37"/>
      <c r="G2154" s="37"/>
    </row>
    <row r="2155" spans="1:7">
      <c r="A2155" s="37"/>
      <c r="B2155" s="37"/>
      <c r="C2155" s="37"/>
      <c r="D2155" s="37"/>
      <c r="E2155" s="37"/>
      <c r="F2155" s="37"/>
      <c r="G2155" s="37"/>
    </row>
    <row r="2156" spans="1:7">
      <c r="A2156" s="37"/>
      <c r="B2156" s="37"/>
      <c r="C2156" s="37"/>
      <c r="D2156" s="37"/>
      <c r="E2156" s="37"/>
      <c r="F2156" s="37"/>
      <c r="G2156" s="37"/>
    </row>
    <row r="2157" spans="1:7">
      <c r="A2157" s="37"/>
      <c r="B2157" s="37"/>
      <c r="C2157" s="37"/>
      <c r="D2157" s="37"/>
      <c r="E2157" s="37"/>
      <c r="F2157" s="37"/>
      <c r="G2157" s="37"/>
    </row>
    <row r="2158" spans="1:7">
      <c r="A2158" s="37"/>
      <c r="B2158" s="37"/>
      <c r="C2158" s="37"/>
      <c r="D2158" s="37"/>
      <c r="E2158" s="37"/>
      <c r="F2158" s="37"/>
      <c r="G2158" s="37"/>
    </row>
    <row r="2159" spans="1:7">
      <c r="A2159" s="37"/>
      <c r="B2159" s="37"/>
      <c r="C2159" s="37"/>
      <c r="D2159" s="37"/>
      <c r="E2159" s="37"/>
      <c r="F2159" s="37"/>
      <c r="G2159" s="37"/>
    </row>
    <row r="2160" spans="1:7">
      <c r="A2160" s="37"/>
      <c r="B2160" s="37"/>
      <c r="C2160" s="37"/>
      <c r="D2160" s="37"/>
      <c r="E2160" s="37"/>
      <c r="F2160" s="37"/>
      <c r="G2160" s="37"/>
    </row>
    <row r="2161" spans="1:7">
      <c r="A2161" s="37"/>
      <c r="B2161" s="37"/>
      <c r="C2161" s="37"/>
      <c r="D2161" s="37"/>
      <c r="E2161" s="37"/>
      <c r="F2161" s="37"/>
      <c r="G2161" s="37"/>
    </row>
    <row r="2162" spans="1:7">
      <c r="A2162" s="37"/>
      <c r="B2162" s="37"/>
      <c r="C2162" s="37"/>
      <c r="D2162" s="37"/>
      <c r="E2162" s="37"/>
      <c r="F2162" s="37"/>
      <c r="G2162" s="37"/>
    </row>
    <row r="2163" spans="1:7">
      <c r="A2163" s="37"/>
      <c r="B2163" s="37"/>
      <c r="C2163" s="37"/>
      <c r="D2163" s="37"/>
      <c r="E2163" s="37"/>
      <c r="F2163" s="37"/>
      <c r="G2163" s="37"/>
    </row>
    <row r="2164" spans="1:7">
      <c r="A2164" s="37"/>
      <c r="B2164" s="37"/>
      <c r="C2164" s="37"/>
      <c r="D2164" s="37"/>
      <c r="E2164" s="37"/>
      <c r="F2164" s="37"/>
      <c r="G2164" s="37"/>
    </row>
    <row r="2165" spans="1:7">
      <c r="A2165" s="37"/>
      <c r="B2165" s="37"/>
      <c r="C2165" s="37"/>
      <c r="D2165" s="37"/>
      <c r="E2165" s="37"/>
      <c r="F2165" s="37"/>
      <c r="G2165" s="37"/>
    </row>
    <row r="2166" spans="1:7">
      <c r="A2166" s="37"/>
      <c r="B2166" s="37"/>
      <c r="C2166" s="37"/>
      <c r="D2166" s="37"/>
      <c r="E2166" s="37"/>
      <c r="F2166" s="37"/>
      <c r="G2166" s="37"/>
    </row>
    <row r="2167" spans="1:7">
      <c r="A2167" s="37"/>
      <c r="B2167" s="37"/>
      <c r="C2167" s="37"/>
      <c r="D2167" s="37"/>
      <c r="E2167" s="37"/>
      <c r="F2167" s="37"/>
      <c r="G2167" s="37"/>
    </row>
    <row r="2168" spans="1:7">
      <c r="A2168" s="37"/>
      <c r="B2168" s="37"/>
      <c r="C2168" s="37"/>
      <c r="D2168" s="37"/>
      <c r="E2168" s="37"/>
      <c r="F2168" s="37"/>
      <c r="G2168" s="37"/>
    </row>
    <row r="2169" spans="1:7">
      <c r="A2169" s="37"/>
      <c r="B2169" s="37"/>
      <c r="C2169" s="37"/>
      <c r="D2169" s="37"/>
      <c r="E2169" s="37"/>
      <c r="F2169" s="37"/>
      <c r="G2169" s="37"/>
    </row>
    <row r="2170" spans="1:7">
      <c r="A2170" s="37"/>
      <c r="B2170" s="37"/>
      <c r="C2170" s="37"/>
      <c r="D2170" s="37"/>
      <c r="E2170" s="37"/>
      <c r="F2170" s="37"/>
      <c r="G2170" s="37"/>
    </row>
    <row r="2171" spans="1:7">
      <c r="A2171" s="37"/>
      <c r="B2171" s="37"/>
      <c r="C2171" s="37"/>
      <c r="D2171" s="37"/>
      <c r="E2171" s="37"/>
      <c r="F2171" s="37"/>
      <c r="G2171" s="37"/>
    </row>
    <row r="2172" spans="1:7">
      <c r="A2172" s="37"/>
      <c r="B2172" s="37"/>
      <c r="C2172" s="37"/>
      <c r="D2172" s="37"/>
      <c r="E2172" s="37"/>
      <c r="F2172" s="37"/>
      <c r="G2172" s="37"/>
    </row>
    <row r="2173" spans="1:7">
      <c r="A2173" s="37"/>
      <c r="B2173" s="37"/>
      <c r="C2173" s="37"/>
      <c r="D2173" s="37"/>
      <c r="E2173" s="37"/>
      <c r="F2173" s="37"/>
      <c r="G2173" s="37"/>
    </row>
    <row r="2174" spans="1:7">
      <c r="A2174" s="37"/>
      <c r="B2174" s="37"/>
      <c r="C2174" s="37"/>
      <c r="D2174" s="37"/>
      <c r="E2174" s="37"/>
      <c r="F2174" s="37"/>
      <c r="G2174" s="37"/>
    </row>
    <row r="2175" spans="1:7">
      <c r="A2175" s="37"/>
      <c r="B2175" s="37"/>
      <c r="C2175" s="37"/>
      <c r="D2175" s="37"/>
      <c r="E2175" s="37"/>
      <c r="F2175" s="37"/>
      <c r="G2175" s="37"/>
    </row>
    <row r="2176" spans="1:7">
      <c r="A2176" s="37"/>
      <c r="B2176" s="37"/>
      <c r="C2176" s="37"/>
      <c r="D2176" s="37"/>
      <c r="E2176" s="37"/>
      <c r="F2176" s="37"/>
      <c r="G2176" s="37"/>
    </row>
    <row r="2177" spans="1:7">
      <c r="A2177" s="37"/>
      <c r="B2177" s="37"/>
      <c r="C2177" s="37"/>
      <c r="D2177" s="37"/>
      <c r="E2177" s="37"/>
      <c r="F2177" s="37"/>
      <c r="G2177" s="37"/>
    </row>
    <row r="2178" spans="1:7">
      <c r="A2178" s="37"/>
      <c r="B2178" s="37"/>
      <c r="C2178" s="37"/>
      <c r="D2178" s="37"/>
      <c r="E2178" s="37"/>
      <c r="F2178" s="37"/>
      <c r="G2178" s="37"/>
    </row>
    <row r="2179" spans="1:7">
      <c r="A2179" s="37"/>
      <c r="B2179" s="37"/>
      <c r="C2179" s="37"/>
      <c r="D2179" s="37"/>
      <c r="E2179" s="37"/>
      <c r="F2179" s="37"/>
      <c r="G2179" s="37"/>
    </row>
    <row r="2180" spans="1:7">
      <c r="A2180" s="37"/>
      <c r="B2180" s="37"/>
      <c r="C2180" s="37"/>
      <c r="D2180" s="37"/>
      <c r="E2180" s="37"/>
      <c r="F2180" s="37"/>
      <c r="G2180" s="37"/>
    </row>
    <row r="2181" spans="1:7">
      <c r="A2181" s="37"/>
      <c r="B2181" s="37"/>
      <c r="C2181" s="37"/>
      <c r="D2181" s="37"/>
      <c r="E2181" s="37"/>
      <c r="F2181" s="37"/>
      <c r="G2181" s="37"/>
    </row>
    <row r="2182" spans="1:7">
      <c r="A2182" s="37"/>
      <c r="B2182" s="37"/>
      <c r="C2182" s="37"/>
      <c r="D2182" s="37"/>
      <c r="E2182" s="37"/>
      <c r="F2182" s="37"/>
      <c r="G2182" s="37"/>
    </row>
    <row r="2183" spans="1:7">
      <c r="A2183" s="37"/>
      <c r="B2183" s="37"/>
      <c r="C2183" s="37"/>
      <c r="D2183" s="37"/>
      <c r="E2183" s="37"/>
      <c r="F2183" s="37"/>
      <c r="G2183" s="37"/>
    </row>
    <row r="2184" spans="1:7">
      <c r="A2184" s="37"/>
      <c r="B2184" s="37"/>
      <c r="C2184" s="37"/>
      <c r="D2184" s="37"/>
      <c r="E2184" s="37"/>
      <c r="F2184" s="37"/>
      <c r="G2184" s="37"/>
    </row>
    <row r="2185" spans="1:7">
      <c r="A2185" s="37"/>
      <c r="B2185" s="37"/>
      <c r="C2185" s="37"/>
      <c r="D2185" s="37"/>
      <c r="E2185" s="37"/>
      <c r="F2185" s="37"/>
      <c r="G2185" s="37"/>
    </row>
    <row r="2186" spans="1:7">
      <c r="A2186" s="37"/>
      <c r="B2186" s="37"/>
      <c r="C2186" s="37"/>
      <c r="D2186" s="37"/>
      <c r="E2186" s="37"/>
      <c r="F2186" s="37"/>
      <c r="G2186" s="37"/>
    </row>
    <row r="2187" spans="1:7">
      <c r="A2187" s="37"/>
      <c r="B2187" s="37"/>
      <c r="C2187" s="37"/>
      <c r="D2187" s="37"/>
      <c r="E2187" s="37"/>
      <c r="F2187" s="37"/>
      <c r="G2187" s="37"/>
    </row>
    <row r="2188" spans="1:7">
      <c r="A2188" s="37"/>
      <c r="B2188" s="37"/>
      <c r="C2188" s="37"/>
      <c r="D2188" s="37"/>
      <c r="E2188" s="37"/>
      <c r="F2188" s="37"/>
      <c r="G2188" s="37"/>
    </row>
    <row r="2189" spans="1:7">
      <c r="A2189" s="37"/>
      <c r="B2189" s="37"/>
      <c r="C2189" s="37"/>
      <c r="D2189" s="37"/>
      <c r="E2189" s="37"/>
      <c r="F2189" s="37"/>
      <c r="G2189" s="37"/>
    </row>
    <row r="2190" spans="1:7">
      <c r="A2190" s="37"/>
      <c r="B2190" s="37"/>
      <c r="C2190" s="37"/>
      <c r="D2190" s="37"/>
      <c r="E2190" s="37"/>
      <c r="F2190" s="37"/>
      <c r="G2190" s="37"/>
    </row>
    <row r="2191" spans="1:7">
      <c r="A2191" s="37"/>
      <c r="B2191" s="37"/>
      <c r="C2191" s="37"/>
      <c r="D2191" s="37"/>
      <c r="E2191" s="37"/>
      <c r="F2191" s="37"/>
      <c r="G2191" s="37"/>
    </row>
    <row r="2192" spans="1:7">
      <c r="A2192" s="37"/>
      <c r="B2192" s="37"/>
      <c r="C2192" s="37"/>
      <c r="D2192" s="37"/>
      <c r="E2192" s="37"/>
      <c r="F2192" s="37"/>
      <c r="G2192" s="37"/>
    </row>
    <row r="2193" spans="1:7">
      <c r="A2193" s="37"/>
      <c r="B2193" s="37"/>
      <c r="C2193" s="37"/>
      <c r="D2193" s="37"/>
      <c r="E2193" s="37"/>
      <c r="F2193" s="37"/>
      <c r="G2193" s="37"/>
    </row>
    <row r="2194" spans="1:7">
      <c r="A2194" s="37"/>
      <c r="B2194" s="37"/>
      <c r="C2194" s="37"/>
      <c r="D2194" s="37"/>
      <c r="E2194" s="37"/>
      <c r="F2194" s="37"/>
      <c r="G2194" s="37"/>
    </row>
    <row r="2195" spans="1:7">
      <c r="A2195" s="37"/>
      <c r="B2195" s="37"/>
      <c r="C2195" s="37"/>
      <c r="D2195" s="37"/>
      <c r="E2195" s="37"/>
      <c r="F2195" s="37"/>
      <c r="G2195" s="37"/>
    </row>
    <row r="2196" spans="1:7">
      <c r="A2196" s="37"/>
      <c r="B2196" s="37"/>
      <c r="C2196" s="37"/>
      <c r="D2196" s="37"/>
      <c r="E2196" s="37"/>
      <c r="F2196" s="37"/>
      <c r="G2196" s="37"/>
    </row>
    <row r="2197" spans="1:7">
      <c r="A2197" s="37"/>
      <c r="B2197" s="37"/>
      <c r="C2197" s="37"/>
      <c r="D2197" s="37"/>
      <c r="E2197" s="37"/>
      <c r="F2197" s="37"/>
      <c r="G2197" s="37"/>
    </row>
    <row r="2198" spans="1:7">
      <c r="A2198" s="37"/>
      <c r="B2198" s="37"/>
      <c r="C2198" s="37"/>
      <c r="D2198" s="37"/>
      <c r="E2198" s="37"/>
      <c r="F2198" s="37"/>
      <c r="G2198" s="37"/>
    </row>
    <row r="2199" spans="1:7">
      <c r="A2199" s="37"/>
      <c r="B2199" s="37"/>
      <c r="C2199" s="37"/>
      <c r="D2199" s="37"/>
      <c r="E2199" s="37"/>
      <c r="F2199" s="37"/>
      <c r="G2199" s="37"/>
    </row>
    <row r="2200" spans="1:7">
      <c r="A2200" s="37"/>
      <c r="B2200" s="37"/>
      <c r="C2200" s="37"/>
      <c r="D2200" s="37"/>
      <c r="E2200" s="37"/>
      <c r="F2200" s="37"/>
      <c r="G2200" s="37"/>
    </row>
    <row r="2201" spans="1:7">
      <c r="A2201" s="37"/>
      <c r="B2201" s="37"/>
      <c r="C2201" s="37"/>
      <c r="D2201" s="37"/>
      <c r="E2201" s="37"/>
      <c r="F2201" s="37"/>
      <c r="G2201" s="37"/>
    </row>
    <row r="2202" spans="1:7">
      <c r="A2202" s="37"/>
      <c r="B2202" s="37"/>
      <c r="C2202" s="37"/>
      <c r="D2202" s="37"/>
      <c r="E2202" s="37"/>
      <c r="F2202" s="37"/>
      <c r="G2202" s="37"/>
    </row>
    <row r="2203" spans="1:7">
      <c r="A2203" s="37"/>
      <c r="B2203" s="37"/>
      <c r="C2203" s="37"/>
      <c r="D2203" s="37"/>
      <c r="E2203" s="37"/>
      <c r="F2203" s="37"/>
      <c r="G2203" s="37"/>
    </row>
    <row r="2204" spans="1:7">
      <c r="A2204" s="37"/>
      <c r="B2204" s="37"/>
      <c r="C2204" s="37"/>
      <c r="D2204" s="37"/>
      <c r="E2204" s="37"/>
      <c r="F2204" s="37"/>
      <c r="G2204" s="37"/>
    </row>
    <row r="2205" spans="1:7">
      <c r="A2205" s="37"/>
      <c r="B2205" s="37"/>
      <c r="C2205" s="37"/>
      <c r="D2205" s="37"/>
      <c r="E2205" s="37"/>
      <c r="F2205" s="37"/>
      <c r="G2205" s="37"/>
    </row>
    <row r="2206" spans="1:7">
      <c r="A2206" s="37"/>
      <c r="B2206" s="37"/>
      <c r="C2206" s="37"/>
      <c r="D2206" s="37"/>
      <c r="E2206" s="37"/>
      <c r="F2206" s="37"/>
      <c r="G2206" s="37"/>
    </row>
    <row r="2207" spans="1:7">
      <c r="A2207" s="37"/>
      <c r="B2207" s="37"/>
      <c r="C2207" s="37"/>
      <c r="D2207" s="37"/>
      <c r="E2207" s="37"/>
      <c r="F2207" s="37"/>
      <c r="G2207" s="37"/>
    </row>
    <row r="2208" spans="1:7">
      <c r="A2208" s="37"/>
      <c r="B2208" s="37"/>
      <c r="C2208" s="37"/>
      <c r="D2208" s="37"/>
      <c r="E2208" s="37"/>
      <c r="F2208" s="37"/>
      <c r="G2208" s="37"/>
    </row>
    <row r="2209" spans="1:7">
      <c r="A2209" s="37"/>
      <c r="B2209" s="37"/>
      <c r="C2209" s="37"/>
      <c r="D2209" s="37"/>
      <c r="E2209" s="37"/>
      <c r="F2209" s="37"/>
      <c r="G2209" s="37"/>
    </row>
    <row r="2210" spans="1:7">
      <c r="A2210" s="37"/>
      <c r="B2210" s="37"/>
      <c r="C2210" s="37"/>
      <c r="D2210" s="37"/>
      <c r="E2210" s="37"/>
      <c r="F2210" s="37"/>
      <c r="G2210" s="37"/>
    </row>
    <row r="2211" spans="1:7">
      <c r="A2211" s="37"/>
      <c r="B2211" s="37"/>
      <c r="C2211" s="37"/>
      <c r="D2211" s="37"/>
      <c r="E2211" s="37"/>
      <c r="F2211" s="37"/>
      <c r="G2211" s="37"/>
    </row>
    <row r="2212" spans="1:7">
      <c r="A2212" s="37"/>
      <c r="B2212" s="37"/>
      <c r="C2212" s="37"/>
      <c r="D2212" s="37"/>
      <c r="E2212" s="37"/>
      <c r="F2212" s="37"/>
      <c r="G2212" s="37"/>
    </row>
    <row r="2213" spans="1:7">
      <c r="A2213" s="37"/>
      <c r="B2213" s="37"/>
      <c r="C2213" s="37"/>
      <c r="D2213" s="37"/>
      <c r="E2213" s="37"/>
      <c r="F2213" s="37"/>
      <c r="G2213" s="37"/>
    </row>
    <row r="2214" spans="1:7">
      <c r="A2214" s="37"/>
      <c r="B2214" s="37"/>
      <c r="C2214" s="37"/>
      <c r="D2214" s="37"/>
      <c r="E2214" s="37"/>
      <c r="F2214" s="37"/>
      <c r="G2214" s="37"/>
    </row>
    <row r="2215" spans="1:7">
      <c r="A2215" s="37"/>
      <c r="B2215" s="37"/>
      <c r="C2215" s="37"/>
      <c r="D2215" s="37"/>
      <c r="E2215" s="37"/>
      <c r="F2215" s="37"/>
      <c r="G2215" s="37"/>
    </row>
    <row r="2216" spans="1:7">
      <c r="A2216" s="37"/>
      <c r="B2216" s="37"/>
      <c r="C2216" s="37"/>
      <c r="D2216" s="37"/>
      <c r="E2216" s="37"/>
      <c r="F2216" s="37"/>
      <c r="G2216" s="37"/>
    </row>
    <row r="2217" spans="1:7">
      <c r="A2217" s="37"/>
      <c r="B2217" s="37"/>
      <c r="C2217" s="37"/>
      <c r="D2217" s="37"/>
      <c r="E2217" s="37"/>
      <c r="F2217" s="37"/>
      <c r="G2217" s="37"/>
    </row>
    <row r="2218" spans="1:7">
      <c r="A2218" s="37"/>
      <c r="B2218" s="37"/>
      <c r="C2218" s="37"/>
      <c r="D2218" s="37"/>
      <c r="E2218" s="37"/>
      <c r="F2218" s="37"/>
      <c r="G2218" s="37"/>
    </row>
    <row r="2219" spans="1:7">
      <c r="A2219" s="37"/>
      <c r="B2219" s="37"/>
      <c r="C2219" s="37"/>
      <c r="D2219" s="37"/>
      <c r="E2219" s="37"/>
      <c r="F2219" s="37"/>
      <c r="G2219" s="37"/>
    </row>
    <row r="2220" spans="1:7">
      <c r="A2220" s="37"/>
      <c r="B2220" s="37"/>
      <c r="C2220" s="37"/>
      <c r="D2220" s="37"/>
      <c r="E2220" s="37"/>
      <c r="F2220" s="37"/>
      <c r="G2220" s="37"/>
    </row>
    <row r="2221" spans="1:7">
      <c r="A2221" s="37"/>
      <c r="B2221" s="37"/>
      <c r="C2221" s="37"/>
      <c r="D2221" s="37"/>
      <c r="E2221" s="37"/>
      <c r="F2221" s="37"/>
      <c r="G2221" s="37"/>
    </row>
    <row r="2222" spans="1:7">
      <c r="A2222" s="37"/>
      <c r="B2222" s="37"/>
      <c r="C2222" s="37"/>
      <c r="D2222" s="37"/>
      <c r="E2222" s="37"/>
      <c r="F2222" s="37"/>
      <c r="G2222" s="37"/>
    </row>
    <row r="2223" spans="1:7">
      <c r="A2223" s="37"/>
      <c r="B2223" s="37"/>
      <c r="C2223" s="37"/>
      <c r="D2223" s="37"/>
      <c r="E2223" s="37"/>
      <c r="F2223" s="37"/>
      <c r="G2223" s="37"/>
    </row>
    <row r="2224" spans="1:7">
      <c r="A2224" s="37"/>
      <c r="B2224" s="37"/>
      <c r="C2224" s="37"/>
      <c r="D2224" s="37"/>
      <c r="E2224" s="37"/>
      <c r="F2224" s="37"/>
      <c r="G2224" s="37"/>
    </row>
    <row r="2225" spans="1:7">
      <c r="A2225" s="37"/>
      <c r="B2225" s="37"/>
      <c r="C2225" s="37"/>
      <c r="D2225" s="37"/>
      <c r="E2225" s="37"/>
      <c r="F2225" s="37"/>
      <c r="G2225" s="37"/>
    </row>
    <row r="2226" spans="1:7">
      <c r="A2226" s="37"/>
      <c r="B2226" s="37"/>
      <c r="C2226" s="37"/>
      <c r="D2226" s="37"/>
      <c r="E2226" s="37"/>
      <c r="F2226" s="37"/>
      <c r="G2226" s="37"/>
    </row>
    <row r="2227" spans="1:7">
      <c r="A2227" s="37"/>
      <c r="B2227" s="37"/>
      <c r="C2227" s="37"/>
      <c r="D2227" s="37"/>
      <c r="E2227" s="37"/>
      <c r="F2227" s="37"/>
      <c r="G2227" s="37"/>
    </row>
    <row r="2228" spans="1:7">
      <c r="A2228" s="37"/>
      <c r="B2228" s="37"/>
      <c r="C2228" s="37"/>
      <c r="D2228" s="37"/>
      <c r="E2228" s="37"/>
      <c r="F2228" s="37"/>
      <c r="G2228" s="37"/>
    </row>
    <row r="2229" spans="1:7">
      <c r="A2229" s="37"/>
      <c r="B2229" s="37"/>
      <c r="C2229" s="37"/>
      <c r="D2229" s="37"/>
      <c r="E2229" s="37"/>
      <c r="F2229" s="37"/>
      <c r="G2229" s="37"/>
    </row>
    <row r="2230" spans="1:7">
      <c r="A2230" s="37"/>
      <c r="B2230" s="37"/>
      <c r="C2230" s="37"/>
      <c r="D2230" s="37"/>
      <c r="E2230" s="37"/>
      <c r="F2230" s="37"/>
      <c r="G2230" s="37"/>
    </row>
    <row r="2231" spans="1:7">
      <c r="A2231" s="37"/>
      <c r="B2231" s="37"/>
      <c r="C2231" s="37"/>
      <c r="D2231" s="37"/>
      <c r="E2231" s="37"/>
      <c r="F2231" s="37"/>
      <c r="G2231" s="37"/>
    </row>
    <row r="2232" spans="1:7">
      <c r="A2232" s="37"/>
      <c r="B2232" s="37"/>
      <c r="C2232" s="37"/>
      <c r="D2232" s="37"/>
      <c r="E2232" s="37"/>
      <c r="F2232" s="37"/>
      <c r="G2232" s="37"/>
    </row>
    <row r="2233" spans="1:7">
      <c r="A2233" s="37"/>
      <c r="B2233" s="37"/>
      <c r="C2233" s="37"/>
      <c r="D2233" s="37"/>
      <c r="E2233" s="37"/>
      <c r="F2233" s="37"/>
      <c r="G2233" s="37"/>
    </row>
    <row r="2234" spans="1:7">
      <c r="A2234" s="37"/>
      <c r="B2234" s="37"/>
      <c r="C2234" s="37"/>
      <c r="D2234" s="37"/>
      <c r="E2234" s="37"/>
      <c r="F2234" s="37"/>
      <c r="G2234" s="37"/>
    </row>
    <row r="2235" spans="1:7">
      <c r="A2235" s="37"/>
      <c r="B2235" s="37"/>
      <c r="C2235" s="37"/>
      <c r="D2235" s="37"/>
      <c r="E2235" s="37"/>
      <c r="F2235" s="37"/>
      <c r="G2235" s="37"/>
    </row>
    <row r="2236" spans="1:7">
      <c r="A2236" s="37"/>
      <c r="B2236" s="37"/>
      <c r="C2236" s="37"/>
      <c r="D2236" s="37"/>
      <c r="E2236" s="37"/>
      <c r="F2236" s="37"/>
      <c r="G2236" s="37"/>
    </row>
    <row r="2237" spans="1:7">
      <c r="A2237" s="37"/>
      <c r="B2237" s="37"/>
      <c r="C2237" s="37"/>
      <c r="D2237" s="37"/>
      <c r="E2237" s="37"/>
      <c r="F2237" s="37"/>
      <c r="G2237" s="37"/>
    </row>
    <row r="2238" spans="1:7">
      <c r="A2238" s="37"/>
      <c r="B2238" s="37"/>
      <c r="C2238" s="37"/>
      <c r="D2238" s="37"/>
      <c r="E2238" s="37"/>
      <c r="F2238" s="37"/>
      <c r="G2238" s="37"/>
    </row>
    <row r="2239" spans="1:7">
      <c r="A2239" s="37"/>
      <c r="B2239" s="37"/>
      <c r="C2239" s="37"/>
      <c r="D2239" s="37"/>
      <c r="E2239" s="37"/>
      <c r="F2239" s="37"/>
      <c r="G2239" s="37"/>
    </row>
    <row r="2240" spans="1:7">
      <c r="A2240" s="37"/>
      <c r="B2240" s="37"/>
      <c r="C2240" s="37"/>
      <c r="D2240" s="37"/>
      <c r="E2240" s="37"/>
      <c r="F2240" s="37"/>
      <c r="G2240" s="37"/>
    </row>
    <row r="2241" spans="1:7">
      <c r="A2241" s="37"/>
      <c r="B2241" s="37"/>
      <c r="C2241" s="37"/>
      <c r="D2241" s="37"/>
      <c r="E2241" s="37"/>
      <c r="F2241" s="37"/>
      <c r="G2241" s="37"/>
    </row>
    <row r="2242" spans="1:7">
      <c r="A2242" s="37"/>
      <c r="B2242" s="37"/>
      <c r="C2242" s="37"/>
      <c r="D2242" s="37"/>
      <c r="E2242" s="37"/>
      <c r="F2242" s="37"/>
      <c r="G2242" s="37"/>
    </row>
    <row r="2243" spans="1:7">
      <c r="A2243" s="37"/>
      <c r="B2243" s="37"/>
      <c r="C2243" s="37"/>
      <c r="D2243" s="37"/>
      <c r="E2243" s="37"/>
      <c r="F2243" s="37"/>
      <c r="G2243" s="37"/>
    </row>
    <row r="2244" spans="1:7">
      <c r="A2244" s="37"/>
      <c r="B2244" s="37"/>
      <c r="C2244" s="37"/>
      <c r="D2244" s="37"/>
      <c r="E2244" s="37"/>
      <c r="F2244" s="37"/>
      <c r="G2244" s="37"/>
    </row>
    <row r="2245" spans="1:7">
      <c r="A2245" s="37"/>
      <c r="B2245" s="37"/>
      <c r="C2245" s="37"/>
      <c r="D2245" s="37"/>
      <c r="E2245" s="37"/>
      <c r="F2245" s="37"/>
      <c r="G2245" s="37"/>
    </row>
    <row r="2246" spans="1:7">
      <c r="A2246" s="37"/>
      <c r="B2246" s="37"/>
      <c r="C2246" s="37"/>
      <c r="D2246" s="37"/>
      <c r="E2246" s="37"/>
      <c r="F2246" s="37"/>
      <c r="G2246" s="37"/>
    </row>
    <row r="2247" spans="1:7">
      <c r="A2247" s="37"/>
      <c r="B2247" s="37"/>
      <c r="C2247" s="37"/>
      <c r="D2247" s="37"/>
      <c r="E2247" s="37"/>
      <c r="F2247" s="37"/>
      <c r="G2247" s="37"/>
    </row>
    <row r="2248" spans="1:7">
      <c r="A2248" s="37"/>
      <c r="B2248" s="37"/>
      <c r="C2248" s="37"/>
      <c r="D2248" s="37"/>
      <c r="E2248" s="37"/>
      <c r="F2248" s="37"/>
      <c r="G2248" s="37"/>
    </row>
    <row r="2249" spans="1:7">
      <c r="A2249" s="37"/>
      <c r="B2249" s="37"/>
      <c r="C2249" s="37"/>
      <c r="D2249" s="37"/>
      <c r="E2249" s="37"/>
      <c r="F2249" s="37"/>
      <c r="G2249" s="37"/>
    </row>
    <row r="2250" spans="1:7">
      <c r="A2250" s="37"/>
      <c r="B2250" s="37"/>
      <c r="C2250" s="37"/>
      <c r="D2250" s="37"/>
      <c r="E2250" s="37"/>
      <c r="F2250" s="37"/>
      <c r="G2250" s="37"/>
    </row>
    <row r="2251" spans="1:7">
      <c r="A2251" s="37"/>
      <c r="B2251" s="37"/>
      <c r="C2251" s="37"/>
      <c r="D2251" s="37"/>
      <c r="E2251" s="37"/>
      <c r="F2251" s="37"/>
      <c r="G2251" s="37"/>
    </row>
    <row r="2252" spans="1:7">
      <c r="A2252" s="37"/>
      <c r="B2252" s="37"/>
      <c r="C2252" s="37"/>
      <c r="D2252" s="37"/>
      <c r="E2252" s="37"/>
      <c r="F2252" s="37"/>
      <c r="G2252" s="37"/>
    </row>
    <row r="2253" spans="1:7">
      <c r="A2253" s="37"/>
      <c r="B2253" s="37"/>
      <c r="C2253" s="37"/>
      <c r="D2253" s="37"/>
      <c r="E2253" s="37"/>
      <c r="F2253" s="37"/>
      <c r="G2253" s="37"/>
    </row>
    <row r="2254" spans="1:7">
      <c r="A2254" s="37"/>
      <c r="B2254" s="37"/>
      <c r="C2254" s="37"/>
      <c r="D2254" s="37"/>
      <c r="E2254" s="37"/>
      <c r="F2254" s="37"/>
      <c r="G2254" s="37"/>
    </row>
    <row r="2255" spans="1:7">
      <c r="A2255" s="37"/>
      <c r="B2255" s="37"/>
      <c r="C2255" s="37"/>
      <c r="D2255" s="37"/>
      <c r="E2255" s="37"/>
      <c r="F2255" s="37"/>
      <c r="G2255" s="37"/>
    </row>
    <row r="2256" spans="1:7">
      <c r="A2256" s="37"/>
      <c r="B2256" s="37"/>
      <c r="C2256" s="37"/>
      <c r="D2256" s="37"/>
      <c r="E2256" s="37"/>
      <c r="F2256" s="37"/>
      <c r="G2256" s="37"/>
    </row>
    <row r="2257" spans="1:7">
      <c r="A2257" s="37"/>
      <c r="B2257" s="37"/>
      <c r="C2257" s="37"/>
      <c r="D2257" s="37"/>
      <c r="E2257" s="37"/>
      <c r="F2257" s="37"/>
      <c r="G2257" s="37"/>
    </row>
    <row r="2258" spans="1:7">
      <c r="A2258" s="37"/>
      <c r="B2258" s="37"/>
      <c r="C2258" s="37"/>
      <c r="D2258" s="37"/>
      <c r="E2258" s="37"/>
      <c r="F2258" s="37"/>
      <c r="G2258" s="37"/>
    </row>
    <row r="2259" spans="1:7">
      <c r="A2259" s="37"/>
      <c r="B2259" s="37"/>
      <c r="C2259" s="37"/>
      <c r="D2259" s="37"/>
      <c r="E2259" s="37"/>
      <c r="F2259" s="37"/>
      <c r="G2259" s="37"/>
    </row>
    <row r="2260" spans="1:7">
      <c r="A2260" s="37"/>
      <c r="B2260" s="37"/>
      <c r="C2260" s="37"/>
      <c r="D2260" s="37"/>
      <c r="E2260" s="37"/>
      <c r="F2260" s="37"/>
      <c r="G2260" s="37"/>
    </row>
    <row r="2261" spans="1:7">
      <c r="A2261" s="37"/>
      <c r="B2261" s="37"/>
      <c r="C2261" s="37"/>
      <c r="D2261" s="37"/>
      <c r="E2261" s="37"/>
      <c r="F2261" s="37"/>
      <c r="G2261" s="37"/>
    </row>
    <row r="2262" spans="1:7">
      <c r="A2262" s="37"/>
      <c r="B2262" s="37"/>
      <c r="C2262" s="37"/>
      <c r="D2262" s="37"/>
      <c r="E2262" s="37"/>
      <c r="F2262" s="37"/>
      <c r="G2262" s="37"/>
    </row>
    <row r="2263" spans="1:7">
      <c r="A2263" s="37"/>
      <c r="B2263" s="37"/>
      <c r="C2263" s="37"/>
      <c r="D2263" s="37"/>
      <c r="E2263" s="37"/>
      <c r="F2263" s="37"/>
      <c r="G2263" s="37"/>
    </row>
    <row r="2264" spans="1:7">
      <c r="A2264" s="37"/>
      <c r="B2264" s="37"/>
      <c r="C2264" s="37"/>
      <c r="D2264" s="37"/>
      <c r="E2264" s="37"/>
      <c r="F2264" s="37"/>
      <c r="G2264" s="37"/>
    </row>
    <row r="2265" spans="1:7">
      <c r="A2265" s="37"/>
      <c r="B2265" s="37"/>
      <c r="C2265" s="37"/>
      <c r="D2265" s="37"/>
      <c r="E2265" s="37"/>
      <c r="F2265" s="37"/>
      <c r="G2265" s="37"/>
    </row>
    <row r="2266" spans="1:7">
      <c r="A2266" s="37"/>
      <c r="B2266" s="37"/>
      <c r="C2266" s="37"/>
      <c r="D2266" s="37"/>
      <c r="E2266" s="37"/>
      <c r="F2266" s="37"/>
      <c r="G2266" s="37"/>
    </row>
    <row r="2267" spans="1:7">
      <c r="A2267" s="37"/>
      <c r="B2267" s="37"/>
      <c r="C2267" s="37"/>
      <c r="D2267" s="37"/>
      <c r="E2267" s="37"/>
      <c r="F2267" s="37"/>
      <c r="G2267" s="37"/>
    </row>
    <row r="2268" spans="1:7">
      <c r="A2268" s="37"/>
      <c r="B2268" s="37"/>
      <c r="C2268" s="37"/>
      <c r="D2268" s="37"/>
      <c r="E2268" s="37"/>
      <c r="F2268" s="37"/>
      <c r="G2268" s="37"/>
    </row>
    <row r="2269" spans="1:7">
      <c r="A2269" s="37"/>
      <c r="B2269" s="37"/>
      <c r="C2269" s="37"/>
      <c r="D2269" s="37"/>
      <c r="E2269" s="37"/>
      <c r="F2269" s="37"/>
      <c r="G2269" s="37"/>
    </row>
    <row r="2270" spans="1:7">
      <c r="A2270" s="37"/>
      <c r="B2270" s="37"/>
      <c r="C2270" s="37"/>
      <c r="D2270" s="37"/>
      <c r="E2270" s="37"/>
      <c r="F2270" s="37"/>
      <c r="G2270" s="37"/>
    </row>
    <row r="2271" spans="1:7">
      <c r="A2271" s="37"/>
      <c r="B2271" s="37"/>
      <c r="C2271" s="37"/>
      <c r="D2271" s="37"/>
      <c r="E2271" s="37"/>
      <c r="F2271" s="37"/>
      <c r="G2271" s="37"/>
    </row>
    <row r="2272" spans="1:7">
      <c r="A2272" s="37"/>
      <c r="B2272" s="37"/>
      <c r="C2272" s="37"/>
      <c r="D2272" s="37"/>
      <c r="E2272" s="37"/>
      <c r="F2272" s="37"/>
      <c r="G2272" s="37"/>
    </row>
    <row r="2273" spans="1:7">
      <c r="A2273" s="37"/>
      <c r="B2273" s="37"/>
      <c r="C2273" s="37"/>
      <c r="D2273" s="37"/>
      <c r="E2273" s="37"/>
      <c r="F2273" s="37"/>
      <c r="G2273" s="37"/>
    </row>
    <row r="2274" spans="1:7">
      <c r="A2274" s="37"/>
      <c r="B2274" s="37"/>
      <c r="C2274" s="37"/>
      <c r="D2274" s="37"/>
      <c r="E2274" s="37"/>
      <c r="F2274" s="37"/>
      <c r="G2274" s="37"/>
    </row>
    <row r="2275" spans="1:7">
      <c r="A2275" s="37"/>
      <c r="B2275" s="37"/>
      <c r="C2275" s="37"/>
      <c r="D2275" s="37"/>
      <c r="E2275" s="37"/>
      <c r="F2275" s="37"/>
      <c r="G2275" s="37"/>
    </row>
    <row r="2276" spans="1:7">
      <c r="A2276" s="37"/>
      <c r="B2276" s="37"/>
      <c r="C2276" s="37"/>
      <c r="D2276" s="37"/>
      <c r="E2276" s="37"/>
      <c r="F2276" s="37"/>
      <c r="G2276" s="37"/>
    </row>
    <row r="2277" spans="1:7">
      <c r="A2277" s="37"/>
      <c r="B2277" s="37"/>
      <c r="C2277" s="37"/>
      <c r="D2277" s="37"/>
      <c r="E2277" s="37"/>
      <c r="F2277" s="37"/>
      <c r="G2277" s="37"/>
    </row>
    <row r="2278" spans="1:7">
      <c r="A2278" s="37"/>
      <c r="B2278" s="37"/>
      <c r="C2278" s="37"/>
      <c r="D2278" s="37"/>
      <c r="E2278" s="37"/>
      <c r="F2278" s="37"/>
      <c r="G2278" s="37"/>
    </row>
    <row r="2279" spans="1:7">
      <c r="A2279" s="37"/>
      <c r="B2279" s="37"/>
      <c r="C2279" s="37"/>
      <c r="D2279" s="37"/>
      <c r="E2279" s="37"/>
      <c r="F2279" s="37"/>
      <c r="G2279" s="37"/>
    </row>
    <row r="2280" spans="1:7">
      <c r="A2280" s="37"/>
      <c r="B2280" s="37"/>
      <c r="C2280" s="37"/>
      <c r="D2280" s="37"/>
      <c r="E2280" s="37"/>
      <c r="F2280" s="37"/>
      <c r="G2280" s="37"/>
    </row>
    <row r="2281" spans="1:7">
      <c r="A2281" s="37"/>
      <c r="B2281" s="37"/>
      <c r="C2281" s="37"/>
      <c r="D2281" s="37"/>
      <c r="E2281" s="37"/>
      <c r="F2281" s="37"/>
      <c r="G2281" s="37"/>
    </row>
    <row r="2282" spans="1:7">
      <c r="A2282" s="37"/>
      <c r="B2282" s="37"/>
      <c r="C2282" s="37"/>
      <c r="D2282" s="37"/>
      <c r="E2282" s="37"/>
      <c r="F2282" s="37"/>
      <c r="G2282" s="37"/>
    </row>
    <row r="2283" spans="1:7">
      <c r="A2283" s="37"/>
      <c r="B2283" s="37"/>
      <c r="C2283" s="37"/>
      <c r="D2283" s="37"/>
      <c r="E2283" s="37"/>
      <c r="F2283" s="37"/>
      <c r="G2283" s="37"/>
    </row>
    <row r="2284" spans="1:7">
      <c r="A2284" s="37"/>
      <c r="B2284" s="37"/>
      <c r="C2284" s="37"/>
      <c r="D2284" s="37"/>
      <c r="E2284" s="37"/>
      <c r="F2284" s="37"/>
      <c r="G2284" s="37"/>
    </row>
    <row r="2285" spans="1:7">
      <c r="A2285" s="37"/>
      <c r="B2285" s="37"/>
      <c r="C2285" s="37"/>
      <c r="D2285" s="37"/>
      <c r="E2285" s="37"/>
      <c r="F2285" s="37"/>
      <c r="G2285" s="37"/>
    </row>
    <row r="2286" spans="1:7">
      <c r="A2286" s="37"/>
      <c r="B2286" s="37"/>
      <c r="C2286" s="37"/>
      <c r="D2286" s="37"/>
      <c r="E2286" s="37"/>
      <c r="F2286" s="37"/>
      <c r="G2286" s="37"/>
    </row>
    <row r="2287" spans="1:7">
      <c r="A2287" s="37"/>
      <c r="B2287" s="37"/>
      <c r="C2287" s="37"/>
      <c r="D2287" s="37"/>
      <c r="E2287" s="37"/>
      <c r="F2287" s="37"/>
      <c r="G2287" s="37"/>
    </row>
    <row r="2288" spans="1:7">
      <c r="A2288" s="37"/>
      <c r="B2288" s="37"/>
      <c r="C2288" s="37"/>
      <c r="D2288" s="37"/>
      <c r="E2288" s="37"/>
      <c r="F2288" s="37"/>
      <c r="G2288" s="37"/>
    </row>
    <row r="2289" spans="1:7">
      <c r="A2289" s="37"/>
      <c r="B2289" s="37"/>
      <c r="C2289" s="37"/>
      <c r="D2289" s="37"/>
      <c r="E2289" s="37"/>
      <c r="F2289" s="37"/>
      <c r="G2289" s="37"/>
    </row>
    <row r="2290" spans="1:7">
      <c r="A2290" s="37"/>
      <c r="B2290" s="37"/>
      <c r="C2290" s="37"/>
      <c r="D2290" s="37"/>
      <c r="E2290" s="37"/>
      <c r="F2290" s="37"/>
      <c r="G2290" s="37"/>
    </row>
    <row r="2291" spans="1:7">
      <c r="A2291" s="37"/>
      <c r="B2291" s="37"/>
      <c r="C2291" s="37"/>
      <c r="D2291" s="37"/>
      <c r="E2291" s="37"/>
      <c r="F2291" s="37"/>
      <c r="G2291" s="37"/>
    </row>
    <row r="2292" spans="1:7">
      <c r="A2292" s="37"/>
      <c r="B2292" s="37"/>
      <c r="C2292" s="37"/>
      <c r="D2292" s="37"/>
      <c r="E2292" s="37"/>
      <c r="F2292" s="37"/>
      <c r="G2292" s="37"/>
    </row>
    <row r="2293" spans="1:7">
      <c r="A2293" s="37"/>
      <c r="B2293" s="37"/>
      <c r="C2293" s="37"/>
      <c r="D2293" s="37"/>
      <c r="E2293" s="37"/>
      <c r="F2293" s="37"/>
      <c r="G2293" s="37"/>
    </row>
    <row r="2294" spans="1:7">
      <c r="A2294" s="37"/>
      <c r="B2294" s="37"/>
      <c r="C2294" s="37"/>
      <c r="D2294" s="37"/>
      <c r="E2294" s="37"/>
      <c r="F2294" s="37"/>
      <c r="G2294" s="37"/>
    </row>
    <row r="2295" spans="1:7">
      <c r="A2295" s="37"/>
      <c r="B2295" s="37"/>
      <c r="C2295" s="37"/>
      <c r="D2295" s="37"/>
      <c r="E2295" s="37"/>
      <c r="F2295" s="37"/>
      <c r="G2295" s="37"/>
    </row>
    <row r="2296" spans="1:7">
      <c r="A2296" s="37"/>
      <c r="B2296" s="37"/>
      <c r="C2296" s="37"/>
      <c r="D2296" s="37"/>
      <c r="E2296" s="37"/>
      <c r="F2296" s="37"/>
      <c r="G2296" s="37"/>
    </row>
    <row r="2297" spans="1:7">
      <c r="A2297" s="37"/>
      <c r="B2297" s="37"/>
      <c r="C2297" s="37"/>
      <c r="D2297" s="37"/>
      <c r="E2297" s="37"/>
      <c r="F2297" s="37"/>
      <c r="G2297" s="37"/>
    </row>
    <row r="2298" spans="1:7">
      <c r="A2298" s="37"/>
      <c r="B2298" s="37"/>
      <c r="C2298" s="37"/>
      <c r="D2298" s="37"/>
      <c r="E2298" s="37"/>
      <c r="F2298" s="37"/>
      <c r="G2298" s="37"/>
    </row>
    <row r="2299" spans="1:7">
      <c r="A2299" s="37"/>
      <c r="B2299" s="37"/>
      <c r="C2299" s="37"/>
      <c r="D2299" s="37"/>
      <c r="E2299" s="37"/>
      <c r="F2299" s="37"/>
      <c r="G2299" s="37"/>
    </row>
    <row r="2300" spans="1:7">
      <c r="A2300" s="37"/>
      <c r="B2300" s="37"/>
      <c r="C2300" s="37"/>
      <c r="D2300" s="37"/>
      <c r="E2300" s="37"/>
      <c r="F2300" s="37"/>
      <c r="G2300" s="37"/>
    </row>
    <row r="2301" spans="1:7">
      <c r="A2301" s="37"/>
      <c r="B2301" s="37"/>
      <c r="C2301" s="37"/>
      <c r="D2301" s="37"/>
      <c r="E2301" s="37"/>
      <c r="F2301" s="37"/>
      <c r="G2301" s="37"/>
    </row>
    <row r="2302" spans="1:7">
      <c r="A2302" s="37"/>
      <c r="B2302" s="37"/>
      <c r="C2302" s="37"/>
      <c r="D2302" s="37"/>
      <c r="E2302" s="37"/>
      <c r="F2302" s="37"/>
      <c r="G2302" s="37"/>
    </row>
    <row r="2303" spans="1:7">
      <c r="A2303" s="37"/>
      <c r="B2303" s="37"/>
      <c r="C2303" s="37"/>
      <c r="D2303" s="37"/>
      <c r="E2303" s="37"/>
      <c r="F2303" s="37"/>
      <c r="G2303" s="37"/>
    </row>
    <row r="2304" spans="1:7">
      <c r="A2304" s="37"/>
      <c r="B2304" s="37"/>
      <c r="C2304" s="37"/>
      <c r="D2304" s="37"/>
      <c r="E2304" s="37"/>
      <c r="F2304" s="37"/>
      <c r="G2304" s="37"/>
    </row>
    <row r="2305" spans="1:7">
      <c r="A2305" s="37"/>
      <c r="B2305" s="37"/>
      <c r="C2305" s="37"/>
      <c r="D2305" s="37"/>
      <c r="E2305" s="37"/>
      <c r="F2305" s="37"/>
      <c r="G2305" s="37"/>
    </row>
    <row r="2306" spans="1:7">
      <c r="A2306" s="37"/>
      <c r="B2306" s="37"/>
      <c r="C2306" s="37"/>
      <c r="D2306" s="37"/>
      <c r="E2306" s="37"/>
      <c r="F2306" s="37"/>
      <c r="G2306" s="37"/>
    </row>
    <row r="2307" spans="1:7">
      <c r="A2307" s="37"/>
      <c r="B2307" s="37"/>
      <c r="C2307" s="37"/>
      <c r="D2307" s="37"/>
      <c r="E2307" s="37"/>
      <c r="F2307" s="37"/>
      <c r="G2307" s="37"/>
    </row>
    <row r="2308" spans="1:7">
      <c r="A2308" s="37"/>
      <c r="B2308" s="37"/>
      <c r="C2308" s="37"/>
      <c r="D2308" s="37"/>
      <c r="E2308" s="37"/>
      <c r="F2308" s="37"/>
      <c r="G2308" s="37"/>
    </row>
    <row r="2309" spans="1:7">
      <c r="A2309" s="37"/>
      <c r="B2309" s="37"/>
      <c r="C2309" s="37"/>
      <c r="D2309" s="37"/>
      <c r="E2309" s="37"/>
      <c r="F2309" s="37"/>
      <c r="G2309" s="37"/>
    </row>
    <row r="2310" spans="1:7">
      <c r="A2310" s="37"/>
      <c r="B2310" s="37"/>
      <c r="C2310" s="37"/>
      <c r="D2310" s="37"/>
      <c r="E2310" s="37"/>
      <c r="F2310" s="37"/>
      <c r="G2310" s="37"/>
    </row>
    <row r="2311" spans="1:7">
      <c r="A2311" s="37"/>
      <c r="B2311" s="37"/>
      <c r="C2311" s="37"/>
      <c r="D2311" s="37"/>
      <c r="E2311" s="37"/>
      <c r="F2311" s="37"/>
      <c r="G2311" s="37"/>
    </row>
    <row r="2312" spans="1:7">
      <c r="A2312" s="37"/>
      <c r="B2312" s="37"/>
      <c r="C2312" s="37"/>
      <c r="D2312" s="37"/>
      <c r="E2312" s="37"/>
      <c r="F2312" s="37"/>
      <c r="G2312" s="37"/>
    </row>
    <row r="2313" spans="1:7">
      <c r="A2313" s="37"/>
      <c r="B2313" s="37"/>
      <c r="C2313" s="37"/>
      <c r="D2313" s="37"/>
      <c r="E2313" s="37"/>
      <c r="F2313" s="37"/>
      <c r="G2313" s="37"/>
    </row>
    <row r="2314" spans="1:7">
      <c r="A2314" s="37"/>
      <c r="B2314" s="37"/>
      <c r="C2314" s="37"/>
      <c r="D2314" s="37"/>
      <c r="E2314" s="37"/>
      <c r="F2314" s="37"/>
      <c r="G2314" s="37"/>
    </row>
    <row r="2315" spans="1:7">
      <c r="A2315" s="37"/>
      <c r="B2315" s="37"/>
      <c r="C2315" s="37"/>
      <c r="D2315" s="37"/>
      <c r="E2315" s="37"/>
      <c r="F2315" s="37"/>
      <c r="G2315" s="37"/>
    </row>
    <row r="2316" spans="1:7">
      <c r="A2316" s="37"/>
      <c r="B2316" s="37"/>
      <c r="C2316" s="37"/>
      <c r="D2316" s="37"/>
      <c r="E2316" s="37"/>
      <c r="F2316" s="37"/>
      <c r="G2316" s="37"/>
    </row>
    <row r="2317" spans="1:7">
      <c r="A2317" s="37"/>
      <c r="B2317" s="37"/>
      <c r="C2317" s="37"/>
      <c r="D2317" s="37"/>
      <c r="E2317" s="37"/>
      <c r="F2317" s="37"/>
      <c r="G2317" s="37"/>
    </row>
    <row r="2318" spans="1:7">
      <c r="A2318" s="37"/>
      <c r="B2318" s="37"/>
      <c r="C2318" s="37"/>
      <c r="D2318" s="37"/>
      <c r="E2318" s="37"/>
      <c r="F2318" s="37"/>
      <c r="G2318" s="37"/>
    </row>
    <row r="2319" spans="1:7">
      <c r="A2319" s="37"/>
      <c r="B2319" s="37"/>
      <c r="C2319" s="37"/>
      <c r="D2319" s="37"/>
      <c r="E2319" s="37"/>
      <c r="F2319" s="37"/>
      <c r="G2319" s="37"/>
    </row>
    <row r="2320" spans="1:7">
      <c r="A2320" s="37"/>
      <c r="B2320" s="37"/>
      <c r="C2320" s="37"/>
      <c r="D2320" s="37"/>
      <c r="E2320" s="37"/>
      <c r="F2320" s="37"/>
      <c r="G2320" s="37"/>
    </row>
    <row r="2321" spans="1:7">
      <c r="A2321" s="37"/>
      <c r="B2321" s="37"/>
      <c r="C2321" s="37"/>
      <c r="D2321" s="37"/>
      <c r="E2321" s="37"/>
      <c r="F2321" s="37"/>
      <c r="G2321" s="37"/>
    </row>
    <row r="2322" spans="1:7">
      <c r="A2322" s="37"/>
      <c r="B2322" s="37"/>
      <c r="C2322" s="37"/>
      <c r="D2322" s="37"/>
      <c r="E2322" s="37"/>
      <c r="F2322" s="37"/>
      <c r="G2322" s="37"/>
    </row>
    <row r="2323" spans="1:7">
      <c r="A2323" s="37"/>
      <c r="B2323" s="37"/>
      <c r="C2323" s="37"/>
      <c r="D2323" s="37"/>
      <c r="E2323" s="37"/>
      <c r="F2323" s="37"/>
      <c r="G2323" s="37"/>
    </row>
    <row r="2324" spans="1:7">
      <c r="A2324" s="37"/>
      <c r="B2324" s="37"/>
      <c r="C2324" s="37"/>
      <c r="D2324" s="37"/>
      <c r="E2324" s="37"/>
      <c r="F2324" s="37"/>
      <c r="G2324" s="37"/>
    </row>
    <row r="2325" spans="1:7">
      <c r="A2325" s="37"/>
      <c r="B2325" s="37"/>
      <c r="C2325" s="37"/>
      <c r="D2325" s="37"/>
      <c r="E2325" s="37"/>
      <c r="F2325" s="37"/>
      <c r="G2325" s="37"/>
    </row>
    <row r="2326" spans="1:7">
      <c r="A2326" s="37"/>
      <c r="B2326" s="37"/>
      <c r="C2326" s="37"/>
      <c r="D2326" s="37"/>
      <c r="E2326" s="37"/>
      <c r="F2326" s="37"/>
      <c r="G2326" s="37"/>
    </row>
    <row r="2327" spans="1:7">
      <c r="A2327" s="37"/>
      <c r="B2327" s="37"/>
      <c r="C2327" s="37"/>
      <c r="D2327" s="37"/>
      <c r="E2327" s="37"/>
      <c r="F2327" s="37"/>
      <c r="G2327" s="37"/>
    </row>
    <row r="2328" spans="1:7">
      <c r="A2328" s="37"/>
      <c r="B2328" s="37"/>
      <c r="C2328" s="37"/>
      <c r="D2328" s="37"/>
      <c r="E2328" s="37"/>
      <c r="F2328" s="37"/>
      <c r="G2328" s="37"/>
    </row>
    <row r="2329" spans="1:7">
      <c r="A2329" s="37"/>
      <c r="B2329" s="37"/>
      <c r="C2329" s="37"/>
      <c r="D2329" s="37"/>
      <c r="E2329" s="37"/>
      <c r="F2329" s="37"/>
      <c r="G2329" s="37"/>
    </row>
    <row r="2330" spans="1:7">
      <c r="A2330" s="37"/>
      <c r="B2330" s="37"/>
      <c r="C2330" s="37"/>
      <c r="D2330" s="37"/>
      <c r="E2330" s="37"/>
      <c r="F2330" s="37"/>
      <c r="G2330" s="37"/>
    </row>
    <row r="2331" spans="1:7">
      <c r="A2331" s="37"/>
      <c r="B2331" s="37"/>
      <c r="C2331" s="37"/>
      <c r="D2331" s="37"/>
      <c r="E2331" s="37"/>
      <c r="F2331" s="37"/>
      <c r="G2331" s="37"/>
    </row>
    <row r="2332" spans="1:7">
      <c r="A2332" s="37"/>
      <c r="B2332" s="37"/>
      <c r="C2332" s="37"/>
      <c r="D2332" s="37"/>
      <c r="E2332" s="37"/>
      <c r="F2332" s="37"/>
      <c r="G2332" s="37"/>
    </row>
    <row r="2333" spans="1:7">
      <c r="A2333" s="37"/>
      <c r="B2333" s="37"/>
      <c r="C2333" s="37"/>
      <c r="D2333" s="37"/>
      <c r="E2333" s="37"/>
      <c r="F2333" s="37"/>
      <c r="G2333" s="37"/>
    </row>
    <row r="2334" spans="1:7">
      <c r="A2334" s="37"/>
      <c r="B2334" s="37"/>
      <c r="C2334" s="37"/>
      <c r="D2334" s="37"/>
      <c r="E2334" s="37"/>
      <c r="F2334" s="37"/>
      <c r="G2334" s="37"/>
    </row>
    <row r="2335" spans="1:7">
      <c r="A2335" s="37"/>
      <c r="B2335" s="37"/>
      <c r="C2335" s="37"/>
      <c r="D2335" s="37"/>
      <c r="E2335" s="37"/>
      <c r="F2335" s="37"/>
      <c r="G2335" s="37"/>
    </row>
    <row r="2336" spans="1:7">
      <c r="A2336" s="37"/>
      <c r="B2336" s="37"/>
      <c r="C2336" s="37"/>
      <c r="D2336" s="37"/>
      <c r="E2336" s="37"/>
      <c r="F2336" s="37"/>
      <c r="G2336" s="37"/>
    </row>
    <row r="2337" spans="1:7">
      <c r="A2337" s="37"/>
      <c r="B2337" s="37"/>
      <c r="C2337" s="37"/>
      <c r="D2337" s="37"/>
      <c r="E2337" s="37"/>
      <c r="F2337" s="37"/>
      <c r="G2337" s="37"/>
    </row>
    <row r="2338" spans="1:7">
      <c r="A2338" s="37"/>
      <c r="B2338" s="37"/>
      <c r="C2338" s="37"/>
      <c r="D2338" s="37"/>
      <c r="E2338" s="37"/>
      <c r="F2338" s="37"/>
      <c r="G2338" s="37"/>
    </row>
    <row r="2339" spans="1:7">
      <c r="A2339" s="37"/>
      <c r="B2339" s="37"/>
      <c r="C2339" s="37"/>
      <c r="D2339" s="37"/>
      <c r="E2339" s="37"/>
      <c r="F2339" s="37"/>
      <c r="G2339" s="37"/>
    </row>
    <row r="2340" spans="1:7">
      <c r="A2340" s="37"/>
      <c r="B2340" s="37"/>
      <c r="C2340" s="37"/>
      <c r="D2340" s="37"/>
      <c r="E2340" s="37"/>
      <c r="F2340" s="37"/>
      <c r="G2340" s="37"/>
    </row>
    <row r="2341" spans="1:7">
      <c r="A2341" s="37"/>
      <c r="B2341" s="37"/>
      <c r="C2341" s="37"/>
      <c r="D2341" s="37"/>
      <c r="E2341" s="37"/>
      <c r="F2341" s="37"/>
      <c r="G2341" s="37"/>
    </row>
    <row r="2342" spans="1:7">
      <c r="A2342" s="37"/>
      <c r="B2342" s="37"/>
      <c r="C2342" s="37"/>
      <c r="D2342" s="37"/>
      <c r="E2342" s="37"/>
      <c r="F2342" s="37"/>
      <c r="G2342" s="37"/>
    </row>
    <row r="2343" spans="1:7">
      <c r="A2343" s="37"/>
      <c r="B2343" s="37"/>
      <c r="C2343" s="37"/>
      <c r="D2343" s="37"/>
      <c r="E2343" s="37"/>
      <c r="F2343" s="37"/>
      <c r="G2343" s="37"/>
    </row>
    <row r="2344" spans="1:7">
      <c r="A2344" s="37"/>
      <c r="B2344" s="37"/>
      <c r="C2344" s="37"/>
      <c r="D2344" s="37"/>
      <c r="E2344" s="37"/>
      <c r="F2344" s="37"/>
      <c r="G2344" s="37"/>
    </row>
    <row r="2345" spans="1:7">
      <c r="A2345" s="37"/>
      <c r="B2345" s="37"/>
      <c r="C2345" s="37"/>
      <c r="D2345" s="37"/>
      <c r="E2345" s="37"/>
      <c r="F2345" s="37"/>
      <c r="G2345" s="37"/>
    </row>
    <row r="2346" spans="1:7">
      <c r="A2346" s="37"/>
      <c r="B2346" s="37"/>
      <c r="C2346" s="37"/>
      <c r="D2346" s="37"/>
      <c r="E2346" s="37"/>
      <c r="F2346" s="37"/>
      <c r="G2346" s="37"/>
    </row>
    <row r="2347" spans="1:7">
      <c r="A2347" s="37"/>
      <c r="B2347" s="37"/>
      <c r="C2347" s="37"/>
      <c r="D2347" s="37"/>
      <c r="E2347" s="37"/>
      <c r="F2347" s="37"/>
      <c r="G2347" s="37"/>
    </row>
    <row r="2348" spans="1:7">
      <c r="A2348" s="37"/>
      <c r="B2348" s="37"/>
      <c r="C2348" s="37"/>
      <c r="D2348" s="37"/>
      <c r="E2348" s="37"/>
      <c r="F2348" s="37"/>
      <c r="G2348" s="37"/>
    </row>
    <row r="2349" spans="1:7">
      <c r="A2349" s="37"/>
      <c r="B2349" s="37"/>
      <c r="C2349" s="37"/>
      <c r="D2349" s="37"/>
      <c r="E2349" s="37"/>
      <c r="F2349" s="37"/>
      <c r="G2349" s="37"/>
    </row>
    <row r="2350" spans="1:7">
      <c r="A2350" s="37"/>
      <c r="B2350" s="37"/>
      <c r="C2350" s="37"/>
      <c r="D2350" s="37"/>
      <c r="E2350" s="37"/>
      <c r="F2350" s="37"/>
      <c r="G2350" s="37"/>
    </row>
    <row r="2351" spans="1:7">
      <c r="A2351" s="37"/>
      <c r="B2351" s="37"/>
      <c r="C2351" s="37"/>
      <c r="D2351" s="37"/>
      <c r="E2351" s="37"/>
      <c r="F2351" s="37"/>
      <c r="G2351" s="37"/>
    </row>
    <row r="2352" spans="1:7">
      <c r="A2352" s="37"/>
      <c r="B2352" s="37"/>
      <c r="C2352" s="37"/>
      <c r="D2352" s="37"/>
      <c r="E2352" s="37"/>
      <c r="F2352" s="37"/>
      <c r="G2352" s="37"/>
    </row>
    <row r="2353" spans="1:7">
      <c r="A2353" s="37"/>
      <c r="B2353" s="37"/>
      <c r="C2353" s="37"/>
      <c r="D2353" s="37"/>
      <c r="E2353" s="37"/>
      <c r="F2353" s="37"/>
      <c r="G2353" s="37"/>
    </row>
    <row r="2354" spans="1:7">
      <c r="A2354" s="37"/>
      <c r="B2354" s="37"/>
      <c r="C2354" s="37"/>
      <c r="D2354" s="37"/>
      <c r="E2354" s="37"/>
      <c r="F2354" s="37"/>
      <c r="G2354" s="37"/>
    </row>
    <row r="2355" spans="1:7">
      <c r="A2355" s="37"/>
      <c r="B2355" s="37"/>
      <c r="C2355" s="37"/>
      <c r="D2355" s="37"/>
      <c r="E2355" s="37"/>
      <c r="F2355" s="37"/>
      <c r="G2355" s="37"/>
    </row>
    <row r="2356" spans="1:7">
      <c r="A2356" s="37"/>
      <c r="B2356" s="37"/>
      <c r="C2356" s="37"/>
      <c r="D2356" s="37"/>
      <c r="E2356" s="37"/>
      <c r="F2356" s="37"/>
      <c r="G2356" s="37"/>
    </row>
    <row r="2357" spans="1:7">
      <c r="A2357" s="37"/>
      <c r="B2357" s="37"/>
      <c r="C2357" s="37"/>
      <c r="D2357" s="37"/>
      <c r="E2357" s="37"/>
      <c r="F2357" s="37"/>
      <c r="G2357" s="37"/>
    </row>
    <row r="2358" spans="1:7">
      <c r="A2358" s="37"/>
      <c r="B2358" s="37"/>
      <c r="C2358" s="37"/>
      <c r="D2358" s="37"/>
      <c r="E2358" s="37"/>
      <c r="F2358" s="37"/>
      <c r="G2358" s="37"/>
    </row>
    <row r="2359" spans="1:7">
      <c r="A2359" s="37"/>
      <c r="B2359" s="37"/>
      <c r="C2359" s="37"/>
      <c r="D2359" s="37"/>
      <c r="E2359" s="37"/>
      <c r="F2359" s="37"/>
      <c r="G2359" s="37"/>
    </row>
    <row r="2360" spans="1:7">
      <c r="A2360" s="37"/>
      <c r="B2360" s="37"/>
      <c r="C2360" s="37"/>
      <c r="D2360" s="37"/>
      <c r="E2360" s="37"/>
      <c r="F2360" s="37"/>
      <c r="G2360" s="37"/>
    </row>
    <row r="2361" spans="1:7">
      <c r="A2361" s="37"/>
      <c r="B2361" s="37"/>
      <c r="C2361" s="37"/>
      <c r="D2361" s="37"/>
      <c r="E2361" s="37"/>
      <c r="F2361" s="37"/>
      <c r="G2361" s="37"/>
    </row>
    <row r="2362" spans="1:7">
      <c r="A2362" s="37"/>
      <c r="B2362" s="37"/>
      <c r="C2362" s="37"/>
      <c r="D2362" s="37"/>
      <c r="E2362" s="37"/>
      <c r="F2362" s="37"/>
      <c r="G2362" s="37"/>
    </row>
    <row r="2363" spans="1:7">
      <c r="A2363" s="37"/>
      <c r="B2363" s="37"/>
      <c r="C2363" s="37"/>
      <c r="D2363" s="37"/>
      <c r="E2363" s="37"/>
      <c r="F2363" s="37"/>
      <c r="G2363" s="37"/>
    </row>
    <row r="2364" spans="1:7">
      <c r="A2364" s="37"/>
      <c r="B2364" s="37"/>
      <c r="C2364" s="37"/>
      <c r="D2364" s="37"/>
      <c r="E2364" s="37"/>
      <c r="F2364" s="37"/>
      <c r="G2364" s="37"/>
    </row>
    <row r="2365" spans="1:7">
      <c r="A2365" s="37"/>
      <c r="B2365" s="37"/>
      <c r="C2365" s="37"/>
      <c r="D2365" s="37"/>
      <c r="E2365" s="37"/>
      <c r="F2365" s="37"/>
      <c r="G2365" s="37"/>
    </row>
    <row r="2366" spans="1:7">
      <c r="A2366" s="37"/>
      <c r="B2366" s="37"/>
      <c r="C2366" s="37"/>
      <c r="D2366" s="37"/>
      <c r="E2366" s="37"/>
      <c r="F2366" s="37"/>
      <c r="G2366" s="37"/>
    </row>
    <row r="2367" spans="1:7">
      <c r="A2367" s="37"/>
      <c r="B2367" s="37"/>
      <c r="C2367" s="37"/>
      <c r="D2367" s="37"/>
      <c r="E2367" s="37"/>
      <c r="F2367" s="37"/>
      <c r="G2367" s="37"/>
    </row>
    <row r="2368" spans="1:7">
      <c r="A2368" s="37"/>
      <c r="B2368" s="37"/>
      <c r="C2368" s="37"/>
      <c r="D2368" s="37"/>
      <c r="E2368" s="37"/>
      <c r="F2368" s="37"/>
      <c r="G2368" s="37"/>
    </row>
    <row r="2369" spans="1:7">
      <c r="A2369" s="37"/>
      <c r="B2369" s="37"/>
      <c r="C2369" s="37"/>
      <c r="D2369" s="37"/>
      <c r="E2369" s="37"/>
      <c r="F2369" s="37"/>
      <c r="G2369" s="37"/>
    </row>
    <row r="2370" spans="1:7">
      <c r="A2370" s="37"/>
      <c r="B2370" s="37"/>
      <c r="C2370" s="37"/>
      <c r="D2370" s="37"/>
      <c r="E2370" s="37"/>
      <c r="F2370" s="37"/>
      <c r="G2370" s="37"/>
    </row>
    <row r="2371" spans="1:7">
      <c r="A2371" s="37"/>
      <c r="B2371" s="37"/>
      <c r="C2371" s="37"/>
      <c r="D2371" s="37"/>
      <c r="E2371" s="37"/>
      <c r="F2371" s="37"/>
      <c r="G2371" s="37"/>
    </row>
    <row r="2372" spans="1:7">
      <c r="A2372" s="37"/>
      <c r="B2372" s="37"/>
      <c r="C2372" s="37"/>
      <c r="D2372" s="37"/>
      <c r="E2372" s="37"/>
      <c r="F2372" s="37"/>
      <c r="G2372" s="37"/>
    </row>
    <row r="2373" spans="1:7">
      <c r="A2373" s="37"/>
      <c r="B2373" s="37"/>
      <c r="C2373" s="37"/>
      <c r="D2373" s="37"/>
      <c r="E2373" s="37"/>
      <c r="F2373" s="37"/>
      <c r="G2373" s="37"/>
    </row>
    <row r="2374" spans="1:7">
      <c r="A2374" s="37"/>
      <c r="B2374" s="37"/>
      <c r="C2374" s="37"/>
      <c r="D2374" s="37"/>
      <c r="E2374" s="37"/>
      <c r="F2374" s="37"/>
      <c r="G2374" s="37"/>
    </row>
    <row r="2375" spans="1:7">
      <c r="A2375" s="37"/>
      <c r="B2375" s="37"/>
      <c r="C2375" s="37"/>
      <c r="D2375" s="37"/>
      <c r="E2375" s="37"/>
      <c r="F2375" s="37"/>
      <c r="G2375" s="37"/>
    </row>
    <row r="2376" spans="1:7">
      <c r="A2376" s="37"/>
      <c r="B2376" s="37"/>
      <c r="C2376" s="37"/>
      <c r="D2376" s="37"/>
      <c r="E2376" s="37"/>
      <c r="F2376" s="37"/>
      <c r="G2376" s="37"/>
    </row>
    <row r="2377" spans="1:7">
      <c r="A2377" s="37"/>
      <c r="B2377" s="37"/>
      <c r="C2377" s="37"/>
      <c r="D2377" s="37"/>
      <c r="E2377" s="37"/>
      <c r="F2377" s="37"/>
      <c r="G2377" s="37"/>
    </row>
    <row r="2378" spans="1:7">
      <c r="A2378" s="37"/>
      <c r="B2378" s="37"/>
      <c r="C2378" s="37"/>
      <c r="D2378" s="37"/>
      <c r="E2378" s="37"/>
      <c r="F2378" s="37"/>
      <c r="G2378" s="37"/>
    </row>
    <row r="2379" spans="1:7">
      <c r="A2379" s="37"/>
      <c r="B2379" s="37"/>
      <c r="C2379" s="37"/>
      <c r="D2379" s="37"/>
      <c r="E2379" s="37"/>
      <c r="F2379" s="37"/>
      <c r="G2379" s="37"/>
    </row>
    <row r="2380" spans="1:7">
      <c r="A2380" s="37"/>
      <c r="B2380" s="37"/>
      <c r="C2380" s="37"/>
      <c r="D2380" s="37"/>
      <c r="E2380" s="37"/>
      <c r="F2380" s="37"/>
      <c r="G2380" s="37"/>
    </row>
    <row r="2381" spans="1:7">
      <c r="A2381" s="37"/>
      <c r="B2381" s="37"/>
      <c r="C2381" s="37"/>
      <c r="D2381" s="37"/>
      <c r="E2381" s="37"/>
      <c r="F2381" s="37"/>
      <c r="G2381" s="37"/>
    </row>
    <row r="2382" spans="1:7">
      <c r="A2382" s="37"/>
      <c r="B2382" s="37"/>
      <c r="C2382" s="37"/>
      <c r="D2382" s="37"/>
      <c r="E2382" s="37"/>
      <c r="F2382" s="37"/>
      <c r="G2382" s="37"/>
    </row>
    <row r="2383" spans="1:7">
      <c r="A2383" s="37"/>
      <c r="B2383" s="37"/>
      <c r="C2383" s="37"/>
      <c r="D2383" s="37"/>
      <c r="E2383" s="37"/>
      <c r="F2383" s="37"/>
      <c r="G2383" s="37"/>
    </row>
    <row r="2384" spans="1:7">
      <c r="A2384" s="37"/>
      <c r="B2384" s="37"/>
      <c r="C2384" s="37"/>
      <c r="D2384" s="37"/>
      <c r="E2384" s="37"/>
      <c r="F2384" s="37"/>
      <c r="G2384" s="37"/>
    </row>
    <row r="2385" spans="1:7">
      <c r="A2385" s="37"/>
      <c r="B2385" s="37"/>
      <c r="C2385" s="37"/>
      <c r="D2385" s="37"/>
      <c r="E2385" s="37"/>
      <c r="F2385" s="37"/>
      <c r="G2385" s="37"/>
    </row>
    <row r="2386" spans="1:7">
      <c r="A2386" s="37"/>
      <c r="B2386" s="37"/>
      <c r="C2386" s="37"/>
      <c r="D2386" s="37"/>
      <c r="E2386" s="37"/>
      <c r="F2386" s="37"/>
      <c r="G2386" s="37"/>
    </row>
    <row r="2387" spans="1:7">
      <c r="A2387" s="37"/>
      <c r="B2387" s="37"/>
      <c r="C2387" s="37"/>
      <c r="D2387" s="37"/>
      <c r="E2387" s="37"/>
      <c r="F2387" s="37"/>
      <c r="G2387" s="37"/>
    </row>
    <row r="2388" spans="1:7">
      <c r="A2388" s="37"/>
      <c r="B2388" s="37"/>
      <c r="C2388" s="37"/>
      <c r="D2388" s="37"/>
      <c r="E2388" s="37"/>
      <c r="F2388" s="37"/>
      <c r="G2388" s="37"/>
    </row>
    <row r="2389" spans="1:7">
      <c r="A2389" s="37"/>
      <c r="B2389" s="37"/>
      <c r="C2389" s="37"/>
      <c r="D2389" s="37"/>
      <c r="E2389" s="37"/>
      <c r="F2389" s="37"/>
      <c r="G2389" s="37"/>
    </row>
    <row r="2390" spans="1:7">
      <c r="A2390" s="37"/>
      <c r="B2390" s="37"/>
      <c r="C2390" s="37"/>
      <c r="D2390" s="37"/>
      <c r="E2390" s="37"/>
      <c r="F2390" s="37"/>
      <c r="G2390" s="37"/>
    </row>
    <row r="2391" spans="1:7">
      <c r="A2391" s="37"/>
      <c r="B2391" s="37"/>
      <c r="C2391" s="37"/>
      <c r="D2391" s="37"/>
      <c r="E2391" s="37"/>
      <c r="F2391" s="37"/>
      <c r="G2391" s="37"/>
    </row>
    <row r="2392" spans="1:7">
      <c r="A2392" s="37"/>
      <c r="B2392" s="37"/>
      <c r="C2392" s="37"/>
      <c r="D2392" s="37"/>
      <c r="E2392" s="37"/>
      <c r="F2392" s="37"/>
      <c r="G2392" s="37"/>
    </row>
    <row r="2393" spans="1:7">
      <c r="A2393" s="37"/>
      <c r="B2393" s="37"/>
      <c r="C2393" s="37"/>
      <c r="D2393" s="37"/>
      <c r="E2393" s="37"/>
      <c r="F2393" s="37"/>
      <c r="G2393" s="37"/>
    </row>
    <row r="2394" spans="1:7">
      <c r="A2394" s="37"/>
      <c r="B2394" s="37"/>
      <c r="C2394" s="37"/>
      <c r="D2394" s="37"/>
      <c r="E2394" s="37"/>
      <c r="F2394" s="37"/>
      <c r="G2394" s="37"/>
    </row>
    <row r="2395" spans="1:7">
      <c r="A2395" s="37"/>
      <c r="B2395" s="37"/>
      <c r="C2395" s="37"/>
      <c r="D2395" s="37"/>
      <c r="E2395" s="37"/>
      <c r="F2395" s="37"/>
      <c r="G2395" s="37"/>
    </row>
    <row r="2396" spans="1:7">
      <c r="A2396" s="37"/>
      <c r="B2396" s="37"/>
      <c r="C2396" s="37"/>
      <c r="D2396" s="37"/>
      <c r="E2396" s="37"/>
      <c r="F2396" s="37"/>
      <c r="G2396" s="37"/>
    </row>
    <row r="2397" spans="1:7">
      <c r="A2397" s="37"/>
      <c r="B2397" s="37"/>
      <c r="C2397" s="37"/>
      <c r="D2397" s="37"/>
      <c r="E2397" s="37"/>
      <c r="F2397" s="37"/>
      <c r="G2397" s="37"/>
    </row>
    <row r="2398" spans="1:7">
      <c r="A2398" s="37"/>
      <c r="B2398" s="37"/>
      <c r="C2398" s="37"/>
      <c r="D2398" s="37"/>
      <c r="E2398" s="37"/>
      <c r="F2398" s="37"/>
      <c r="G2398" s="37"/>
    </row>
    <row r="2399" spans="1:7">
      <c r="A2399" s="37"/>
      <c r="B2399" s="37"/>
      <c r="C2399" s="37"/>
      <c r="D2399" s="37"/>
      <c r="E2399" s="37"/>
      <c r="F2399" s="37"/>
      <c r="G2399" s="37"/>
    </row>
    <row r="2400" spans="1:7">
      <c r="A2400" s="37"/>
      <c r="B2400" s="37"/>
      <c r="C2400" s="37"/>
      <c r="D2400" s="37"/>
      <c r="E2400" s="37"/>
      <c r="F2400" s="37"/>
      <c r="G2400" s="37"/>
    </row>
    <row r="2401" spans="1:7">
      <c r="A2401" s="37"/>
      <c r="B2401" s="37"/>
      <c r="C2401" s="37"/>
      <c r="D2401" s="37"/>
      <c r="E2401" s="37"/>
      <c r="F2401" s="37"/>
      <c r="G2401" s="37"/>
    </row>
    <row r="2402" spans="1:7">
      <c r="A2402" s="37"/>
      <c r="B2402" s="37"/>
      <c r="C2402" s="37"/>
      <c r="D2402" s="37"/>
      <c r="E2402" s="37"/>
      <c r="F2402" s="37"/>
      <c r="G2402" s="37"/>
    </row>
    <row r="2403" spans="1:7">
      <c r="A2403" s="37"/>
      <c r="B2403" s="37"/>
      <c r="C2403" s="37"/>
      <c r="D2403" s="37"/>
      <c r="E2403" s="37"/>
      <c r="F2403" s="37"/>
      <c r="G2403" s="37"/>
    </row>
    <row r="2404" spans="1:7">
      <c r="A2404" s="37"/>
      <c r="B2404" s="37"/>
      <c r="C2404" s="37"/>
      <c r="D2404" s="37"/>
      <c r="E2404" s="37"/>
      <c r="F2404" s="37"/>
      <c r="G2404" s="37"/>
    </row>
    <row r="2405" spans="1:7">
      <c r="A2405" s="37"/>
      <c r="B2405" s="37"/>
      <c r="C2405" s="37"/>
      <c r="D2405" s="37"/>
      <c r="E2405" s="37"/>
      <c r="F2405" s="37"/>
      <c r="G2405" s="37"/>
    </row>
    <row r="2406" spans="1:7">
      <c r="A2406" s="37"/>
      <c r="B2406" s="37"/>
      <c r="C2406" s="37"/>
      <c r="D2406" s="37"/>
      <c r="E2406" s="37"/>
      <c r="F2406" s="37"/>
      <c r="G2406" s="37"/>
    </row>
    <row r="2407" spans="1:7">
      <c r="A2407" s="37"/>
      <c r="B2407" s="37"/>
      <c r="C2407" s="37"/>
      <c r="D2407" s="37"/>
      <c r="E2407" s="37"/>
      <c r="F2407" s="37"/>
      <c r="G2407" s="37"/>
    </row>
    <row r="2408" spans="1:7">
      <c r="A2408" s="37"/>
      <c r="B2408" s="37"/>
      <c r="C2408" s="37"/>
      <c r="D2408" s="37"/>
      <c r="E2408" s="37"/>
      <c r="F2408" s="37"/>
      <c r="G2408" s="37"/>
    </row>
    <row r="2409" spans="1:7">
      <c r="A2409" s="37"/>
      <c r="B2409" s="37"/>
      <c r="C2409" s="37"/>
      <c r="D2409" s="37"/>
      <c r="E2409" s="37"/>
      <c r="F2409" s="37"/>
      <c r="G2409" s="37"/>
    </row>
    <row r="2410" spans="1:7">
      <c r="A2410" s="37"/>
      <c r="B2410" s="37"/>
      <c r="C2410" s="37"/>
      <c r="D2410" s="37"/>
      <c r="E2410" s="37"/>
      <c r="F2410" s="37"/>
      <c r="G2410" s="37"/>
    </row>
    <row r="2411" spans="1:7">
      <c r="A2411" s="37"/>
      <c r="B2411" s="37"/>
      <c r="C2411" s="37"/>
      <c r="D2411" s="37"/>
      <c r="E2411" s="37"/>
      <c r="F2411" s="37"/>
      <c r="G2411" s="37"/>
    </row>
    <row r="2412" spans="1:7">
      <c r="A2412" s="37"/>
      <c r="B2412" s="37"/>
      <c r="C2412" s="37"/>
      <c r="D2412" s="37"/>
      <c r="E2412" s="37"/>
      <c r="F2412" s="37"/>
      <c r="G2412" s="37"/>
    </row>
    <row r="2413" spans="1:7">
      <c r="A2413" s="37"/>
      <c r="B2413" s="37"/>
      <c r="C2413" s="37"/>
      <c r="D2413" s="37"/>
      <c r="E2413" s="37"/>
      <c r="F2413" s="37"/>
      <c r="G2413" s="37"/>
    </row>
    <row r="2414" spans="1:7">
      <c r="A2414" s="37"/>
      <c r="B2414" s="37"/>
      <c r="C2414" s="37"/>
      <c r="D2414" s="37"/>
      <c r="E2414" s="37"/>
      <c r="F2414" s="37"/>
      <c r="G2414" s="37"/>
    </row>
    <row r="2415" spans="1:7">
      <c r="A2415" s="37"/>
      <c r="B2415" s="37"/>
      <c r="C2415" s="37"/>
      <c r="D2415" s="37"/>
      <c r="E2415" s="37"/>
      <c r="F2415" s="37"/>
      <c r="G2415" s="37"/>
    </row>
    <row r="2416" spans="1:7">
      <c r="A2416" s="37"/>
      <c r="B2416" s="37"/>
      <c r="C2416" s="37"/>
      <c r="D2416" s="37"/>
      <c r="E2416" s="37"/>
      <c r="F2416" s="37"/>
      <c r="G2416" s="37"/>
    </row>
    <row r="2417" spans="1:7">
      <c r="A2417" s="37"/>
      <c r="B2417" s="37"/>
      <c r="C2417" s="37"/>
      <c r="D2417" s="37"/>
      <c r="E2417" s="37"/>
      <c r="F2417" s="37"/>
      <c r="G2417" s="37"/>
    </row>
    <row r="2418" spans="1:7">
      <c r="A2418" s="37"/>
      <c r="B2418" s="37"/>
      <c r="C2418" s="37"/>
      <c r="D2418" s="37"/>
      <c r="E2418" s="37"/>
      <c r="F2418" s="37"/>
      <c r="G2418" s="37"/>
    </row>
    <row r="2419" spans="1:7">
      <c r="A2419" s="37"/>
      <c r="B2419" s="37"/>
      <c r="C2419" s="37"/>
      <c r="D2419" s="37"/>
      <c r="E2419" s="37"/>
      <c r="F2419" s="37"/>
      <c r="G2419" s="37"/>
    </row>
    <row r="2420" spans="1:7">
      <c r="A2420" s="37"/>
      <c r="B2420" s="37"/>
      <c r="C2420" s="37"/>
      <c r="D2420" s="37"/>
      <c r="E2420" s="37"/>
      <c r="F2420" s="37"/>
      <c r="G2420" s="37"/>
    </row>
    <row r="2421" spans="1:7">
      <c r="A2421" s="37"/>
      <c r="B2421" s="37"/>
      <c r="C2421" s="37"/>
      <c r="D2421" s="37"/>
      <c r="E2421" s="37"/>
      <c r="F2421" s="37"/>
      <c r="G2421" s="37"/>
    </row>
    <row r="2422" spans="1:7">
      <c r="A2422" s="37"/>
      <c r="B2422" s="37"/>
      <c r="C2422" s="37"/>
      <c r="D2422" s="37"/>
      <c r="E2422" s="37"/>
      <c r="F2422" s="37"/>
      <c r="G2422" s="37"/>
    </row>
    <row r="2423" spans="1:7">
      <c r="A2423" s="37"/>
      <c r="B2423" s="37"/>
      <c r="C2423" s="37"/>
      <c r="D2423" s="37"/>
      <c r="E2423" s="37"/>
      <c r="F2423" s="37"/>
      <c r="G2423" s="37"/>
    </row>
    <row r="2424" spans="1:7">
      <c r="A2424" s="37"/>
      <c r="B2424" s="37"/>
      <c r="C2424" s="37"/>
      <c r="D2424" s="37"/>
      <c r="E2424" s="37"/>
      <c r="F2424" s="37"/>
      <c r="G2424" s="37"/>
    </row>
    <row r="2425" spans="1:7">
      <c r="A2425" s="37"/>
      <c r="B2425" s="37"/>
      <c r="C2425" s="37"/>
      <c r="D2425" s="37"/>
      <c r="E2425" s="37"/>
      <c r="F2425" s="37"/>
      <c r="G2425" s="37"/>
    </row>
    <row r="2426" spans="1:7">
      <c r="A2426" s="37"/>
      <c r="B2426" s="37"/>
      <c r="C2426" s="37"/>
      <c r="D2426" s="37"/>
      <c r="E2426" s="37"/>
      <c r="F2426" s="37"/>
      <c r="G2426" s="37"/>
    </row>
    <row r="2427" spans="1:7">
      <c r="A2427" s="37"/>
      <c r="B2427" s="37"/>
      <c r="C2427" s="37"/>
      <c r="D2427" s="37"/>
      <c r="E2427" s="37"/>
      <c r="F2427" s="37"/>
      <c r="G2427" s="37"/>
    </row>
    <row r="2428" spans="1:7">
      <c r="A2428" s="37"/>
      <c r="B2428" s="37"/>
      <c r="C2428" s="37"/>
      <c r="D2428" s="37"/>
      <c r="E2428" s="37"/>
      <c r="F2428" s="37"/>
      <c r="G2428" s="37"/>
    </row>
    <row r="2429" spans="1:7">
      <c r="A2429" s="37"/>
      <c r="B2429" s="37"/>
      <c r="C2429" s="37"/>
      <c r="D2429" s="37"/>
      <c r="E2429" s="37"/>
      <c r="F2429" s="37"/>
      <c r="G2429" s="37"/>
    </row>
    <row r="2430" spans="1:7">
      <c r="A2430" s="37"/>
      <c r="B2430" s="37"/>
      <c r="C2430" s="37"/>
      <c r="D2430" s="37"/>
      <c r="E2430" s="37"/>
      <c r="F2430" s="37"/>
      <c r="G2430" s="37"/>
    </row>
    <row r="2431" spans="1:7">
      <c r="A2431" s="37"/>
      <c r="B2431" s="37"/>
      <c r="C2431" s="37"/>
      <c r="D2431" s="37"/>
      <c r="E2431" s="37"/>
      <c r="F2431" s="37"/>
      <c r="G2431" s="37"/>
    </row>
    <row r="2432" spans="1:7">
      <c r="A2432" s="37"/>
      <c r="B2432" s="37"/>
      <c r="C2432" s="37"/>
      <c r="D2432" s="37"/>
      <c r="E2432" s="37"/>
      <c r="F2432" s="37"/>
      <c r="G2432" s="37"/>
    </row>
    <row r="2433" spans="1:7">
      <c r="A2433" s="37"/>
      <c r="B2433" s="37"/>
      <c r="C2433" s="37"/>
      <c r="D2433" s="37"/>
      <c r="E2433" s="37"/>
      <c r="F2433" s="37"/>
      <c r="G2433" s="37"/>
    </row>
    <row r="2434" spans="1:7">
      <c r="A2434" s="37"/>
      <c r="B2434" s="37"/>
      <c r="C2434" s="37"/>
      <c r="D2434" s="37"/>
      <c r="E2434" s="37"/>
      <c r="F2434" s="37"/>
      <c r="G2434" s="37"/>
    </row>
    <row r="2435" spans="1:7">
      <c r="A2435" s="37"/>
      <c r="B2435" s="37"/>
      <c r="C2435" s="37"/>
      <c r="D2435" s="37"/>
      <c r="E2435" s="37"/>
      <c r="F2435" s="37"/>
      <c r="G2435" s="37"/>
    </row>
    <row r="2436" spans="1:7">
      <c r="A2436" s="37"/>
      <c r="B2436" s="37"/>
      <c r="C2436" s="37"/>
      <c r="D2436" s="37"/>
      <c r="E2436" s="37"/>
      <c r="F2436" s="37"/>
      <c r="G2436" s="37"/>
    </row>
    <row r="2437" spans="1:7">
      <c r="A2437" s="37"/>
      <c r="B2437" s="37"/>
      <c r="C2437" s="37"/>
      <c r="D2437" s="37"/>
      <c r="E2437" s="37"/>
      <c r="F2437" s="37"/>
      <c r="G2437" s="37"/>
    </row>
    <row r="2438" spans="1:7">
      <c r="A2438" s="37"/>
      <c r="B2438" s="37"/>
      <c r="C2438" s="37"/>
      <c r="D2438" s="37"/>
      <c r="E2438" s="37"/>
      <c r="F2438" s="37"/>
      <c r="G2438" s="37"/>
    </row>
    <row r="2439" spans="1:7">
      <c r="A2439" s="37"/>
      <c r="B2439" s="37"/>
      <c r="C2439" s="37"/>
      <c r="D2439" s="37"/>
      <c r="E2439" s="37"/>
      <c r="F2439" s="37"/>
      <c r="G2439" s="37"/>
    </row>
    <row r="2440" spans="1:7">
      <c r="A2440" s="37"/>
      <c r="B2440" s="37"/>
      <c r="C2440" s="37"/>
      <c r="D2440" s="37"/>
      <c r="E2440" s="37"/>
      <c r="F2440" s="37"/>
      <c r="G2440" s="37"/>
    </row>
    <row r="2441" spans="1:7">
      <c r="A2441" s="37"/>
      <c r="B2441" s="37"/>
      <c r="C2441" s="37"/>
      <c r="D2441" s="37"/>
      <c r="E2441" s="37"/>
      <c r="F2441" s="37"/>
      <c r="G2441" s="37"/>
    </row>
    <row r="2442" spans="1:7">
      <c r="A2442" s="37"/>
      <c r="B2442" s="37"/>
      <c r="C2442" s="37"/>
      <c r="D2442" s="37"/>
      <c r="E2442" s="37"/>
      <c r="F2442" s="37"/>
      <c r="G2442" s="37"/>
    </row>
    <row r="2443" spans="1:7">
      <c r="A2443" s="37"/>
      <c r="B2443" s="37"/>
      <c r="C2443" s="37"/>
      <c r="D2443" s="37"/>
      <c r="E2443" s="37"/>
      <c r="F2443" s="37"/>
      <c r="G2443" s="37"/>
    </row>
    <row r="2444" spans="1:7">
      <c r="A2444" s="37"/>
      <c r="B2444" s="37"/>
      <c r="C2444" s="37"/>
      <c r="D2444" s="37"/>
      <c r="E2444" s="37"/>
      <c r="F2444" s="37"/>
      <c r="G2444" s="37"/>
    </row>
    <row r="2445" spans="1:7">
      <c r="A2445" s="37"/>
      <c r="B2445" s="37"/>
      <c r="C2445" s="37"/>
      <c r="D2445" s="37"/>
      <c r="E2445" s="37"/>
      <c r="F2445" s="37"/>
      <c r="G2445" s="37"/>
    </row>
    <row r="2446" spans="1:7">
      <c r="A2446" s="37"/>
      <c r="B2446" s="37"/>
      <c r="C2446" s="37"/>
      <c r="D2446" s="37"/>
      <c r="E2446" s="37"/>
      <c r="F2446" s="37"/>
      <c r="G2446" s="37"/>
    </row>
    <row r="2447" spans="1:7">
      <c r="A2447" s="37"/>
      <c r="B2447" s="37"/>
      <c r="C2447" s="37"/>
      <c r="D2447" s="37"/>
      <c r="E2447" s="37"/>
      <c r="F2447" s="37"/>
      <c r="G2447" s="37"/>
    </row>
    <row r="2448" spans="1:7">
      <c r="A2448" s="37"/>
      <c r="B2448" s="37"/>
      <c r="C2448" s="37"/>
      <c r="D2448" s="37"/>
      <c r="E2448" s="37"/>
      <c r="F2448" s="37"/>
      <c r="G2448" s="37"/>
    </row>
    <row r="2449" spans="1:7">
      <c r="A2449" s="37"/>
      <c r="B2449" s="37"/>
      <c r="C2449" s="37"/>
      <c r="D2449" s="37"/>
      <c r="E2449" s="37"/>
      <c r="F2449" s="37"/>
      <c r="G2449" s="37"/>
    </row>
    <row r="2450" spans="1:7">
      <c r="A2450" s="37"/>
      <c r="B2450" s="37"/>
      <c r="C2450" s="37"/>
      <c r="D2450" s="37"/>
      <c r="E2450" s="37"/>
      <c r="F2450" s="37"/>
      <c r="G2450" s="37"/>
    </row>
    <row r="2451" spans="1:7">
      <c r="A2451" s="37"/>
      <c r="B2451" s="37"/>
      <c r="C2451" s="37"/>
      <c r="D2451" s="37"/>
      <c r="E2451" s="37"/>
      <c r="F2451" s="37"/>
      <c r="G2451" s="37"/>
    </row>
    <row r="2452" spans="1:7">
      <c r="A2452" s="37"/>
      <c r="B2452" s="37"/>
      <c r="C2452" s="37"/>
      <c r="D2452" s="37"/>
      <c r="E2452" s="37"/>
      <c r="F2452" s="37"/>
      <c r="G2452" s="37"/>
    </row>
    <row r="2453" spans="1:7">
      <c r="A2453" s="37"/>
      <c r="B2453" s="37"/>
      <c r="C2453" s="37"/>
      <c r="D2453" s="37"/>
      <c r="E2453" s="37"/>
      <c r="F2453" s="37"/>
      <c r="G2453" s="37"/>
    </row>
    <row r="2454" spans="1:7">
      <c r="A2454" s="37"/>
      <c r="B2454" s="37"/>
      <c r="C2454" s="37"/>
      <c r="D2454" s="37"/>
      <c r="E2454" s="37"/>
      <c r="F2454" s="37"/>
      <c r="G2454" s="37"/>
    </row>
    <row r="2455" spans="1:7">
      <c r="A2455" s="37"/>
      <c r="B2455" s="37"/>
      <c r="C2455" s="37"/>
      <c r="D2455" s="37"/>
      <c r="E2455" s="37"/>
      <c r="F2455" s="37"/>
      <c r="G2455" s="37"/>
    </row>
    <row r="2456" spans="1:7">
      <c r="A2456" s="37"/>
      <c r="B2456" s="37"/>
      <c r="C2456" s="37"/>
      <c r="D2456" s="37"/>
      <c r="E2456" s="37"/>
      <c r="F2456" s="37"/>
      <c r="G2456" s="37"/>
    </row>
    <row r="2457" spans="1:7">
      <c r="A2457" s="37"/>
      <c r="B2457" s="37"/>
      <c r="C2457" s="37"/>
      <c r="D2457" s="37"/>
      <c r="E2457" s="37"/>
      <c r="F2457" s="37"/>
      <c r="G2457" s="37"/>
    </row>
    <row r="2458" spans="1:7">
      <c r="A2458" s="37"/>
      <c r="B2458" s="37"/>
      <c r="C2458" s="37"/>
      <c r="D2458" s="37"/>
      <c r="E2458" s="37"/>
      <c r="F2458" s="37"/>
      <c r="G2458" s="37"/>
    </row>
    <row r="2459" spans="1:7">
      <c r="A2459" s="37"/>
      <c r="B2459" s="37"/>
      <c r="C2459" s="37"/>
      <c r="D2459" s="37"/>
      <c r="E2459" s="37"/>
      <c r="F2459" s="37"/>
      <c r="G2459" s="37"/>
    </row>
    <row r="2460" spans="1:7">
      <c r="A2460" s="37"/>
      <c r="B2460" s="37"/>
      <c r="C2460" s="37"/>
      <c r="D2460" s="37"/>
      <c r="E2460" s="37"/>
      <c r="F2460" s="37"/>
      <c r="G2460" s="37"/>
    </row>
    <row r="2461" spans="1:7">
      <c r="A2461" s="37"/>
      <c r="B2461" s="37"/>
      <c r="C2461" s="37"/>
      <c r="D2461" s="37"/>
      <c r="E2461" s="37"/>
      <c r="F2461" s="37"/>
      <c r="G2461" s="37"/>
    </row>
    <row r="2462" spans="1:7">
      <c r="A2462" s="37"/>
      <c r="B2462" s="37"/>
      <c r="C2462" s="37"/>
      <c r="D2462" s="37"/>
      <c r="E2462" s="37"/>
      <c r="F2462" s="37"/>
      <c r="G2462" s="37"/>
    </row>
    <row r="2463" spans="1:7">
      <c r="A2463" s="37"/>
      <c r="B2463" s="37"/>
      <c r="C2463" s="37"/>
      <c r="D2463" s="37"/>
      <c r="E2463" s="37"/>
      <c r="F2463" s="37"/>
      <c r="G2463" s="37"/>
    </row>
    <row r="2464" spans="1:7">
      <c r="A2464" s="37"/>
      <c r="B2464" s="37"/>
      <c r="C2464" s="37"/>
      <c r="D2464" s="37"/>
      <c r="E2464" s="37"/>
      <c r="F2464" s="37"/>
      <c r="G2464" s="37"/>
    </row>
    <row r="2465" spans="1:7">
      <c r="A2465" s="37"/>
      <c r="B2465" s="37"/>
      <c r="C2465" s="37"/>
      <c r="D2465" s="37"/>
      <c r="E2465" s="37"/>
      <c r="F2465" s="37"/>
      <c r="G2465" s="37"/>
    </row>
    <row r="2466" spans="1:7">
      <c r="A2466" s="37"/>
      <c r="B2466" s="37"/>
      <c r="C2466" s="37"/>
      <c r="D2466" s="37"/>
      <c r="E2466" s="37"/>
      <c r="F2466" s="37"/>
      <c r="G2466" s="37"/>
    </row>
    <row r="2467" spans="1:7">
      <c r="A2467" s="37"/>
      <c r="B2467" s="37"/>
      <c r="C2467" s="37"/>
      <c r="D2467" s="37"/>
      <c r="E2467" s="37"/>
      <c r="F2467" s="37"/>
      <c r="G2467" s="37"/>
    </row>
    <row r="2468" spans="1:7">
      <c r="A2468" s="37"/>
      <c r="B2468" s="37"/>
      <c r="C2468" s="37"/>
      <c r="D2468" s="37"/>
      <c r="E2468" s="37"/>
      <c r="F2468" s="37"/>
      <c r="G2468" s="37"/>
    </row>
    <row r="2469" spans="1:7">
      <c r="A2469" s="37"/>
      <c r="B2469" s="37"/>
      <c r="C2469" s="37"/>
      <c r="D2469" s="37"/>
      <c r="E2469" s="37"/>
      <c r="F2469" s="37"/>
      <c r="G2469" s="37"/>
    </row>
    <row r="2470" spans="1:7">
      <c r="A2470" s="37"/>
      <c r="B2470" s="37"/>
      <c r="C2470" s="37"/>
      <c r="D2470" s="37"/>
      <c r="E2470" s="37"/>
      <c r="F2470" s="37"/>
      <c r="G2470" s="37"/>
    </row>
    <row r="2471" spans="1:7">
      <c r="A2471" s="37"/>
      <c r="B2471" s="37"/>
      <c r="C2471" s="37"/>
      <c r="D2471" s="37"/>
      <c r="E2471" s="37"/>
      <c r="F2471" s="37"/>
      <c r="G2471" s="37"/>
    </row>
    <row r="2472" spans="1:7">
      <c r="A2472" s="37"/>
      <c r="B2472" s="37"/>
      <c r="C2472" s="37"/>
      <c r="D2472" s="37"/>
      <c r="E2472" s="37"/>
      <c r="F2472" s="37"/>
      <c r="G2472" s="37"/>
    </row>
    <row r="2473" spans="1:7">
      <c r="A2473" s="37"/>
      <c r="B2473" s="37"/>
      <c r="C2473" s="37"/>
      <c r="D2473" s="37"/>
      <c r="E2473" s="37"/>
      <c r="F2473" s="37"/>
      <c r="G2473" s="37"/>
    </row>
    <row r="2474" spans="1:7">
      <c r="A2474" s="37"/>
      <c r="B2474" s="37"/>
      <c r="C2474" s="37"/>
      <c r="D2474" s="37"/>
      <c r="E2474" s="37"/>
      <c r="F2474" s="37"/>
      <c r="G2474" s="37"/>
    </row>
    <row r="2475" spans="1:7">
      <c r="A2475" s="37"/>
      <c r="B2475" s="37"/>
      <c r="C2475" s="37"/>
      <c r="D2475" s="37"/>
      <c r="E2475" s="37"/>
      <c r="F2475" s="37"/>
      <c r="G2475" s="37"/>
    </row>
    <row r="2476" spans="1:7">
      <c r="A2476" s="37"/>
      <c r="B2476" s="37"/>
      <c r="C2476" s="37"/>
      <c r="D2476" s="37"/>
      <c r="E2476" s="37"/>
      <c r="F2476" s="37"/>
      <c r="G2476" s="37"/>
    </row>
    <row r="2477" spans="1:7">
      <c r="A2477" s="37"/>
      <c r="B2477" s="37"/>
      <c r="C2477" s="37"/>
      <c r="D2477" s="37"/>
      <c r="E2477" s="37"/>
      <c r="F2477" s="37"/>
      <c r="G2477" s="37"/>
    </row>
    <row r="2478" spans="1:7">
      <c r="A2478" s="37"/>
      <c r="B2478" s="37"/>
      <c r="C2478" s="37"/>
      <c r="D2478" s="37"/>
      <c r="E2478" s="37"/>
      <c r="F2478" s="37"/>
      <c r="G2478" s="37"/>
    </row>
    <row r="2479" spans="1:7">
      <c r="A2479" s="37"/>
      <c r="B2479" s="37"/>
      <c r="C2479" s="37"/>
      <c r="D2479" s="37"/>
      <c r="E2479" s="37"/>
      <c r="F2479" s="37"/>
      <c r="G2479" s="37"/>
    </row>
    <row r="2480" spans="1:7">
      <c r="A2480" s="37"/>
      <c r="B2480" s="37"/>
      <c r="C2480" s="37"/>
      <c r="D2480" s="37"/>
      <c r="E2480" s="37"/>
      <c r="F2480" s="37"/>
      <c r="G2480" s="37"/>
    </row>
    <row r="2481" spans="1:7">
      <c r="A2481" s="37"/>
      <c r="B2481" s="37"/>
      <c r="C2481" s="37"/>
      <c r="D2481" s="37"/>
      <c r="E2481" s="37"/>
      <c r="F2481" s="37"/>
      <c r="G2481" s="37"/>
    </row>
    <row r="2482" spans="1:7">
      <c r="A2482" s="37"/>
      <c r="B2482" s="37"/>
      <c r="C2482" s="37"/>
      <c r="D2482" s="37"/>
      <c r="E2482" s="37"/>
      <c r="F2482" s="37"/>
      <c r="G2482" s="37"/>
    </row>
    <row r="2483" spans="1:7">
      <c r="A2483" s="37"/>
      <c r="B2483" s="37"/>
      <c r="C2483" s="37"/>
      <c r="D2483" s="37"/>
      <c r="E2483" s="37"/>
      <c r="F2483" s="37"/>
      <c r="G2483" s="37"/>
    </row>
    <row r="2484" spans="1:7">
      <c r="A2484" s="37"/>
      <c r="B2484" s="37"/>
      <c r="C2484" s="37"/>
      <c r="D2484" s="37"/>
      <c r="E2484" s="37"/>
      <c r="F2484" s="37"/>
      <c r="G2484" s="37"/>
    </row>
    <row r="2485" spans="1:7">
      <c r="A2485" s="37"/>
      <c r="B2485" s="37"/>
      <c r="C2485" s="37"/>
      <c r="D2485" s="37"/>
      <c r="E2485" s="37"/>
      <c r="F2485" s="37"/>
      <c r="G2485" s="37"/>
    </row>
    <row r="2486" spans="1:7">
      <c r="A2486" s="37"/>
      <c r="B2486" s="37"/>
      <c r="C2486" s="37"/>
      <c r="D2486" s="37"/>
      <c r="E2486" s="37"/>
      <c r="F2486" s="37"/>
      <c r="G2486" s="37"/>
    </row>
    <row r="2487" spans="1:7">
      <c r="A2487" s="37"/>
      <c r="B2487" s="37"/>
      <c r="C2487" s="37"/>
      <c r="D2487" s="37"/>
      <c r="E2487" s="37"/>
      <c r="F2487" s="37"/>
      <c r="G2487" s="37"/>
    </row>
    <row r="2488" spans="1:7">
      <c r="A2488" s="37"/>
      <c r="B2488" s="37"/>
      <c r="C2488" s="37"/>
      <c r="D2488" s="37"/>
      <c r="E2488" s="37"/>
      <c r="F2488" s="37"/>
      <c r="G2488" s="37"/>
    </row>
    <row r="2489" spans="1:7">
      <c r="A2489" s="37"/>
      <c r="B2489" s="37"/>
      <c r="C2489" s="37"/>
      <c r="D2489" s="37"/>
      <c r="E2489" s="37"/>
      <c r="F2489" s="37"/>
      <c r="G2489" s="37"/>
    </row>
    <row r="2490" spans="1:7">
      <c r="A2490" s="37"/>
      <c r="B2490" s="37"/>
      <c r="C2490" s="37"/>
      <c r="D2490" s="37"/>
      <c r="E2490" s="37"/>
      <c r="F2490" s="37"/>
      <c r="G2490" s="37"/>
    </row>
    <row r="2491" spans="1:7">
      <c r="A2491" s="37"/>
      <c r="B2491" s="37"/>
      <c r="C2491" s="37"/>
      <c r="D2491" s="37"/>
      <c r="E2491" s="37"/>
      <c r="F2491" s="37"/>
      <c r="G2491" s="37"/>
    </row>
    <row r="2492" spans="1:7">
      <c r="A2492" s="37"/>
      <c r="B2492" s="37"/>
      <c r="C2492" s="37"/>
      <c r="D2492" s="37"/>
      <c r="E2492" s="37"/>
      <c r="F2492" s="37"/>
      <c r="G2492" s="37"/>
    </row>
    <row r="2493" spans="1:7">
      <c r="A2493" s="37"/>
      <c r="B2493" s="37"/>
      <c r="C2493" s="37"/>
      <c r="D2493" s="37"/>
      <c r="E2493" s="37"/>
      <c r="F2493" s="37"/>
      <c r="G2493" s="37"/>
    </row>
    <row r="2494" spans="1:7">
      <c r="A2494" s="37"/>
      <c r="B2494" s="37"/>
      <c r="C2494" s="37"/>
      <c r="D2494" s="37"/>
      <c r="E2494" s="37"/>
      <c r="F2494" s="37"/>
      <c r="G2494" s="37"/>
    </row>
    <row r="2495" spans="1:7">
      <c r="A2495" s="37"/>
      <c r="B2495" s="37"/>
      <c r="C2495" s="37"/>
      <c r="D2495" s="37"/>
      <c r="E2495" s="37"/>
      <c r="F2495" s="37"/>
      <c r="G2495" s="37"/>
    </row>
    <row r="2496" spans="1:7">
      <c r="A2496" s="37"/>
      <c r="B2496" s="37"/>
      <c r="C2496" s="37"/>
      <c r="D2496" s="37"/>
      <c r="E2496" s="37"/>
      <c r="F2496" s="37"/>
      <c r="G2496" s="37"/>
    </row>
    <row r="2497" spans="1:7">
      <c r="A2497" s="37"/>
      <c r="B2497" s="37"/>
      <c r="C2497" s="37"/>
      <c r="D2497" s="37"/>
      <c r="E2497" s="37"/>
      <c r="F2497" s="37"/>
      <c r="G2497" s="37"/>
    </row>
    <row r="2498" spans="1:7">
      <c r="A2498" s="37"/>
      <c r="B2498" s="37"/>
      <c r="C2498" s="37"/>
      <c r="D2498" s="37"/>
      <c r="E2498" s="37"/>
      <c r="F2498" s="37"/>
      <c r="G2498" s="37"/>
    </row>
    <row r="2499" spans="1:7">
      <c r="A2499" s="37"/>
      <c r="B2499" s="37"/>
      <c r="C2499" s="37"/>
      <c r="D2499" s="37"/>
      <c r="E2499" s="37"/>
      <c r="F2499" s="37"/>
      <c r="G2499" s="37"/>
    </row>
    <row r="2500" spans="1:7">
      <c r="A2500" s="37"/>
      <c r="B2500" s="37"/>
      <c r="C2500" s="37"/>
      <c r="D2500" s="37"/>
      <c r="E2500" s="37"/>
      <c r="F2500" s="37"/>
      <c r="G2500" s="37"/>
    </row>
    <row r="2501" spans="1:7">
      <c r="A2501" s="37"/>
      <c r="B2501" s="37"/>
      <c r="C2501" s="37"/>
      <c r="D2501" s="37"/>
      <c r="E2501" s="37"/>
      <c r="F2501" s="37"/>
      <c r="G2501" s="37"/>
    </row>
    <row r="2502" spans="1:7">
      <c r="A2502" s="37"/>
      <c r="B2502" s="37"/>
      <c r="C2502" s="37"/>
      <c r="D2502" s="37"/>
      <c r="E2502" s="37"/>
      <c r="F2502" s="37"/>
      <c r="G2502" s="37"/>
    </row>
    <row r="2503" spans="1:7">
      <c r="A2503" s="37"/>
      <c r="B2503" s="37"/>
      <c r="C2503" s="37"/>
      <c r="D2503" s="37"/>
      <c r="E2503" s="37"/>
      <c r="F2503" s="37"/>
      <c r="G2503" s="37"/>
    </row>
    <row r="2504" spans="1:7">
      <c r="A2504" s="37"/>
      <c r="B2504" s="37"/>
      <c r="C2504" s="37"/>
      <c r="D2504" s="37"/>
      <c r="E2504" s="37"/>
      <c r="F2504" s="37"/>
      <c r="G2504" s="37"/>
    </row>
    <row r="2505" spans="1:7">
      <c r="A2505" s="37"/>
      <c r="B2505" s="37"/>
      <c r="C2505" s="37"/>
      <c r="D2505" s="37"/>
      <c r="E2505" s="37"/>
      <c r="F2505" s="37"/>
      <c r="G2505" s="37"/>
    </row>
    <row r="2506" spans="1:7">
      <c r="A2506" s="37"/>
      <c r="B2506" s="37"/>
      <c r="C2506" s="37"/>
      <c r="D2506" s="37"/>
      <c r="E2506" s="37"/>
      <c r="F2506" s="37"/>
      <c r="G2506" s="37"/>
    </row>
    <row r="2507" spans="1:7">
      <c r="A2507" s="37"/>
      <c r="B2507" s="37"/>
      <c r="C2507" s="37"/>
      <c r="D2507" s="37"/>
      <c r="E2507" s="37"/>
      <c r="F2507" s="37"/>
      <c r="G2507" s="37"/>
    </row>
    <row r="2508" spans="1:7">
      <c r="A2508" s="37"/>
      <c r="B2508" s="37"/>
      <c r="C2508" s="37"/>
      <c r="D2508" s="37"/>
      <c r="E2508" s="37"/>
      <c r="F2508" s="37"/>
      <c r="G2508" s="37"/>
    </row>
    <row r="2509" spans="1:7">
      <c r="A2509" s="37"/>
      <c r="B2509" s="37"/>
      <c r="C2509" s="37"/>
      <c r="D2509" s="37"/>
      <c r="E2509" s="37"/>
      <c r="F2509" s="37"/>
      <c r="G2509" s="37"/>
    </row>
    <row r="2510" spans="1:7">
      <c r="A2510" s="37"/>
      <c r="B2510" s="37"/>
      <c r="C2510" s="37"/>
      <c r="D2510" s="37"/>
      <c r="E2510" s="37"/>
      <c r="F2510" s="37"/>
      <c r="G2510" s="37"/>
    </row>
    <row r="2511" spans="1:7">
      <c r="A2511" s="37"/>
      <c r="B2511" s="37"/>
      <c r="C2511" s="37"/>
      <c r="D2511" s="37"/>
      <c r="E2511" s="37"/>
      <c r="F2511" s="37"/>
      <c r="G2511" s="37"/>
    </row>
    <row r="2512" spans="1:7">
      <c r="A2512" s="37"/>
      <c r="B2512" s="37"/>
      <c r="C2512" s="37"/>
      <c r="D2512" s="37"/>
      <c r="E2512" s="37"/>
      <c r="F2512" s="37"/>
      <c r="G2512" s="37"/>
    </row>
    <row r="2513" spans="1:7">
      <c r="A2513" s="37"/>
      <c r="B2513" s="37"/>
      <c r="C2513" s="37"/>
      <c r="D2513" s="37"/>
      <c r="E2513" s="37"/>
      <c r="F2513" s="37"/>
      <c r="G2513" s="37"/>
    </row>
    <row r="2514" spans="1:7">
      <c r="A2514" s="37"/>
      <c r="B2514" s="37"/>
      <c r="C2514" s="37"/>
      <c r="D2514" s="37"/>
      <c r="E2514" s="37"/>
      <c r="F2514" s="37"/>
      <c r="G2514" s="37"/>
    </row>
    <row r="2515" spans="1:7">
      <c r="A2515" s="37"/>
      <c r="B2515" s="37"/>
      <c r="C2515" s="37"/>
      <c r="D2515" s="37"/>
      <c r="E2515" s="37"/>
      <c r="F2515" s="37"/>
      <c r="G2515" s="37"/>
    </row>
    <row r="2516" spans="1:7">
      <c r="A2516" s="37"/>
      <c r="B2516" s="37"/>
      <c r="C2516" s="37"/>
      <c r="D2516" s="37"/>
      <c r="E2516" s="37"/>
      <c r="F2516" s="37"/>
      <c r="G2516" s="37"/>
    </row>
    <row r="2517" spans="1:7">
      <c r="A2517" s="37"/>
      <c r="B2517" s="37"/>
      <c r="C2517" s="37"/>
      <c r="D2517" s="37"/>
      <c r="E2517" s="37"/>
      <c r="F2517" s="37"/>
      <c r="G2517" s="37"/>
    </row>
    <row r="2518" spans="1:7">
      <c r="A2518" s="37"/>
      <c r="B2518" s="37"/>
      <c r="C2518" s="37"/>
      <c r="D2518" s="37"/>
      <c r="E2518" s="37"/>
      <c r="F2518" s="37"/>
      <c r="G2518" s="37"/>
    </row>
    <row r="2519" spans="1:7">
      <c r="A2519" s="37"/>
      <c r="B2519" s="37"/>
      <c r="C2519" s="37"/>
      <c r="D2519" s="37"/>
      <c r="E2519" s="37"/>
      <c r="F2519" s="37"/>
      <c r="G2519" s="37"/>
    </row>
    <row r="2520" spans="1:7">
      <c r="A2520" s="37"/>
      <c r="B2520" s="37"/>
      <c r="C2520" s="37"/>
      <c r="D2520" s="37"/>
      <c r="E2520" s="37"/>
      <c r="F2520" s="37"/>
      <c r="G2520" s="37"/>
    </row>
    <row r="2521" spans="1:7">
      <c r="A2521" s="37"/>
      <c r="B2521" s="37"/>
      <c r="C2521" s="37"/>
      <c r="D2521" s="37"/>
      <c r="E2521" s="37"/>
      <c r="F2521" s="37"/>
      <c r="G2521" s="37"/>
    </row>
    <row r="2522" spans="1:7">
      <c r="A2522" s="37"/>
      <c r="B2522" s="37"/>
      <c r="C2522" s="37"/>
      <c r="D2522" s="37"/>
      <c r="E2522" s="37"/>
      <c r="F2522" s="37"/>
      <c r="G2522" s="37"/>
    </row>
    <row r="2523" spans="1:7">
      <c r="A2523" s="37"/>
      <c r="B2523" s="37"/>
      <c r="C2523" s="37"/>
      <c r="D2523" s="37"/>
      <c r="E2523" s="37"/>
      <c r="F2523" s="37"/>
      <c r="G2523" s="37"/>
    </row>
    <row r="2524" spans="1:7">
      <c r="A2524" s="37"/>
      <c r="B2524" s="37"/>
      <c r="C2524" s="37"/>
      <c r="D2524" s="37"/>
      <c r="E2524" s="37"/>
      <c r="F2524" s="37"/>
      <c r="G2524" s="37"/>
    </row>
    <row r="2525" spans="1:7">
      <c r="A2525" s="37"/>
      <c r="B2525" s="37"/>
      <c r="C2525" s="37"/>
      <c r="D2525" s="37"/>
      <c r="E2525" s="37"/>
      <c r="F2525" s="37"/>
      <c r="G2525" s="37"/>
    </row>
    <row r="2526" spans="1:7">
      <c r="A2526" s="37"/>
      <c r="B2526" s="37"/>
      <c r="C2526" s="37"/>
      <c r="D2526" s="37"/>
      <c r="E2526" s="37"/>
      <c r="F2526" s="37"/>
      <c r="G2526" s="37"/>
    </row>
    <row r="2527" spans="1:7">
      <c r="A2527" s="37"/>
      <c r="B2527" s="37"/>
      <c r="C2527" s="37"/>
      <c r="D2527" s="37"/>
      <c r="E2527" s="37"/>
      <c r="F2527" s="37"/>
      <c r="G2527" s="37"/>
    </row>
    <row r="2528" spans="1:7">
      <c r="A2528" s="37"/>
      <c r="B2528" s="37"/>
      <c r="C2528" s="37"/>
      <c r="D2528" s="37"/>
      <c r="E2528" s="37"/>
      <c r="F2528" s="37"/>
      <c r="G2528" s="37"/>
    </row>
    <row r="2529" spans="1:7">
      <c r="A2529" s="37"/>
      <c r="B2529" s="37"/>
      <c r="C2529" s="37"/>
      <c r="D2529" s="37"/>
      <c r="E2529" s="37"/>
      <c r="F2529" s="37"/>
      <c r="G2529" s="37"/>
    </row>
    <row r="2530" spans="1:7">
      <c r="A2530" s="37"/>
      <c r="B2530" s="37"/>
      <c r="C2530" s="37"/>
      <c r="D2530" s="37"/>
      <c r="E2530" s="37"/>
      <c r="F2530" s="37"/>
      <c r="G2530" s="37"/>
    </row>
    <row r="2531" spans="1:7">
      <c r="A2531" s="37"/>
      <c r="B2531" s="37"/>
      <c r="C2531" s="37"/>
      <c r="D2531" s="37"/>
      <c r="E2531" s="37"/>
      <c r="F2531" s="37"/>
      <c r="G2531" s="37"/>
    </row>
    <row r="2532" spans="1:7">
      <c r="A2532" s="37"/>
      <c r="B2532" s="37"/>
      <c r="C2532" s="37"/>
      <c r="D2532" s="37"/>
      <c r="E2532" s="37"/>
      <c r="F2532" s="37"/>
      <c r="G2532" s="37"/>
    </row>
    <row r="2533" spans="1:7">
      <c r="A2533" s="37"/>
      <c r="B2533" s="37"/>
      <c r="C2533" s="37"/>
      <c r="D2533" s="37"/>
      <c r="E2533" s="37"/>
      <c r="F2533" s="37"/>
      <c r="G2533" s="37"/>
    </row>
    <row r="2534" spans="1:7">
      <c r="A2534" s="37"/>
      <c r="B2534" s="37"/>
      <c r="C2534" s="37"/>
      <c r="D2534" s="37"/>
      <c r="E2534" s="37"/>
      <c r="F2534" s="37"/>
      <c r="G2534" s="37"/>
    </row>
    <row r="2535" spans="1:7">
      <c r="A2535" s="37"/>
      <c r="B2535" s="37"/>
      <c r="C2535" s="37"/>
      <c r="D2535" s="37"/>
      <c r="E2535" s="37"/>
      <c r="F2535" s="37"/>
      <c r="G2535" s="37"/>
    </row>
    <row r="2536" spans="1:7">
      <c r="A2536" s="37"/>
      <c r="B2536" s="37"/>
      <c r="C2536" s="37"/>
      <c r="D2536" s="37"/>
      <c r="E2536" s="37"/>
      <c r="F2536" s="37"/>
      <c r="G2536" s="37"/>
    </row>
    <row r="2537" spans="1:7">
      <c r="A2537" s="37"/>
      <c r="B2537" s="37"/>
      <c r="C2537" s="37"/>
      <c r="D2537" s="37"/>
      <c r="E2537" s="37"/>
      <c r="F2537" s="37"/>
      <c r="G2537" s="37"/>
    </row>
    <row r="2538" spans="1:7">
      <c r="A2538" s="37"/>
      <c r="B2538" s="37"/>
      <c r="C2538" s="37"/>
      <c r="D2538" s="37"/>
      <c r="E2538" s="37"/>
      <c r="F2538" s="37"/>
      <c r="G2538" s="37"/>
    </row>
    <row r="2539" spans="1:7">
      <c r="A2539" s="37"/>
      <c r="B2539" s="37"/>
      <c r="C2539" s="37"/>
      <c r="D2539" s="37"/>
      <c r="E2539" s="37"/>
      <c r="F2539" s="37"/>
      <c r="G2539" s="37"/>
    </row>
    <row r="2540" spans="1:7">
      <c r="A2540" s="37"/>
      <c r="B2540" s="37"/>
      <c r="C2540" s="37"/>
      <c r="D2540" s="37"/>
      <c r="E2540" s="37"/>
      <c r="F2540" s="37"/>
      <c r="G2540" s="37"/>
    </row>
    <row r="2541" spans="1:7">
      <c r="A2541" s="37"/>
      <c r="B2541" s="37"/>
      <c r="C2541" s="37"/>
      <c r="D2541" s="37"/>
      <c r="E2541" s="37"/>
      <c r="F2541" s="37"/>
      <c r="G2541" s="37"/>
    </row>
    <row r="2542" spans="1:7">
      <c r="A2542" s="37"/>
      <c r="B2542" s="37"/>
      <c r="C2542" s="37"/>
      <c r="D2542" s="37"/>
      <c r="E2542" s="37"/>
      <c r="F2542" s="37"/>
      <c r="G2542" s="37"/>
    </row>
    <row r="2543" spans="1:7">
      <c r="A2543" s="37"/>
      <c r="B2543" s="37"/>
      <c r="C2543" s="37"/>
      <c r="D2543" s="37"/>
      <c r="E2543" s="37"/>
      <c r="F2543" s="37"/>
      <c r="G2543" s="37"/>
    </row>
    <row r="2544" spans="1:7">
      <c r="A2544" s="37"/>
      <c r="B2544" s="37"/>
      <c r="C2544" s="37"/>
      <c r="D2544" s="37"/>
      <c r="E2544" s="37"/>
      <c r="F2544" s="37"/>
      <c r="G2544" s="37"/>
    </row>
    <row r="2545" spans="1:7">
      <c r="A2545" s="37"/>
      <c r="B2545" s="37"/>
      <c r="C2545" s="37"/>
      <c r="D2545" s="37"/>
      <c r="E2545" s="37"/>
      <c r="F2545" s="37"/>
      <c r="G2545" s="37"/>
    </row>
    <row r="2546" spans="1:7">
      <c r="A2546" s="37"/>
      <c r="B2546" s="37"/>
      <c r="C2546" s="37"/>
      <c r="D2546" s="37"/>
      <c r="E2546" s="37"/>
      <c r="F2546" s="37"/>
      <c r="G2546" s="37"/>
    </row>
    <row r="2547" spans="1:7">
      <c r="A2547" s="37"/>
      <c r="B2547" s="37"/>
      <c r="C2547" s="37"/>
      <c r="D2547" s="37"/>
      <c r="E2547" s="37"/>
      <c r="F2547" s="37"/>
      <c r="G2547" s="37"/>
    </row>
    <row r="2548" spans="1:7">
      <c r="A2548" s="37"/>
      <c r="B2548" s="37"/>
      <c r="C2548" s="37"/>
      <c r="D2548" s="37"/>
      <c r="E2548" s="37"/>
      <c r="F2548" s="37"/>
      <c r="G2548" s="37"/>
    </row>
    <row r="2549" spans="1:7">
      <c r="A2549" s="37"/>
      <c r="B2549" s="37"/>
      <c r="C2549" s="37"/>
      <c r="D2549" s="37"/>
      <c r="E2549" s="37"/>
      <c r="F2549" s="37"/>
      <c r="G2549" s="37"/>
    </row>
    <row r="2550" spans="1:7">
      <c r="A2550" s="37"/>
      <c r="B2550" s="37"/>
      <c r="C2550" s="37"/>
      <c r="D2550" s="37"/>
      <c r="E2550" s="37"/>
      <c r="F2550" s="37"/>
      <c r="G2550" s="37"/>
    </row>
    <row r="2551" spans="1:7">
      <c r="A2551" s="37"/>
      <c r="B2551" s="37"/>
      <c r="C2551" s="37"/>
      <c r="D2551" s="37"/>
      <c r="E2551" s="37"/>
      <c r="F2551" s="37"/>
      <c r="G2551" s="37"/>
    </row>
    <row r="2552" spans="1:7">
      <c r="A2552" s="37"/>
      <c r="B2552" s="37"/>
      <c r="C2552" s="37"/>
      <c r="D2552" s="37"/>
      <c r="E2552" s="37"/>
      <c r="F2552" s="37"/>
      <c r="G2552" s="37"/>
    </row>
    <row r="2553" spans="1:7">
      <c r="A2553" s="37"/>
      <c r="B2553" s="37"/>
      <c r="C2553" s="37"/>
      <c r="D2553" s="37"/>
      <c r="E2553" s="37"/>
      <c r="F2553" s="37"/>
      <c r="G2553" s="37"/>
    </row>
    <row r="2554" spans="1:7">
      <c r="A2554" s="37"/>
      <c r="B2554" s="37"/>
      <c r="C2554" s="37"/>
      <c r="D2554" s="37"/>
      <c r="E2554" s="37"/>
      <c r="F2554" s="37"/>
      <c r="G2554" s="37"/>
    </row>
    <row r="2555" spans="1:7">
      <c r="A2555" s="37"/>
      <c r="B2555" s="37"/>
      <c r="C2555" s="37"/>
      <c r="D2555" s="37"/>
      <c r="E2555" s="37"/>
      <c r="F2555" s="37"/>
      <c r="G2555" s="37"/>
    </row>
    <row r="2556" spans="1:7">
      <c r="A2556" s="37"/>
      <c r="B2556" s="37"/>
      <c r="C2556" s="37"/>
      <c r="D2556" s="37"/>
      <c r="E2556" s="37"/>
      <c r="F2556" s="37"/>
      <c r="G2556" s="37"/>
    </row>
    <row r="2557" spans="1:7">
      <c r="A2557" s="37"/>
      <c r="B2557" s="37"/>
      <c r="C2557" s="37"/>
      <c r="D2557" s="37"/>
      <c r="E2557" s="37"/>
      <c r="F2557" s="37"/>
      <c r="G2557" s="37"/>
    </row>
    <row r="2558" spans="1:7">
      <c r="A2558" s="37"/>
      <c r="B2558" s="37"/>
      <c r="C2558" s="37"/>
      <c r="D2558" s="37"/>
      <c r="E2558" s="37"/>
      <c r="F2558" s="37"/>
      <c r="G2558" s="37"/>
    </row>
    <row r="2559" spans="1:7">
      <c r="A2559" s="37"/>
      <c r="B2559" s="37"/>
      <c r="C2559" s="37"/>
      <c r="D2559" s="37"/>
      <c r="E2559" s="37"/>
      <c r="F2559" s="37"/>
      <c r="G2559" s="37"/>
    </row>
    <row r="2560" spans="1:7">
      <c r="A2560" s="37"/>
      <c r="B2560" s="37"/>
      <c r="C2560" s="37"/>
      <c r="D2560" s="37"/>
      <c r="E2560" s="37"/>
      <c r="F2560" s="37"/>
      <c r="G2560" s="37"/>
    </row>
    <row r="2561" spans="1:7">
      <c r="A2561" s="37"/>
      <c r="B2561" s="37"/>
      <c r="C2561" s="37"/>
      <c r="D2561" s="37"/>
      <c r="E2561" s="37"/>
      <c r="F2561" s="37"/>
      <c r="G2561" s="37"/>
    </row>
    <row r="2562" spans="1:7">
      <c r="A2562" s="37"/>
      <c r="B2562" s="37"/>
      <c r="C2562" s="37"/>
      <c r="D2562" s="37"/>
      <c r="E2562" s="37"/>
      <c r="F2562" s="37"/>
      <c r="G2562" s="37"/>
    </row>
    <row r="2563" spans="1:7">
      <c r="A2563" s="37"/>
      <c r="B2563" s="37"/>
      <c r="C2563" s="37"/>
      <c r="D2563" s="37"/>
      <c r="E2563" s="37"/>
      <c r="F2563" s="37"/>
      <c r="G2563" s="37"/>
    </row>
    <row r="2564" spans="1:7">
      <c r="A2564" s="37"/>
      <c r="B2564" s="37"/>
      <c r="C2564" s="37"/>
      <c r="D2564" s="37"/>
      <c r="E2564" s="37"/>
      <c r="F2564" s="37"/>
      <c r="G2564" s="37"/>
    </row>
    <row r="2565" spans="1:7">
      <c r="A2565" s="37"/>
      <c r="B2565" s="37"/>
      <c r="C2565" s="37"/>
      <c r="D2565" s="37"/>
      <c r="E2565" s="37"/>
      <c r="F2565" s="37"/>
      <c r="G2565" s="37"/>
    </row>
    <row r="2566" spans="1:7">
      <c r="A2566" s="37"/>
      <c r="B2566" s="37"/>
      <c r="C2566" s="37"/>
      <c r="D2566" s="37"/>
      <c r="E2566" s="37"/>
      <c r="F2566" s="37"/>
      <c r="G2566" s="37"/>
    </row>
    <row r="2567" spans="1:7">
      <c r="A2567" s="37"/>
      <c r="B2567" s="37"/>
      <c r="C2567" s="37"/>
      <c r="D2567" s="37"/>
      <c r="E2567" s="37"/>
      <c r="F2567" s="37"/>
      <c r="G2567" s="37"/>
    </row>
    <row r="2568" spans="1:7">
      <c r="A2568" s="37"/>
      <c r="B2568" s="37"/>
      <c r="C2568" s="37"/>
      <c r="D2568" s="37"/>
      <c r="E2568" s="37"/>
      <c r="F2568" s="37"/>
      <c r="G2568" s="37"/>
    </row>
    <row r="2569" spans="1:7">
      <c r="A2569" s="37"/>
      <c r="B2569" s="37"/>
      <c r="C2569" s="37"/>
      <c r="D2569" s="37"/>
      <c r="E2569" s="37"/>
      <c r="F2569" s="37"/>
      <c r="G2569" s="37"/>
    </row>
    <row r="2570" spans="1:7">
      <c r="A2570" s="37"/>
      <c r="B2570" s="37"/>
      <c r="C2570" s="37"/>
      <c r="D2570" s="37"/>
      <c r="E2570" s="37"/>
      <c r="F2570" s="37"/>
      <c r="G2570" s="37"/>
    </row>
    <row r="2571" spans="1:7">
      <c r="A2571" s="37"/>
      <c r="B2571" s="37"/>
      <c r="C2571" s="37"/>
      <c r="D2571" s="37"/>
      <c r="E2571" s="37"/>
      <c r="F2571" s="37"/>
      <c r="G2571" s="37"/>
    </row>
    <row r="2572" spans="1:7">
      <c r="A2572" s="37"/>
      <c r="B2572" s="37"/>
      <c r="C2572" s="37"/>
      <c r="D2572" s="37"/>
      <c r="E2572" s="37"/>
      <c r="F2572" s="37"/>
      <c r="G2572" s="37"/>
    </row>
    <row r="2573" spans="1:7">
      <c r="A2573" s="37"/>
      <c r="B2573" s="37"/>
      <c r="C2573" s="37"/>
      <c r="D2573" s="37"/>
      <c r="E2573" s="37"/>
      <c r="F2573" s="37"/>
      <c r="G2573" s="37"/>
    </row>
    <row r="2574" spans="1:7">
      <c r="A2574" s="37"/>
      <c r="B2574" s="37"/>
      <c r="C2574" s="37"/>
      <c r="D2574" s="37"/>
      <c r="E2574" s="37"/>
      <c r="F2574" s="37"/>
      <c r="G2574" s="37"/>
    </row>
    <row r="2575" spans="1:7">
      <c r="A2575" s="37"/>
      <c r="B2575" s="37"/>
      <c r="C2575" s="37"/>
      <c r="D2575" s="37"/>
      <c r="E2575" s="37"/>
      <c r="F2575" s="37"/>
      <c r="G2575" s="37"/>
    </row>
    <row r="2576" spans="1:7">
      <c r="A2576" s="37"/>
      <c r="B2576" s="37"/>
      <c r="C2576" s="37"/>
      <c r="D2576" s="37"/>
      <c r="E2576" s="37"/>
      <c r="F2576" s="37"/>
      <c r="G2576" s="37"/>
    </row>
    <row r="2577" spans="1:7">
      <c r="A2577" s="37"/>
      <c r="B2577" s="37"/>
      <c r="C2577" s="37"/>
      <c r="D2577" s="37"/>
      <c r="E2577" s="37"/>
      <c r="F2577" s="37"/>
      <c r="G2577" s="37"/>
    </row>
    <row r="2578" spans="1:7">
      <c r="A2578" s="37"/>
      <c r="B2578" s="37"/>
      <c r="C2578" s="37"/>
      <c r="D2578" s="37"/>
      <c r="E2578" s="37"/>
      <c r="F2578" s="37"/>
      <c r="G2578" s="37"/>
    </row>
    <row r="2579" spans="1:7">
      <c r="A2579" s="37"/>
      <c r="B2579" s="37"/>
      <c r="C2579" s="37"/>
      <c r="D2579" s="37"/>
      <c r="E2579" s="37"/>
      <c r="F2579" s="37"/>
      <c r="G2579" s="37"/>
    </row>
    <row r="2580" spans="1:7">
      <c r="A2580" s="37"/>
      <c r="B2580" s="37"/>
      <c r="C2580" s="37"/>
      <c r="D2580" s="37"/>
      <c r="E2580" s="37"/>
      <c r="F2580" s="37"/>
      <c r="G2580" s="37"/>
    </row>
    <row r="2581" spans="1:7">
      <c r="A2581" s="37"/>
      <c r="B2581" s="37"/>
      <c r="C2581" s="37"/>
      <c r="D2581" s="37"/>
      <c r="E2581" s="37"/>
      <c r="F2581" s="37"/>
      <c r="G2581" s="37"/>
    </row>
    <row r="2582" spans="1:7">
      <c r="A2582" s="37"/>
      <c r="B2582" s="37"/>
      <c r="C2582" s="37"/>
      <c r="D2582" s="37"/>
      <c r="E2582" s="37"/>
      <c r="F2582" s="37"/>
      <c r="G2582" s="37"/>
    </row>
    <row r="2583" spans="1:7">
      <c r="A2583" s="37"/>
      <c r="B2583" s="37"/>
      <c r="C2583" s="37"/>
      <c r="D2583" s="37"/>
      <c r="E2583" s="37"/>
      <c r="F2583" s="37"/>
      <c r="G2583" s="37"/>
    </row>
    <row r="2584" spans="1:7">
      <c r="A2584" s="37"/>
      <c r="B2584" s="37"/>
      <c r="C2584" s="37"/>
      <c r="D2584" s="37"/>
      <c r="E2584" s="37"/>
      <c r="F2584" s="37"/>
      <c r="G2584" s="37"/>
    </row>
    <row r="2585" spans="1:7">
      <c r="A2585" s="37"/>
      <c r="B2585" s="37"/>
      <c r="C2585" s="37"/>
      <c r="D2585" s="37"/>
      <c r="E2585" s="37"/>
      <c r="F2585" s="37"/>
      <c r="G2585" s="37"/>
    </row>
    <row r="2586" spans="1:7">
      <c r="A2586" s="37"/>
      <c r="B2586" s="37"/>
      <c r="C2586" s="37"/>
      <c r="D2586" s="37"/>
      <c r="E2586" s="37"/>
      <c r="F2586" s="37"/>
      <c r="G2586" s="37"/>
    </row>
    <row r="2587" spans="1:7">
      <c r="A2587" s="37"/>
      <c r="B2587" s="37"/>
      <c r="C2587" s="37"/>
      <c r="D2587" s="37"/>
      <c r="E2587" s="37"/>
      <c r="F2587" s="37"/>
      <c r="G2587" s="37"/>
    </row>
    <row r="2588" spans="1:7">
      <c r="A2588" s="37"/>
      <c r="B2588" s="37"/>
      <c r="C2588" s="37"/>
      <c r="D2588" s="37"/>
      <c r="E2588" s="37"/>
      <c r="F2588" s="37"/>
      <c r="G2588" s="37"/>
    </row>
    <row r="2589" spans="1:7">
      <c r="A2589" s="37"/>
      <c r="B2589" s="37"/>
      <c r="C2589" s="37"/>
      <c r="D2589" s="37"/>
      <c r="E2589" s="37"/>
      <c r="F2589" s="37"/>
      <c r="G2589" s="37"/>
    </row>
    <row r="2590" spans="1:7">
      <c r="A2590" s="37"/>
      <c r="B2590" s="37"/>
      <c r="C2590" s="37"/>
      <c r="D2590" s="37"/>
      <c r="E2590" s="37"/>
      <c r="F2590" s="37"/>
      <c r="G2590" s="37"/>
    </row>
    <row r="2591" spans="1:7">
      <c r="A2591" s="37"/>
      <c r="B2591" s="37"/>
      <c r="C2591" s="37"/>
      <c r="D2591" s="37"/>
      <c r="E2591" s="37"/>
      <c r="F2591" s="37"/>
      <c r="G2591" s="37"/>
    </row>
    <row r="2592" spans="1:7">
      <c r="A2592" s="37"/>
      <c r="B2592" s="37"/>
      <c r="C2592" s="37"/>
      <c r="D2592" s="37"/>
      <c r="E2592" s="37"/>
      <c r="F2592" s="37"/>
      <c r="G2592" s="37"/>
    </row>
    <row r="2593" spans="1:7">
      <c r="A2593" s="37"/>
      <c r="B2593" s="37"/>
      <c r="C2593" s="37"/>
      <c r="D2593" s="37"/>
      <c r="E2593" s="37"/>
      <c r="F2593" s="37"/>
      <c r="G2593" s="37"/>
    </row>
    <row r="2594" spans="1:7">
      <c r="A2594" s="37"/>
      <c r="B2594" s="37"/>
      <c r="C2594" s="37"/>
      <c r="D2594" s="37"/>
      <c r="E2594" s="37"/>
      <c r="F2594" s="37"/>
      <c r="G2594" s="37"/>
    </row>
    <row r="2595" spans="1:7">
      <c r="A2595" s="37"/>
      <c r="B2595" s="37"/>
      <c r="C2595" s="37"/>
      <c r="D2595" s="37"/>
      <c r="E2595" s="37"/>
      <c r="F2595" s="37"/>
      <c r="G2595" s="37"/>
    </row>
    <row r="2596" spans="1:7">
      <c r="A2596" s="37"/>
      <c r="B2596" s="37"/>
      <c r="C2596" s="37"/>
      <c r="D2596" s="37"/>
      <c r="E2596" s="37"/>
      <c r="F2596" s="37"/>
      <c r="G2596" s="37"/>
    </row>
    <row r="2597" spans="1:7">
      <c r="A2597" s="37"/>
      <c r="B2597" s="37"/>
      <c r="C2597" s="37"/>
      <c r="D2597" s="37"/>
      <c r="E2597" s="37"/>
      <c r="F2597" s="37"/>
      <c r="G2597" s="37"/>
    </row>
    <row r="2598" spans="1:7">
      <c r="A2598" s="37"/>
      <c r="B2598" s="37"/>
      <c r="C2598" s="37"/>
      <c r="D2598" s="37"/>
      <c r="E2598" s="37"/>
      <c r="F2598" s="37"/>
      <c r="G2598" s="37"/>
    </row>
    <row r="2599" spans="1:7">
      <c r="A2599" s="37"/>
      <c r="B2599" s="37"/>
      <c r="C2599" s="37"/>
      <c r="D2599" s="37"/>
      <c r="E2599" s="37"/>
      <c r="F2599" s="37"/>
      <c r="G2599" s="37"/>
    </row>
    <row r="2600" spans="1:7">
      <c r="A2600" s="37"/>
      <c r="B2600" s="37"/>
      <c r="C2600" s="37"/>
      <c r="D2600" s="37"/>
      <c r="E2600" s="37"/>
      <c r="F2600" s="37"/>
      <c r="G2600" s="37"/>
    </row>
    <row r="2601" spans="1:7">
      <c r="A2601" s="37"/>
      <c r="B2601" s="37"/>
      <c r="C2601" s="37"/>
      <c r="D2601" s="37"/>
      <c r="E2601" s="37"/>
      <c r="F2601" s="37"/>
      <c r="G2601" s="37"/>
    </row>
    <row r="2602" spans="1:7">
      <c r="A2602" s="37"/>
      <c r="B2602" s="37"/>
      <c r="C2602" s="37"/>
      <c r="D2602" s="37"/>
      <c r="E2602" s="37"/>
      <c r="F2602" s="37"/>
      <c r="G2602" s="37"/>
    </row>
    <row r="2603" spans="1:7">
      <c r="A2603" s="37"/>
      <c r="B2603" s="37"/>
      <c r="C2603" s="37"/>
      <c r="D2603" s="37"/>
      <c r="E2603" s="37"/>
      <c r="F2603" s="37"/>
      <c r="G2603" s="37"/>
    </row>
    <row r="2604" spans="1:7">
      <c r="A2604" s="37"/>
      <c r="B2604" s="37"/>
      <c r="C2604" s="37"/>
      <c r="D2604" s="37"/>
      <c r="E2604" s="37"/>
      <c r="F2604" s="37"/>
      <c r="G2604" s="37"/>
    </row>
    <row r="2605" spans="1:7">
      <c r="A2605" s="37"/>
      <c r="B2605" s="37"/>
      <c r="C2605" s="37"/>
      <c r="D2605" s="37"/>
      <c r="E2605" s="37"/>
      <c r="F2605" s="37"/>
      <c r="G2605" s="37"/>
    </row>
    <row r="2606" spans="1:7">
      <c r="A2606" s="37"/>
      <c r="B2606" s="37"/>
      <c r="C2606" s="37"/>
      <c r="D2606" s="37"/>
      <c r="E2606" s="37"/>
      <c r="F2606" s="37"/>
      <c r="G2606" s="37"/>
    </row>
    <row r="2607" spans="1:7">
      <c r="A2607" s="37"/>
      <c r="B2607" s="37"/>
      <c r="C2607" s="37"/>
      <c r="D2607" s="37"/>
      <c r="E2607" s="37"/>
      <c r="F2607" s="37"/>
      <c r="G2607" s="37"/>
    </row>
    <row r="2608" spans="1:7">
      <c r="A2608" s="37"/>
      <c r="B2608" s="37"/>
      <c r="C2608" s="37"/>
      <c r="D2608" s="37"/>
      <c r="E2608" s="37"/>
      <c r="F2608" s="37"/>
      <c r="G2608" s="37"/>
    </row>
    <row r="2609" spans="1:7">
      <c r="A2609" s="37"/>
      <c r="B2609" s="37"/>
      <c r="C2609" s="37"/>
      <c r="D2609" s="37"/>
      <c r="E2609" s="37"/>
      <c r="F2609" s="37"/>
      <c r="G2609" s="37"/>
    </row>
    <row r="2610" spans="1:7">
      <c r="A2610" s="37"/>
      <c r="B2610" s="37"/>
      <c r="C2610" s="37"/>
      <c r="D2610" s="37"/>
      <c r="E2610" s="37"/>
      <c r="F2610" s="37"/>
      <c r="G2610" s="37"/>
    </row>
    <row r="2611" spans="1:7">
      <c r="A2611" s="37"/>
      <c r="B2611" s="37"/>
      <c r="C2611" s="37"/>
      <c r="D2611" s="37"/>
      <c r="E2611" s="37"/>
      <c r="F2611" s="37"/>
      <c r="G2611" s="37"/>
    </row>
    <row r="2612" spans="1:7">
      <c r="A2612" s="37"/>
      <c r="B2612" s="37"/>
      <c r="C2612" s="37"/>
      <c r="D2612" s="37"/>
      <c r="E2612" s="37"/>
      <c r="F2612" s="37"/>
      <c r="G2612" s="37"/>
    </row>
    <row r="2613" spans="1:7">
      <c r="A2613" s="37"/>
      <c r="B2613" s="37"/>
      <c r="C2613" s="37"/>
      <c r="D2613" s="37"/>
      <c r="E2613" s="37"/>
      <c r="F2613" s="37"/>
      <c r="G2613" s="37"/>
    </row>
    <row r="2614" spans="1:7">
      <c r="A2614" s="37"/>
      <c r="B2614" s="37"/>
      <c r="C2614" s="37"/>
      <c r="D2614" s="37"/>
      <c r="E2614" s="37"/>
      <c r="F2614" s="37"/>
      <c r="G2614" s="37"/>
    </row>
    <row r="2615" spans="1:7">
      <c r="A2615" s="37"/>
      <c r="B2615" s="37"/>
      <c r="C2615" s="37"/>
      <c r="D2615" s="37"/>
      <c r="E2615" s="37"/>
      <c r="F2615" s="37"/>
      <c r="G2615" s="37"/>
    </row>
    <row r="2616" spans="1:7">
      <c r="A2616" s="37"/>
      <c r="B2616" s="37"/>
      <c r="C2616" s="37"/>
      <c r="D2616" s="37"/>
      <c r="E2616" s="37"/>
      <c r="F2616" s="37"/>
      <c r="G2616" s="37"/>
    </row>
    <row r="2617" spans="1:7">
      <c r="A2617" s="37"/>
      <c r="B2617" s="37"/>
      <c r="C2617" s="37"/>
      <c r="D2617" s="37"/>
      <c r="E2617" s="37"/>
      <c r="F2617" s="37"/>
      <c r="G2617" s="37"/>
    </row>
    <row r="2618" spans="1:7">
      <c r="A2618" s="37"/>
      <c r="B2618" s="37"/>
      <c r="C2618" s="37"/>
      <c r="D2618" s="37"/>
      <c r="E2618" s="37"/>
      <c r="F2618" s="37"/>
      <c r="G2618" s="37"/>
    </row>
    <row r="2619" spans="1:7">
      <c r="A2619" s="37"/>
      <c r="B2619" s="37"/>
      <c r="C2619" s="37"/>
      <c r="D2619" s="37"/>
      <c r="E2619" s="37"/>
      <c r="F2619" s="37"/>
      <c r="G2619" s="37"/>
    </row>
    <row r="2620" spans="1:7">
      <c r="A2620" s="37"/>
      <c r="B2620" s="37"/>
      <c r="C2620" s="37"/>
      <c r="D2620" s="37"/>
      <c r="E2620" s="37"/>
      <c r="F2620" s="37"/>
      <c r="G2620" s="37"/>
    </row>
    <row r="2621" spans="1:7">
      <c r="A2621" s="37"/>
      <c r="B2621" s="37"/>
      <c r="C2621" s="37"/>
      <c r="D2621" s="37"/>
      <c r="E2621" s="37"/>
      <c r="F2621" s="37"/>
      <c r="G2621" s="37"/>
    </row>
    <row r="2622" spans="1:7">
      <c r="A2622" s="37"/>
      <c r="B2622" s="37"/>
      <c r="C2622" s="37"/>
      <c r="D2622" s="37"/>
      <c r="E2622" s="37"/>
      <c r="F2622" s="37"/>
      <c r="G2622" s="37"/>
    </row>
    <row r="2623" spans="1:7">
      <c r="A2623" s="37"/>
      <c r="B2623" s="37"/>
      <c r="C2623" s="37"/>
      <c r="D2623" s="37"/>
      <c r="E2623" s="37"/>
      <c r="F2623" s="37"/>
      <c r="G2623" s="37"/>
    </row>
    <row r="2624" spans="1:7">
      <c r="A2624" s="37"/>
      <c r="B2624" s="37"/>
      <c r="C2624" s="37"/>
      <c r="D2624" s="37"/>
      <c r="E2624" s="37"/>
      <c r="F2624" s="37"/>
      <c r="G2624" s="37"/>
    </row>
    <row r="2625" spans="1:7">
      <c r="A2625" s="37"/>
      <c r="B2625" s="37"/>
      <c r="C2625" s="37"/>
      <c r="D2625" s="37"/>
      <c r="E2625" s="37"/>
      <c r="F2625" s="37"/>
      <c r="G2625" s="37"/>
    </row>
    <row r="2626" spans="1:7">
      <c r="A2626" s="37"/>
      <c r="B2626" s="37"/>
      <c r="C2626" s="37"/>
      <c r="D2626" s="37"/>
      <c r="E2626" s="37"/>
      <c r="F2626" s="37"/>
      <c r="G2626" s="37"/>
    </row>
    <row r="2627" spans="1:7">
      <c r="A2627" s="37"/>
      <c r="B2627" s="37"/>
      <c r="C2627" s="37"/>
      <c r="D2627" s="37"/>
      <c r="E2627" s="37"/>
      <c r="F2627" s="37"/>
      <c r="G2627" s="37"/>
    </row>
    <row r="2628" spans="1:7">
      <c r="A2628" s="37"/>
      <c r="B2628" s="37"/>
      <c r="C2628" s="37"/>
      <c r="D2628" s="37"/>
      <c r="E2628" s="37"/>
      <c r="F2628" s="37"/>
      <c r="G2628" s="37"/>
    </row>
    <row r="2629" spans="1:7">
      <c r="A2629" s="37"/>
      <c r="B2629" s="37"/>
      <c r="C2629" s="37"/>
      <c r="D2629" s="37"/>
      <c r="E2629" s="37"/>
      <c r="F2629" s="37"/>
      <c r="G2629" s="37"/>
    </row>
    <row r="2630" spans="1:7">
      <c r="A2630" s="37"/>
      <c r="B2630" s="37"/>
      <c r="C2630" s="37"/>
      <c r="D2630" s="37"/>
      <c r="E2630" s="37"/>
      <c r="F2630" s="37"/>
      <c r="G2630" s="37"/>
    </row>
    <row r="2631" spans="1:7">
      <c r="A2631" s="37"/>
      <c r="B2631" s="37"/>
      <c r="C2631" s="37"/>
      <c r="D2631" s="37"/>
      <c r="E2631" s="37"/>
      <c r="F2631" s="37"/>
      <c r="G2631" s="37"/>
    </row>
    <row r="2632" spans="1:7">
      <c r="A2632" s="37"/>
      <c r="B2632" s="37"/>
      <c r="C2632" s="37"/>
      <c r="D2632" s="37"/>
      <c r="E2632" s="37"/>
      <c r="F2632" s="37"/>
      <c r="G2632" s="37"/>
    </row>
    <row r="2633" spans="1:7">
      <c r="A2633" s="37"/>
      <c r="B2633" s="37"/>
      <c r="C2633" s="37"/>
      <c r="D2633" s="37"/>
      <c r="E2633" s="37"/>
      <c r="F2633" s="37"/>
      <c r="G2633" s="37"/>
    </row>
    <row r="2634" spans="1:7">
      <c r="A2634" s="37"/>
      <c r="B2634" s="37"/>
      <c r="C2634" s="37"/>
      <c r="D2634" s="37"/>
      <c r="E2634" s="37"/>
      <c r="F2634" s="37"/>
      <c r="G2634" s="37"/>
    </row>
    <row r="2635" spans="1:7">
      <c r="A2635" s="37"/>
      <c r="B2635" s="37"/>
      <c r="C2635" s="37"/>
      <c r="D2635" s="37"/>
      <c r="E2635" s="37"/>
      <c r="F2635" s="37"/>
      <c r="G2635" s="37"/>
    </row>
    <row r="2636" spans="1:7">
      <c r="A2636" s="37"/>
      <c r="B2636" s="37"/>
      <c r="C2636" s="37"/>
      <c r="D2636" s="37"/>
      <c r="E2636" s="37"/>
      <c r="F2636" s="37"/>
      <c r="G2636" s="37"/>
    </row>
    <row r="2637" spans="1:7">
      <c r="A2637" s="37"/>
      <c r="B2637" s="37"/>
      <c r="C2637" s="37"/>
      <c r="D2637" s="37"/>
      <c r="E2637" s="37"/>
      <c r="F2637" s="37"/>
      <c r="G2637" s="37"/>
    </row>
    <row r="2638" spans="1:7">
      <c r="A2638" s="37"/>
      <c r="B2638" s="37"/>
      <c r="C2638" s="37"/>
      <c r="D2638" s="37"/>
      <c r="E2638" s="37"/>
      <c r="F2638" s="37"/>
      <c r="G2638" s="37"/>
    </row>
    <row r="2639" spans="1:7">
      <c r="A2639" s="37"/>
      <c r="B2639" s="37"/>
      <c r="C2639" s="37"/>
      <c r="D2639" s="37"/>
      <c r="E2639" s="37"/>
      <c r="F2639" s="37"/>
      <c r="G2639" s="37"/>
    </row>
    <row r="2640" spans="1:7">
      <c r="A2640" s="37"/>
      <c r="B2640" s="37"/>
      <c r="C2640" s="37"/>
      <c r="D2640" s="37"/>
      <c r="E2640" s="37"/>
      <c r="F2640" s="37"/>
      <c r="G2640" s="37"/>
    </row>
    <row r="2641" spans="1:7">
      <c r="A2641" s="37"/>
      <c r="B2641" s="37"/>
      <c r="C2641" s="37"/>
      <c r="D2641" s="37"/>
      <c r="E2641" s="37"/>
      <c r="F2641" s="37"/>
      <c r="G2641" s="37"/>
    </row>
    <row r="2642" spans="1:7">
      <c r="A2642" s="37"/>
      <c r="B2642" s="37"/>
      <c r="C2642" s="37"/>
      <c r="D2642" s="37"/>
      <c r="E2642" s="37"/>
      <c r="F2642" s="37"/>
      <c r="G2642" s="37"/>
    </row>
    <row r="2643" spans="1:7">
      <c r="A2643" s="37"/>
      <c r="B2643" s="37"/>
      <c r="C2643" s="37"/>
      <c r="D2643" s="37"/>
      <c r="E2643" s="37"/>
      <c r="F2643" s="37"/>
      <c r="G2643" s="37"/>
    </row>
    <row r="2644" spans="1:7">
      <c r="A2644" s="37"/>
      <c r="B2644" s="37"/>
      <c r="C2644" s="37"/>
      <c r="D2644" s="37"/>
      <c r="E2644" s="37"/>
      <c r="F2644" s="37"/>
      <c r="G2644" s="37"/>
    </row>
    <row r="2645" spans="1:7">
      <c r="A2645" s="37"/>
      <c r="B2645" s="37"/>
      <c r="C2645" s="37"/>
      <c r="D2645" s="37"/>
      <c r="E2645" s="37"/>
      <c r="F2645" s="37"/>
      <c r="G2645" s="37"/>
    </row>
    <row r="2646" spans="1:7">
      <c r="A2646" s="37"/>
      <c r="B2646" s="37"/>
      <c r="C2646" s="37"/>
      <c r="D2646" s="37"/>
      <c r="E2646" s="37"/>
      <c r="F2646" s="37"/>
      <c r="G2646" s="37"/>
    </row>
    <row r="2647" spans="1:7">
      <c r="A2647" s="37"/>
      <c r="B2647" s="37"/>
      <c r="C2647" s="37"/>
      <c r="D2647" s="37"/>
      <c r="E2647" s="37"/>
      <c r="F2647" s="37"/>
      <c r="G2647" s="37"/>
    </row>
    <row r="2648" spans="1:7">
      <c r="A2648" s="37"/>
      <c r="B2648" s="37"/>
      <c r="C2648" s="37"/>
      <c r="D2648" s="37"/>
      <c r="E2648" s="37"/>
      <c r="F2648" s="37"/>
      <c r="G2648" s="37"/>
    </row>
    <row r="2649" spans="1:7">
      <c r="A2649" s="37"/>
      <c r="B2649" s="37"/>
      <c r="C2649" s="37"/>
      <c r="D2649" s="37"/>
      <c r="E2649" s="37"/>
      <c r="F2649" s="37"/>
      <c r="G2649" s="37"/>
    </row>
    <row r="2650" spans="1:7">
      <c r="A2650" s="37"/>
      <c r="B2650" s="37"/>
      <c r="C2650" s="37"/>
      <c r="D2650" s="37"/>
      <c r="E2650" s="37"/>
      <c r="F2650" s="37"/>
      <c r="G2650" s="37"/>
    </row>
    <row r="2651" spans="1:7">
      <c r="A2651" s="37"/>
      <c r="B2651" s="37"/>
      <c r="C2651" s="37"/>
      <c r="D2651" s="37"/>
      <c r="E2651" s="37"/>
      <c r="F2651" s="37"/>
      <c r="G2651" s="37"/>
    </row>
    <row r="2652" spans="1:7">
      <c r="A2652" s="37"/>
      <c r="B2652" s="37"/>
      <c r="C2652" s="37"/>
      <c r="D2652" s="37"/>
      <c r="E2652" s="37"/>
      <c r="F2652" s="37"/>
      <c r="G2652" s="37"/>
    </row>
    <row r="2653" spans="1:7">
      <c r="A2653" s="37"/>
      <c r="B2653" s="37"/>
      <c r="C2653" s="37"/>
      <c r="D2653" s="37"/>
      <c r="E2653" s="37"/>
      <c r="F2653" s="37"/>
      <c r="G2653" s="37"/>
    </row>
    <row r="2654" spans="1:7">
      <c r="A2654" s="37"/>
      <c r="B2654" s="37"/>
      <c r="C2654" s="37"/>
      <c r="D2654" s="37"/>
      <c r="E2654" s="37"/>
      <c r="F2654" s="37"/>
      <c r="G2654" s="37"/>
    </row>
    <row r="2655" spans="1:7">
      <c r="A2655" s="37"/>
      <c r="B2655" s="37"/>
      <c r="C2655" s="37"/>
      <c r="D2655" s="37"/>
      <c r="E2655" s="37"/>
      <c r="F2655" s="37"/>
      <c r="G2655" s="37"/>
    </row>
    <row r="2656" spans="1:7">
      <c r="A2656" s="37"/>
      <c r="B2656" s="37"/>
      <c r="C2656" s="37"/>
      <c r="D2656" s="37"/>
      <c r="E2656" s="37"/>
      <c r="F2656" s="37"/>
      <c r="G2656" s="37"/>
    </row>
    <row r="2657" spans="1:7">
      <c r="A2657" s="37"/>
      <c r="B2657" s="37"/>
      <c r="C2657" s="37"/>
      <c r="D2657" s="37"/>
      <c r="E2657" s="37"/>
      <c r="F2657" s="37"/>
      <c r="G2657" s="37"/>
    </row>
    <row r="2658" spans="1:7">
      <c r="A2658" s="37"/>
      <c r="B2658" s="37"/>
      <c r="C2658" s="37"/>
      <c r="D2658" s="37"/>
      <c r="E2658" s="37"/>
      <c r="F2658" s="37"/>
      <c r="G2658" s="37"/>
    </row>
    <row r="2659" spans="1:7">
      <c r="A2659" s="37"/>
      <c r="B2659" s="37"/>
      <c r="C2659" s="37"/>
      <c r="D2659" s="37"/>
      <c r="E2659" s="37"/>
      <c r="F2659" s="37"/>
      <c r="G2659" s="37"/>
    </row>
    <row r="2660" spans="1:7">
      <c r="A2660" s="37"/>
      <c r="B2660" s="37"/>
      <c r="C2660" s="37"/>
      <c r="D2660" s="37"/>
      <c r="E2660" s="37"/>
      <c r="F2660" s="37"/>
      <c r="G2660" s="37"/>
    </row>
    <row r="2661" spans="1:7">
      <c r="A2661" s="37"/>
      <c r="B2661" s="37"/>
      <c r="C2661" s="37"/>
      <c r="D2661" s="37"/>
      <c r="E2661" s="37"/>
      <c r="F2661" s="37"/>
      <c r="G2661" s="37"/>
    </row>
    <row r="2662" spans="1:7">
      <c r="A2662" s="37"/>
      <c r="B2662" s="37"/>
      <c r="C2662" s="37"/>
      <c r="D2662" s="37"/>
      <c r="E2662" s="37"/>
      <c r="F2662" s="37"/>
      <c r="G2662" s="37"/>
    </row>
    <row r="2663" spans="1:7">
      <c r="A2663" s="37"/>
      <c r="B2663" s="37"/>
      <c r="C2663" s="37"/>
      <c r="D2663" s="37"/>
      <c r="E2663" s="37"/>
      <c r="F2663" s="37"/>
      <c r="G2663" s="37"/>
    </row>
    <row r="2664" spans="1:7">
      <c r="A2664" s="37"/>
      <c r="B2664" s="37"/>
      <c r="C2664" s="37"/>
      <c r="D2664" s="37"/>
      <c r="E2664" s="37"/>
      <c r="F2664" s="37"/>
      <c r="G2664" s="37"/>
    </row>
    <row r="2665" spans="1:7">
      <c r="A2665" s="37"/>
      <c r="B2665" s="37"/>
      <c r="C2665" s="37"/>
      <c r="D2665" s="37"/>
      <c r="E2665" s="37"/>
      <c r="F2665" s="37"/>
      <c r="G2665" s="37"/>
    </row>
    <row r="2666" spans="1:7">
      <c r="A2666" s="37"/>
      <c r="B2666" s="37"/>
      <c r="C2666" s="37"/>
      <c r="D2666" s="37"/>
      <c r="E2666" s="37"/>
      <c r="F2666" s="37"/>
      <c r="G2666" s="37"/>
    </row>
    <row r="2667" spans="1:7">
      <c r="A2667" s="37"/>
      <c r="B2667" s="37"/>
      <c r="C2667" s="37"/>
      <c r="D2667" s="37"/>
      <c r="E2667" s="37"/>
      <c r="F2667" s="37"/>
      <c r="G2667" s="37"/>
    </row>
    <row r="2668" spans="1:7">
      <c r="A2668" s="37"/>
      <c r="B2668" s="37"/>
      <c r="C2668" s="37"/>
      <c r="D2668" s="37"/>
      <c r="E2668" s="37"/>
      <c r="F2668" s="37"/>
      <c r="G2668" s="37"/>
    </row>
    <row r="2669" spans="1:7">
      <c r="A2669" s="37"/>
      <c r="B2669" s="37"/>
      <c r="C2669" s="37"/>
      <c r="D2669" s="37"/>
      <c r="E2669" s="37"/>
      <c r="F2669" s="37"/>
      <c r="G2669" s="37"/>
    </row>
    <row r="2670" spans="1:7">
      <c r="A2670" s="37"/>
      <c r="B2670" s="37"/>
      <c r="C2670" s="37"/>
      <c r="D2670" s="37"/>
      <c r="E2670" s="37"/>
      <c r="F2670" s="37"/>
      <c r="G2670" s="37"/>
    </row>
    <row r="2671" spans="1:7">
      <c r="A2671" s="37"/>
      <c r="B2671" s="37"/>
      <c r="C2671" s="37"/>
      <c r="D2671" s="37"/>
      <c r="E2671" s="37"/>
      <c r="F2671" s="37"/>
      <c r="G2671" s="37"/>
    </row>
    <row r="2672" spans="1:7">
      <c r="A2672" s="37"/>
      <c r="B2672" s="37"/>
      <c r="C2672" s="37"/>
      <c r="D2672" s="37"/>
      <c r="E2672" s="37"/>
      <c r="F2672" s="37"/>
      <c r="G2672" s="37"/>
    </row>
    <row r="2673" spans="1:7">
      <c r="A2673" s="37"/>
      <c r="B2673" s="37"/>
      <c r="C2673" s="37"/>
      <c r="D2673" s="37"/>
      <c r="E2673" s="37"/>
      <c r="F2673" s="37"/>
      <c r="G2673" s="37"/>
    </row>
    <row r="2674" spans="1:7">
      <c r="A2674" s="37"/>
      <c r="B2674" s="37"/>
      <c r="C2674" s="37"/>
      <c r="D2674" s="37"/>
      <c r="E2674" s="37"/>
      <c r="F2674" s="37"/>
      <c r="G2674" s="37"/>
    </row>
    <row r="2675" spans="1:7">
      <c r="A2675" s="37"/>
      <c r="B2675" s="37"/>
      <c r="C2675" s="37"/>
      <c r="D2675" s="37"/>
      <c r="E2675" s="37"/>
      <c r="F2675" s="37"/>
      <c r="G2675" s="37"/>
    </row>
    <row r="2676" spans="1:7">
      <c r="A2676" s="37"/>
      <c r="B2676" s="37"/>
      <c r="C2676" s="37"/>
      <c r="D2676" s="37"/>
      <c r="E2676" s="37"/>
      <c r="F2676" s="37"/>
      <c r="G2676" s="37"/>
    </row>
    <row r="2677" spans="1:7">
      <c r="A2677" s="37"/>
      <c r="B2677" s="37"/>
      <c r="C2677" s="37"/>
      <c r="D2677" s="37"/>
      <c r="E2677" s="37"/>
      <c r="F2677" s="37"/>
      <c r="G2677" s="37"/>
    </row>
    <row r="2678" spans="1:7">
      <c r="A2678" s="37"/>
      <c r="B2678" s="37"/>
      <c r="C2678" s="37"/>
      <c r="D2678" s="37"/>
      <c r="E2678" s="37"/>
      <c r="F2678" s="37"/>
      <c r="G2678" s="37"/>
    </row>
    <row r="2679" spans="1:7">
      <c r="A2679" s="37"/>
      <c r="B2679" s="37"/>
      <c r="C2679" s="37"/>
      <c r="D2679" s="37"/>
      <c r="E2679" s="37"/>
      <c r="F2679" s="37"/>
      <c r="G2679" s="37"/>
    </row>
    <row r="2680" spans="1:7">
      <c r="A2680" s="37"/>
      <c r="B2680" s="37"/>
      <c r="C2680" s="37"/>
      <c r="D2680" s="37"/>
      <c r="E2680" s="37"/>
      <c r="F2680" s="37"/>
      <c r="G2680" s="37"/>
    </row>
    <row r="2681" spans="1:7">
      <c r="A2681" s="37"/>
      <c r="B2681" s="37"/>
      <c r="C2681" s="37"/>
      <c r="D2681" s="37"/>
      <c r="E2681" s="37"/>
      <c r="F2681" s="37"/>
      <c r="G2681" s="37"/>
    </row>
    <row r="2682" spans="1:7">
      <c r="A2682" s="37"/>
      <c r="B2682" s="37"/>
      <c r="C2682" s="37"/>
      <c r="D2682" s="37"/>
      <c r="E2682" s="37"/>
      <c r="F2682" s="37"/>
      <c r="G2682" s="37"/>
    </row>
    <row r="2683" spans="1:7">
      <c r="A2683" s="37"/>
      <c r="B2683" s="37"/>
      <c r="C2683" s="37"/>
      <c r="D2683" s="37"/>
      <c r="E2683" s="37"/>
      <c r="F2683" s="37"/>
      <c r="G2683" s="37"/>
    </row>
    <row r="2684" spans="1:7">
      <c r="A2684" s="37"/>
      <c r="B2684" s="37"/>
      <c r="C2684" s="37"/>
      <c r="D2684" s="37"/>
      <c r="E2684" s="37"/>
      <c r="F2684" s="37"/>
      <c r="G2684" s="37"/>
    </row>
    <row r="2685" spans="1:7">
      <c r="A2685" s="37"/>
      <c r="B2685" s="37"/>
      <c r="C2685" s="37"/>
      <c r="D2685" s="37"/>
      <c r="E2685" s="37"/>
      <c r="F2685" s="37"/>
      <c r="G2685" s="37"/>
    </row>
    <row r="2686" spans="1:7">
      <c r="A2686" s="37"/>
      <c r="B2686" s="37"/>
      <c r="C2686" s="37"/>
      <c r="D2686" s="37"/>
      <c r="E2686" s="37"/>
      <c r="F2686" s="37"/>
      <c r="G2686" s="37"/>
    </row>
    <row r="2687" spans="1:7">
      <c r="A2687" s="37"/>
      <c r="B2687" s="37"/>
      <c r="C2687" s="37"/>
      <c r="D2687" s="37"/>
      <c r="E2687" s="37"/>
      <c r="F2687" s="37"/>
      <c r="G2687" s="37"/>
    </row>
    <row r="2688" spans="1:7">
      <c r="A2688" s="37"/>
      <c r="B2688" s="37"/>
      <c r="C2688" s="37"/>
      <c r="D2688" s="37"/>
      <c r="E2688" s="37"/>
      <c r="F2688" s="37"/>
      <c r="G2688" s="37"/>
    </row>
    <row r="2689" spans="1:7">
      <c r="A2689" s="37"/>
      <c r="B2689" s="37"/>
      <c r="C2689" s="37"/>
      <c r="D2689" s="37"/>
      <c r="E2689" s="37"/>
      <c r="F2689" s="37"/>
      <c r="G2689" s="37"/>
    </row>
    <row r="2690" spans="1:7">
      <c r="A2690" s="37"/>
      <c r="B2690" s="37"/>
      <c r="C2690" s="37"/>
      <c r="D2690" s="37"/>
      <c r="E2690" s="37"/>
      <c r="F2690" s="37"/>
      <c r="G2690" s="37"/>
    </row>
    <row r="2691" spans="1:7">
      <c r="A2691" s="37"/>
      <c r="B2691" s="37"/>
      <c r="C2691" s="37"/>
      <c r="D2691" s="37"/>
      <c r="E2691" s="37"/>
      <c r="F2691" s="37"/>
      <c r="G2691" s="37"/>
    </row>
    <row r="2692" spans="1:7">
      <c r="A2692" s="37"/>
      <c r="B2692" s="37"/>
      <c r="C2692" s="37"/>
      <c r="D2692" s="37"/>
      <c r="E2692" s="37"/>
      <c r="F2692" s="37"/>
      <c r="G2692" s="37"/>
    </row>
    <row r="2693" spans="1:7">
      <c r="A2693" s="37"/>
      <c r="B2693" s="37"/>
      <c r="C2693" s="37"/>
      <c r="D2693" s="37"/>
      <c r="E2693" s="37"/>
      <c r="F2693" s="37"/>
      <c r="G2693" s="37"/>
    </row>
    <row r="2694" spans="1:7">
      <c r="A2694" s="37"/>
      <c r="B2694" s="37"/>
      <c r="C2694" s="37"/>
      <c r="D2694" s="37"/>
      <c r="E2694" s="37"/>
      <c r="F2694" s="37"/>
      <c r="G2694" s="37"/>
    </row>
    <row r="2695" spans="1:7">
      <c r="A2695" s="37"/>
      <c r="B2695" s="37"/>
      <c r="C2695" s="37"/>
      <c r="D2695" s="37"/>
      <c r="E2695" s="37"/>
      <c r="F2695" s="37"/>
      <c r="G2695" s="37"/>
    </row>
    <row r="2696" spans="1:7">
      <c r="A2696" s="37"/>
      <c r="B2696" s="37"/>
      <c r="C2696" s="37"/>
      <c r="D2696" s="37"/>
      <c r="E2696" s="37"/>
      <c r="F2696" s="37"/>
      <c r="G2696" s="37"/>
    </row>
    <row r="2697" spans="1:7">
      <c r="A2697" s="37"/>
      <c r="B2697" s="37"/>
      <c r="C2697" s="37"/>
      <c r="D2697" s="37"/>
      <c r="E2697" s="37"/>
      <c r="F2697" s="37"/>
      <c r="G2697" s="37"/>
    </row>
    <row r="2698" spans="1:7">
      <c r="A2698" s="37"/>
      <c r="B2698" s="37"/>
      <c r="C2698" s="37"/>
      <c r="D2698" s="37"/>
      <c r="E2698" s="37"/>
      <c r="F2698" s="37"/>
      <c r="G2698" s="37"/>
    </row>
    <row r="2699" spans="1:7">
      <c r="A2699" s="37"/>
      <c r="B2699" s="37"/>
      <c r="C2699" s="37"/>
      <c r="D2699" s="37"/>
      <c r="E2699" s="37"/>
      <c r="F2699" s="37"/>
      <c r="G2699" s="37"/>
    </row>
    <row r="2700" spans="1:7">
      <c r="A2700" s="37"/>
      <c r="B2700" s="37"/>
      <c r="C2700" s="37"/>
      <c r="D2700" s="37"/>
      <c r="E2700" s="37"/>
      <c r="F2700" s="37"/>
      <c r="G2700" s="37"/>
    </row>
    <row r="2701" spans="1:7">
      <c r="A2701" s="37"/>
      <c r="B2701" s="37"/>
      <c r="C2701" s="37"/>
      <c r="D2701" s="37"/>
      <c r="E2701" s="37"/>
      <c r="F2701" s="37"/>
      <c r="G2701" s="37"/>
    </row>
    <row r="2702" spans="1:7">
      <c r="A2702" s="37"/>
      <c r="B2702" s="37"/>
      <c r="C2702" s="37"/>
      <c r="D2702" s="37"/>
      <c r="E2702" s="37"/>
      <c r="F2702" s="37"/>
      <c r="G2702" s="37"/>
    </row>
    <row r="2703" spans="1:7">
      <c r="A2703" s="37"/>
      <c r="B2703" s="37"/>
      <c r="C2703" s="37"/>
      <c r="D2703" s="37"/>
      <c r="E2703" s="37"/>
      <c r="F2703" s="37"/>
      <c r="G2703" s="37"/>
    </row>
    <row r="2704" spans="1:7">
      <c r="A2704" s="37"/>
      <c r="B2704" s="37"/>
      <c r="C2704" s="37"/>
      <c r="D2704" s="37"/>
      <c r="E2704" s="37"/>
      <c r="F2704" s="37"/>
      <c r="G2704" s="37"/>
    </row>
    <row r="2705" spans="1:7">
      <c r="A2705" s="37"/>
      <c r="B2705" s="37"/>
      <c r="C2705" s="37"/>
      <c r="D2705" s="37"/>
      <c r="E2705" s="37"/>
      <c r="F2705" s="37"/>
      <c r="G2705" s="37"/>
    </row>
    <row r="2706" spans="1:7">
      <c r="A2706" s="37"/>
      <c r="B2706" s="37"/>
      <c r="C2706" s="37"/>
      <c r="D2706" s="37"/>
      <c r="E2706" s="37"/>
      <c r="F2706" s="37"/>
      <c r="G2706" s="37"/>
    </row>
    <row r="2707" spans="1:7">
      <c r="A2707" s="37"/>
      <c r="B2707" s="37"/>
      <c r="C2707" s="37"/>
      <c r="D2707" s="37"/>
      <c r="E2707" s="37"/>
      <c r="F2707" s="37"/>
      <c r="G2707" s="37"/>
    </row>
    <row r="2708" spans="1:7">
      <c r="A2708" s="37"/>
      <c r="B2708" s="37"/>
      <c r="C2708" s="37"/>
      <c r="D2708" s="37"/>
      <c r="E2708" s="37"/>
      <c r="F2708" s="37"/>
      <c r="G2708" s="37"/>
    </row>
    <row r="2709" spans="1:7">
      <c r="A2709" s="37"/>
      <c r="B2709" s="37"/>
      <c r="C2709" s="37"/>
      <c r="D2709" s="37"/>
      <c r="E2709" s="37"/>
      <c r="F2709" s="37"/>
      <c r="G2709" s="37"/>
    </row>
    <row r="2710" spans="1:7">
      <c r="A2710" s="37"/>
      <c r="B2710" s="37"/>
      <c r="C2710" s="37"/>
      <c r="D2710" s="37"/>
      <c r="E2710" s="37"/>
      <c r="F2710" s="37"/>
      <c r="G2710" s="37"/>
    </row>
    <row r="2711" spans="1:7">
      <c r="A2711" s="37"/>
      <c r="B2711" s="37"/>
      <c r="C2711" s="37"/>
      <c r="D2711" s="37"/>
      <c r="E2711" s="37"/>
      <c r="F2711" s="37"/>
      <c r="G2711" s="37"/>
    </row>
    <row r="2712" spans="1:7">
      <c r="A2712" s="37"/>
      <c r="B2712" s="37"/>
      <c r="C2712" s="37"/>
      <c r="D2712" s="37"/>
      <c r="E2712" s="37"/>
      <c r="F2712" s="37"/>
      <c r="G2712" s="37"/>
    </row>
    <row r="2713" spans="1:7">
      <c r="A2713" s="37"/>
      <c r="B2713" s="37"/>
      <c r="C2713" s="37"/>
      <c r="D2713" s="37"/>
      <c r="E2713" s="37"/>
      <c r="F2713" s="37"/>
      <c r="G2713" s="37"/>
    </row>
    <row r="2714" spans="1:7">
      <c r="A2714" s="37"/>
      <c r="B2714" s="37"/>
      <c r="C2714" s="37"/>
      <c r="D2714" s="37"/>
      <c r="E2714" s="37"/>
      <c r="F2714" s="37"/>
      <c r="G2714" s="37"/>
    </row>
    <row r="2715" spans="1:7">
      <c r="A2715" s="37"/>
      <c r="B2715" s="37"/>
      <c r="C2715" s="37"/>
      <c r="D2715" s="37"/>
      <c r="E2715" s="37"/>
      <c r="F2715" s="37"/>
      <c r="G2715" s="37"/>
    </row>
    <row r="2716" spans="1:7">
      <c r="A2716" s="37"/>
      <c r="B2716" s="37"/>
      <c r="C2716" s="37"/>
      <c r="D2716" s="37"/>
      <c r="E2716" s="37"/>
      <c r="F2716" s="37"/>
      <c r="G2716" s="37"/>
    </row>
    <row r="2717" spans="1:7">
      <c r="A2717" s="37"/>
      <c r="B2717" s="37"/>
      <c r="C2717" s="37"/>
      <c r="D2717" s="37"/>
      <c r="E2717" s="37"/>
      <c r="F2717" s="37"/>
      <c r="G2717" s="37"/>
    </row>
    <row r="2718" spans="1:7">
      <c r="A2718" s="37"/>
      <c r="B2718" s="37"/>
      <c r="C2718" s="37"/>
      <c r="D2718" s="37"/>
      <c r="E2718" s="37"/>
      <c r="F2718" s="37"/>
      <c r="G2718" s="37"/>
    </row>
    <row r="2719" spans="1:7">
      <c r="A2719" s="37"/>
      <c r="B2719" s="37"/>
      <c r="C2719" s="37"/>
      <c r="D2719" s="37"/>
      <c r="E2719" s="37"/>
      <c r="F2719" s="37"/>
      <c r="G2719" s="37"/>
    </row>
    <row r="2720" spans="1:7">
      <c r="A2720" s="37"/>
      <c r="B2720" s="37"/>
      <c r="C2720" s="37"/>
      <c r="D2720" s="37"/>
      <c r="E2720" s="37"/>
      <c r="F2720" s="37"/>
      <c r="G2720" s="37"/>
    </row>
    <row r="2721" spans="1:7">
      <c r="A2721" s="37"/>
      <c r="B2721" s="37"/>
      <c r="C2721" s="37"/>
      <c r="D2721" s="37"/>
      <c r="E2721" s="37"/>
      <c r="F2721" s="37"/>
      <c r="G2721" s="37"/>
    </row>
    <row r="2722" spans="1:7">
      <c r="A2722" s="37"/>
      <c r="B2722" s="37"/>
      <c r="C2722" s="37"/>
      <c r="D2722" s="37"/>
      <c r="E2722" s="37"/>
      <c r="F2722" s="37"/>
      <c r="G2722" s="37"/>
    </row>
    <row r="2723" spans="1:7">
      <c r="A2723" s="37"/>
      <c r="B2723" s="37"/>
      <c r="C2723" s="37"/>
      <c r="D2723" s="37"/>
      <c r="E2723" s="37"/>
      <c r="F2723" s="37"/>
      <c r="G2723" s="37"/>
    </row>
    <row r="2724" spans="1:7">
      <c r="A2724" s="37"/>
      <c r="B2724" s="37"/>
      <c r="C2724" s="37"/>
      <c r="D2724" s="37"/>
      <c r="E2724" s="37"/>
      <c r="F2724" s="37"/>
      <c r="G2724" s="37"/>
    </row>
    <row r="2725" spans="1:7">
      <c r="A2725" s="37"/>
      <c r="B2725" s="37"/>
      <c r="C2725" s="37"/>
      <c r="D2725" s="37"/>
      <c r="E2725" s="37"/>
      <c r="F2725" s="37"/>
      <c r="G2725" s="37"/>
    </row>
    <row r="2726" spans="1:7">
      <c r="A2726" s="37"/>
      <c r="B2726" s="37"/>
      <c r="C2726" s="37"/>
      <c r="D2726" s="37"/>
      <c r="E2726" s="37"/>
      <c r="F2726" s="37"/>
      <c r="G2726" s="37"/>
    </row>
    <row r="2727" spans="1:7">
      <c r="A2727" s="37"/>
      <c r="B2727" s="37"/>
      <c r="C2727" s="37"/>
      <c r="D2727" s="37"/>
      <c r="E2727" s="37"/>
      <c r="F2727" s="37"/>
      <c r="G2727" s="37"/>
    </row>
    <row r="2728" spans="1:7">
      <c r="A2728" s="37"/>
      <c r="B2728" s="37"/>
      <c r="C2728" s="37"/>
      <c r="D2728" s="37"/>
      <c r="E2728" s="37"/>
      <c r="F2728" s="37"/>
      <c r="G2728" s="37"/>
    </row>
    <row r="2729" spans="1:7">
      <c r="A2729" s="37"/>
      <c r="B2729" s="37"/>
      <c r="C2729" s="37"/>
      <c r="D2729" s="37"/>
      <c r="E2729" s="37"/>
      <c r="F2729" s="37"/>
      <c r="G2729" s="37"/>
    </row>
    <row r="2730" spans="1:7">
      <c r="A2730" s="37"/>
      <c r="B2730" s="37"/>
      <c r="C2730" s="37"/>
      <c r="D2730" s="37"/>
      <c r="E2730" s="37"/>
      <c r="F2730" s="37"/>
      <c r="G2730" s="37"/>
    </row>
    <row r="2731" spans="1:7">
      <c r="A2731" s="37"/>
      <c r="B2731" s="37"/>
      <c r="C2731" s="37"/>
      <c r="D2731" s="37"/>
      <c r="E2731" s="37"/>
      <c r="F2731" s="37"/>
      <c r="G2731" s="37"/>
    </row>
    <row r="2732" spans="1:7">
      <c r="A2732" s="37"/>
      <c r="B2732" s="37"/>
      <c r="C2732" s="37"/>
      <c r="D2732" s="37"/>
      <c r="E2732" s="37"/>
      <c r="F2732" s="37"/>
      <c r="G2732" s="37"/>
    </row>
    <row r="2733" spans="1:7">
      <c r="A2733" s="37"/>
      <c r="B2733" s="37"/>
      <c r="C2733" s="37"/>
      <c r="D2733" s="37"/>
      <c r="E2733" s="37"/>
      <c r="F2733" s="37"/>
      <c r="G2733" s="37"/>
    </row>
    <row r="2734" spans="1:7">
      <c r="A2734" s="37"/>
      <c r="B2734" s="37"/>
      <c r="C2734" s="37"/>
      <c r="D2734" s="37"/>
      <c r="E2734" s="37"/>
      <c r="F2734" s="37"/>
      <c r="G2734" s="37"/>
    </row>
    <row r="2735" spans="1:7">
      <c r="A2735" s="37"/>
      <c r="B2735" s="37"/>
      <c r="C2735" s="37"/>
      <c r="D2735" s="37"/>
      <c r="E2735" s="37"/>
      <c r="F2735" s="37"/>
      <c r="G2735" s="37"/>
    </row>
    <row r="2736" spans="1:7">
      <c r="A2736" s="37"/>
      <c r="B2736" s="37"/>
      <c r="C2736" s="37"/>
      <c r="D2736" s="37"/>
      <c r="E2736" s="37"/>
      <c r="F2736" s="37"/>
      <c r="G2736" s="37"/>
    </row>
    <row r="2737" spans="1:7">
      <c r="A2737" s="37"/>
      <c r="B2737" s="37"/>
      <c r="C2737" s="37"/>
      <c r="D2737" s="37"/>
      <c r="E2737" s="37"/>
      <c r="F2737" s="37"/>
      <c r="G2737" s="37"/>
    </row>
    <row r="2738" spans="1:7">
      <c r="A2738" s="37"/>
      <c r="B2738" s="37"/>
      <c r="C2738" s="37"/>
      <c r="D2738" s="37"/>
      <c r="E2738" s="37"/>
      <c r="F2738" s="37"/>
      <c r="G2738" s="37"/>
    </row>
    <row r="2739" spans="1:7">
      <c r="A2739" s="37"/>
      <c r="B2739" s="37"/>
      <c r="C2739" s="37"/>
      <c r="D2739" s="37"/>
      <c r="E2739" s="37"/>
      <c r="F2739" s="37"/>
      <c r="G2739" s="37"/>
    </row>
    <row r="2740" spans="1:7">
      <c r="A2740" s="37"/>
      <c r="B2740" s="37"/>
      <c r="C2740" s="37"/>
      <c r="D2740" s="37"/>
      <c r="E2740" s="37"/>
      <c r="F2740" s="37"/>
      <c r="G2740" s="37"/>
    </row>
    <row r="2741" spans="1:7">
      <c r="A2741" s="37"/>
      <c r="B2741" s="37"/>
      <c r="C2741" s="37"/>
      <c r="D2741" s="37"/>
      <c r="E2741" s="37"/>
      <c r="F2741" s="37"/>
      <c r="G2741" s="37"/>
    </row>
    <row r="2742" spans="1:7">
      <c r="A2742" s="37"/>
      <c r="B2742" s="37"/>
      <c r="C2742" s="37"/>
      <c r="D2742" s="37"/>
      <c r="E2742" s="37"/>
      <c r="F2742" s="37"/>
      <c r="G2742" s="37"/>
    </row>
    <row r="2743" spans="1:7">
      <c r="A2743" s="37"/>
      <c r="B2743" s="37"/>
      <c r="C2743" s="37"/>
      <c r="D2743" s="37"/>
      <c r="E2743" s="37"/>
      <c r="F2743" s="37"/>
      <c r="G2743" s="37"/>
    </row>
    <row r="2744" spans="1:7">
      <c r="A2744" s="37"/>
      <c r="B2744" s="37"/>
      <c r="C2744" s="37"/>
      <c r="D2744" s="37"/>
      <c r="E2744" s="37"/>
      <c r="F2744" s="37"/>
      <c r="G2744" s="37"/>
    </row>
    <row r="2745" spans="1:7">
      <c r="A2745" s="37"/>
      <c r="B2745" s="37"/>
      <c r="C2745" s="37"/>
      <c r="D2745" s="37"/>
      <c r="E2745" s="37"/>
      <c r="F2745" s="37"/>
      <c r="G2745" s="37"/>
    </row>
    <row r="2746" spans="1:7">
      <c r="A2746" s="37"/>
      <c r="B2746" s="37"/>
      <c r="C2746" s="37"/>
      <c r="D2746" s="37"/>
      <c r="E2746" s="37"/>
      <c r="F2746" s="37"/>
      <c r="G2746" s="37"/>
    </row>
    <row r="2747" spans="1:7">
      <c r="A2747" s="37"/>
      <c r="B2747" s="37"/>
      <c r="C2747" s="37"/>
      <c r="D2747" s="37"/>
      <c r="E2747" s="37"/>
      <c r="F2747" s="37"/>
      <c r="G2747" s="37"/>
    </row>
    <row r="2748" spans="1:7">
      <c r="A2748" s="37"/>
      <c r="B2748" s="37"/>
      <c r="C2748" s="37"/>
      <c r="D2748" s="37"/>
      <c r="E2748" s="37"/>
      <c r="F2748" s="37"/>
      <c r="G2748" s="37"/>
    </row>
    <row r="2749" spans="1:7">
      <c r="A2749" s="37"/>
      <c r="B2749" s="37"/>
      <c r="C2749" s="37"/>
      <c r="D2749" s="37"/>
      <c r="E2749" s="37"/>
      <c r="F2749" s="37"/>
      <c r="G2749" s="37"/>
    </row>
    <row r="2750" spans="1:7">
      <c r="A2750" s="37"/>
      <c r="B2750" s="37"/>
      <c r="C2750" s="37"/>
      <c r="D2750" s="37"/>
      <c r="E2750" s="37"/>
      <c r="F2750" s="37"/>
      <c r="G2750" s="37"/>
    </row>
    <row r="2751" spans="1:7">
      <c r="A2751" s="37"/>
      <c r="B2751" s="37"/>
      <c r="C2751" s="37"/>
      <c r="D2751" s="37"/>
      <c r="E2751" s="37"/>
      <c r="F2751" s="37"/>
      <c r="G2751" s="37"/>
    </row>
    <row r="2752" spans="1:7">
      <c r="A2752" s="37"/>
      <c r="B2752" s="37"/>
      <c r="C2752" s="37"/>
      <c r="D2752" s="37"/>
      <c r="E2752" s="37"/>
      <c r="F2752" s="37"/>
      <c r="G2752" s="37"/>
    </row>
    <row r="2753" spans="1:7">
      <c r="A2753" s="37"/>
      <c r="B2753" s="37"/>
      <c r="C2753" s="37"/>
      <c r="D2753" s="37"/>
      <c r="E2753" s="37"/>
      <c r="F2753" s="37"/>
      <c r="G2753" s="37"/>
    </row>
    <row r="2754" spans="1:7">
      <c r="A2754" s="37"/>
      <c r="B2754" s="37"/>
      <c r="C2754" s="37"/>
      <c r="D2754" s="37"/>
      <c r="E2754" s="37"/>
      <c r="F2754" s="37"/>
      <c r="G2754" s="37"/>
    </row>
    <row r="2755" spans="1:7">
      <c r="A2755" s="37"/>
      <c r="B2755" s="37"/>
      <c r="C2755" s="37"/>
      <c r="D2755" s="37"/>
      <c r="E2755" s="37"/>
      <c r="F2755" s="37"/>
      <c r="G2755" s="37"/>
    </row>
    <row r="2756" spans="1:7">
      <c r="A2756" s="37"/>
      <c r="B2756" s="37"/>
      <c r="C2756" s="37"/>
      <c r="D2756" s="37"/>
      <c r="E2756" s="37"/>
      <c r="F2756" s="37"/>
      <c r="G2756" s="37"/>
    </row>
    <row r="2757" spans="1:7">
      <c r="A2757" s="37"/>
      <c r="B2757" s="37"/>
      <c r="C2757" s="37"/>
      <c r="D2757" s="37"/>
      <c r="E2757" s="37"/>
      <c r="F2757" s="37"/>
      <c r="G2757" s="37"/>
    </row>
    <row r="2758" spans="1:7">
      <c r="A2758" s="37"/>
      <c r="B2758" s="37"/>
      <c r="C2758" s="37"/>
      <c r="D2758" s="37"/>
      <c r="E2758" s="37"/>
      <c r="F2758" s="37"/>
      <c r="G2758" s="37"/>
    </row>
    <row r="2759" spans="1:7">
      <c r="A2759" s="37"/>
      <c r="B2759" s="37"/>
      <c r="C2759" s="37"/>
      <c r="D2759" s="37"/>
      <c r="E2759" s="37"/>
      <c r="F2759" s="37"/>
      <c r="G2759" s="37"/>
    </row>
    <row r="2760" spans="1:7">
      <c r="A2760" s="37"/>
      <c r="B2760" s="37"/>
      <c r="C2760" s="37"/>
      <c r="D2760" s="37"/>
      <c r="E2760" s="37"/>
      <c r="F2760" s="37"/>
      <c r="G2760" s="37"/>
    </row>
    <row r="2761" spans="1:7">
      <c r="A2761" s="37"/>
      <c r="B2761" s="37"/>
      <c r="C2761" s="37"/>
      <c r="D2761" s="37"/>
      <c r="E2761" s="37"/>
      <c r="F2761" s="37"/>
      <c r="G2761" s="37"/>
    </row>
    <row r="2762" spans="1:7">
      <c r="A2762" s="37"/>
      <c r="B2762" s="37"/>
      <c r="C2762" s="37"/>
      <c r="D2762" s="37"/>
      <c r="E2762" s="37"/>
      <c r="F2762" s="37"/>
      <c r="G2762" s="37"/>
    </row>
    <row r="2763" spans="1:7">
      <c r="A2763" s="37"/>
      <c r="B2763" s="37"/>
      <c r="C2763" s="37"/>
      <c r="D2763" s="37"/>
      <c r="E2763" s="37"/>
      <c r="F2763" s="37"/>
      <c r="G2763" s="37"/>
    </row>
    <row r="2764" spans="1:7">
      <c r="A2764" s="37"/>
      <c r="B2764" s="37"/>
      <c r="C2764" s="37"/>
      <c r="D2764" s="37"/>
      <c r="E2764" s="37"/>
      <c r="F2764" s="37"/>
      <c r="G2764" s="37"/>
    </row>
    <row r="2765" spans="1:7">
      <c r="A2765" s="37"/>
      <c r="B2765" s="37"/>
      <c r="C2765" s="37"/>
      <c r="D2765" s="37"/>
      <c r="E2765" s="37"/>
      <c r="F2765" s="37"/>
      <c r="G2765" s="37"/>
    </row>
    <row r="2766" spans="1:7">
      <c r="A2766" s="37"/>
      <c r="B2766" s="37"/>
      <c r="C2766" s="37"/>
      <c r="D2766" s="37"/>
      <c r="E2766" s="37"/>
      <c r="F2766" s="37"/>
      <c r="G2766" s="37"/>
    </row>
    <row r="2767" spans="1:7">
      <c r="A2767" s="37"/>
      <c r="B2767" s="37"/>
      <c r="C2767" s="37"/>
      <c r="D2767" s="37"/>
      <c r="E2767" s="37"/>
      <c r="F2767" s="37"/>
      <c r="G2767" s="37"/>
    </row>
    <row r="2768" spans="1:7">
      <c r="A2768" s="37"/>
      <c r="B2768" s="37"/>
      <c r="C2768" s="37"/>
      <c r="D2768" s="37"/>
      <c r="E2768" s="37"/>
      <c r="F2768" s="37"/>
      <c r="G2768" s="37"/>
    </row>
    <row r="2769" spans="1:7">
      <c r="A2769" s="37"/>
      <c r="B2769" s="37"/>
      <c r="C2769" s="37"/>
      <c r="D2769" s="37"/>
      <c r="E2769" s="37"/>
      <c r="F2769" s="37"/>
      <c r="G2769" s="37"/>
    </row>
    <row r="2770" spans="1:7">
      <c r="A2770" s="37"/>
      <c r="B2770" s="37"/>
      <c r="C2770" s="37"/>
      <c r="D2770" s="37"/>
      <c r="E2770" s="37"/>
      <c r="F2770" s="37"/>
      <c r="G2770" s="37"/>
    </row>
    <row r="2771" spans="1:7">
      <c r="A2771" s="37"/>
      <c r="B2771" s="37"/>
      <c r="C2771" s="37"/>
      <c r="D2771" s="37"/>
      <c r="E2771" s="37"/>
      <c r="F2771" s="37"/>
      <c r="G2771" s="37"/>
    </row>
    <row r="2772" spans="1:7">
      <c r="A2772" s="37"/>
      <c r="B2772" s="37"/>
      <c r="C2772" s="37"/>
      <c r="D2772" s="37"/>
      <c r="E2772" s="37"/>
      <c r="F2772" s="37"/>
      <c r="G2772" s="37"/>
    </row>
    <row r="2773" spans="1:7">
      <c r="A2773" s="37"/>
      <c r="B2773" s="37"/>
      <c r="C2773" s="37"/>
      <c r="D2773" s="37"/>
      <c r="E2773" s="37"/>
      <c r="F2773" s="37"/>
      <c r="G2773" s="37"/>
    </row>
    <row r="2774" spans="1:7">
      <c r="A2774" s="37"/>
      <c r="B2774" s="37"/>
      <c r="C2774" s="37"/>
      <c r="D2774" s="37"/>
      <c r="E2774" s="37"/>
      <c r="F2774" s="37"/>
      <c r="G2774" s="37"/>
    </row>
    <row r="2775" spans="1:7">
      <c r="A2775" s="37"/>
      <c r="B2775" s="37"/>
      <c r="C2775" s="37"/>
      <c r="D2775" s="37"/>
      <c r="E2775" s="37"/>
      <c r="F2775" s="37"/>
      <c r="G2775" s="37"/>
    </row>
    <row r="2776" spans="1:7">
      <c r="A2776" s="37"/>
      <c r="B2776" s="37"/>
      <c r="C2776" s="37"/>
      <c r="D2776" s="37"/>
      <c r="E2776" s="37"/>
      <c r="F2776" s="37"/>
      <c r="G2776" s="37"/>
    </row>
    <row r="2777" spans="1:7">
      <c r="A2777" s="37"/>
      <c r="B2777" s="37"/>
      <c r="C2777" s="37"/>
      <c r="D2777" s="37"/>
      <c r="E2777" s="37"/>
      <c r="F2777" s="37"/>
      <c r="G2777" s="37"/>
    </row>
    <row r="2778" spans="1:7">
      <c r="A2778" s="37"/>
      <c r="B2778" s="37"/>
      <c r="C2778" s="37"/>
      <c r="D2778" s="37"/>
      <c r="E2778" s="37"/>
      <c r="F2778" s="37"/>
      <c r="G2778" s="37"/>
    </row>
    <row r="2779" spans="1:7">
      <c r="A2779" s="37"/>
      <c r="B2779" s="37"/>
      <c r="C2779" s="37"/>
      <c r="D2779" s="37"/>
      <c r="E2779" s="37"/>
      <c r="F2779" s="37"/>
      <c r="G2779" s="37"/>
    </row>
    <row r="2780" spans="1:7">
      <c r="A2780" s="37"/>
      <c r="B2780" s="37"/>
      <c r="C2780" s="37"/>
      <c r="D2780" s="37"/>
      <c r="E2780" s="37"/>
      <c r="F2780" s="37"/>
      <c r="G2780" s="37"/>
    </row>
    <row r="2781" spans="1:7">
      <c r="A2781" s="37"/>
      <c r="B2781" s="37"/>
      <c r="C2781" s="37"/>
      <c r="D2781" s="37"/>
      <c r="E2781" s="37"/>
      <c r="F2781" s="37"/>
      <c r="G2781" s="37"/>
    </row>
    <row r="2782" spans="1:7">
      <c r="A2782" s="37"/>
      <c r="B2782" s="37"/>
      <c r="C2782" s="37"/>
      <c r="D2782" s="37"/>
      <c r="E2782" s="37"/>
      <c r="F2782" s="37"/>
      <c r="G2782" s="37"/>
    </row>
    <row r="2783" spans="1:7">
      <c r="A2783" s="37"/>
      <c r="B2783" s="37"/>
      <c r="C2783" s="37"/>
      <c r="D2783" s="37"/>
      <c r="E2783" s="37"/>
      <c r="F2783" s="37"/>
      <c r="G2783" s="37"/>
    </row>
    <row r="2784" spans="1:7">
      <c r="A2784" s="37"/>
      <c r="B2784" s="37"/>
      <c r="C2784" s="37"/>
      <c r="D2784" s="37"/>
      <c r="E2784" s="37"/>
      <c r="F2784" s="37"/>
      <c r="G2784" s="37"/>
    </row>
    <row r="2785" spans="1:7">
      <c r="A2785" s="37"/>
      <c r="B2785" s="37"/>
      <c r="C2785" s="37"/>
      <c r="D2785" s="37"/>
      <c r="E2785" s="37"/>
      <c r="F2785" s="37"/>
      <c r="G2785" s="37"/>
    </row>
    <row r="2786" spans="1:7">
      <c r="A2786" s="37"/>
      <c r="B2786" s="37"/>
      <c r="C2786" s="37"/>
      <c r="D2786" s="37"/>
      <c r="E2786" s="37"/>
      <c r="F2786" s="37"/>
      <c r="G2786" s="37"/>
    </row>
    <row r="2787" spans="1:7">
      <c r="A2787" s="37"/>
      <c r="B2787" s="37"/>
      <c r="C2787" s="37"/>
      <c r="D2787" s="37"/>
      <c r="E2787" s="37"/>
      <c r="F2787" s="37"/>
      <c r="G2787" s="37"/>
    </row>
    <row r="2788" spans="1:7">
      <c r="A2788" s="37"/>
      <c r="B2788" s="37"/>
      <c r="C2788" s="37"/>
      <c r="D2788" s="37"/>
      <c r="E2788" s="37"/>
      <c r="F2788" s="37"/>
      <c r="G2788" s="37"/>
    </row>
    <row r="2789" spans="1:7">
      <c r="A2789" s="37"/>
      <c r="B2789" s="37"/>
      <c r="C2789" s="37"/>
      <c r="D2789" s="37"/>
      <c r="E2789" s="37"/>
      <c r="F2789" s="37"/>
      <c r="G2789" s="37"/>
    </row>
    <row r="2790" spans="1:7">
      <c r="A2790" s="37"/>
      <c r="B2790" s="37"/>
      <c r="C2790" s="37"/>
      <c r="D2790" s="37"/>
      <c r="E2790" s="37"/>
      <c r="F2790" s="37"/>
      <c r="G2790" s="37"/>
    </row>
    <row r="2791" spans="1:7">
      <c r="A2791" s="37"/>
      <c r="B2791" s="37"/>
      <c r="C2791" s="37"/>
      <c r="D2791" s="37"/>
      <c r="E2791" s="37"/>
      <c r="F2791" s="37"/>
      <c r="G2791" s="37"/>
    </row>
    <row r="2792" spans="1:7">
      <c r="A2792" s="37"/>
      <c r="B2792" s="37"/>
      <c r="C2792" s="37"/>
      <c r="D2792" s="37"/>
      <c r="E2792" s="37"/>
      <c r="F2792" s="37"/>
      <c r="G2792" s="37"/>
    </row>
    <row r="2793" spans="1:7">
      <c r="A2793" s="37"/>
      <c r="B2793" s="37"/>
      <c r="C2793" s="37"/>
      <c r="D2793" s="37"/>
      <c r="E2793" s="37"/>
      <c r="F2793" s="37"/>
      <c r="G2793" s="37"/>
    </row>
    <row r="2794" spans="1:7">
      <c r="A2794" s="37"/>
      <c r="B2794" s="37"/>
      <c r="C2794" s="37"/>
      <c r="D2794" s="37"/>
      <c r="E2794" s="37"/>
      <c r="F2794" s="37"/>
      <c r="G2794" s="37"/>
    </row>
    <row r="2795" spans="1:7">
      <c r="A2795" s="37"/>
      <c r="B2795" s="37"/>
      <c r="C2795" s="37"/>
      <c r="D2795" s="37"/>
      <c r="E2795" s="37"/>
      <c r="F2795" s="37"/>
      <c r="G2795" s="37"/>
    </row>
    <row r="2796" spans="1:7">
      <c r="A2796" s="37"/>
      <c r="B2796" s="37"/>
      <c r="C2796" s="37"/>
      <c r="D2796" s="37"/>
      <c r="E2796" s="37"/>
      <c r="F2796" s="37"/>
      <c r="G2796" s="37"/>
    </row>
    <row r="2797" spans="1:7">
      <c r="A2797" s="37"/>
      <c r="B2797" s="37"/>
      <c r="C2797" s="37"/>
      <c r="D2797" s="37"/>
      <c r="E2797" s="37"/>
      <c r="F2797" s="37"/>
      <c r="G2797" s="37"/>
    </row>
    <row r="2798" spans="1:7">
      <c r="A2798" s="37"/>
      <c r="B2798" s="37"/>
      <c r="C2798" s="37"/>
      <c r="D2798" s="37"/>
      <c r="E2798" s="37"/>
      <c r="F2798" s="37"/>
      <c r="G2798" s="37"/>
    </row>
    <row r="2799" spans="1:7">
      <c r="A2799" s="37"/>
      <c r="B2799" s="37"/>
      <c r="C2799" s="37"/>
      <c r="D2799" s="37"/>
      <c r="E2799" s="37"/>
      <c r="F2799" s="37"/>
      <c r="G2799" s="37"/>
    </row>
    <row r="2800" spans="1:7">
      <c r="A2800" s="37"/>
      <c r="B2800" s="37"/>
      <c r="C2800" s="37"/>
      <c r="D2800" s="37"/>
      <c r="E2800" s="37"/>
      <c r="F2800" s="37"/>
      <c r="G2800" s="37"/>
    </row>
    <row r="2801" spans="1:7">
      <c r="A2801" s="37"/>
      <c r="B2801" s="37"/>
      <c r="C2801" s="37"/>
      <c r="D2801" s="37"/>
      <c r="E2801" s="37"/>
      <c r="F2801" s="37"/>
      <c r="G2801" s="37"/>
    </row>
    <row r="2802" spans="1:7">
      <c r="A2802" s="37"/>
      <c r="B2802" s="37"/>
      <c r="C2802" s="37"/>
      <c r="D2802" s="37"/>
      <c r="E2802" s="37"/>
      <c r="F2802" s="37"/>
      <c r="G2802" s="37"/>
    </row>
    <row r="2803" spans="1:7">
      <c r="A2803" s="37"/>
      <c r="B2803" s="37"/>
      <c r="C2803" s="37"/>
      <c r="D2803" s="37"/>
      <c r="E2803" s="37"/>
      <c r="F2803" s="37"/>
      <c r="G2803" s="37"/>
    </row>
    <row r="2804" spans="1:7">
      <c r="A2804" s="37"/>
      <c r="B2804" s="37"/>
      <c r="C2804" s="37"/>
      <c r="D2804" s="37"/>
      <c r="E2804" s="37"/>
      <c r="F2804" s="37"/>
      <c r="G2804" s="37"/>
    </row>
    <row r="2805" spans="1:7">
      <c r="A2805" s="37"/>
      <c r="B2805" s="37"/>
      <c r="C2805" s="37"/>
      <c r="D2805" s="37"/>
      <c r="E2805" s="37"/>
      <c r="F2805" s="37"/>
      <c r="G2805" s="37"/>
    </row>
    <row r="2806" spans="1:7">
      <c r="A2806" s="37"/>
      <c r="B2806" s="37"/>
      <c r="C2806" s="37"/>
      <c r="D2806" s="37"/>
      <c r="E2806" s="37"/>
      <c r="F2806" s="37"/>
      <c r="G2806" s="37"/>
    </row>
    <row r="2807" spans="1:7">
      <c r="A2807" s="37"/>
      <c r="B2807" s="37"/>
      <c r="C2807" s="37"/>
      <c r="D2807" s="37"/>
      <c r="E2807" s="37"/>
      <c r="F2807" s="37"/>
      <c r="G2807" s="37"/>
    </row>
    <row r="2808" spans="1:7">
      <c r="A2808" s="37"/>
      <c r="B2808" s="37"/>
      <c r="C2808" s="37"/>
      <c r="D2808" s="37"/>
      <c r="E2808" s="37"/>
      <c r="F2808" s="37"/>
      <c r="G2808" s="37"/>
    </row>
    <row r="2809" spans="1:7">
      <c r="A2809" s="37"/>
      <c r="B2809" s="37"/>
      <c r="C2809" s="37"/>
      <c r="D2809" s="37"/>
      <c r="E2809" s="37"/>
      <c r="F2809" s="37"/>
      <c r="G2809" s="37"/>
    </row>
    <row r="2810" spans="1:7">
      <c r="A2810" s="37"/>
      <c r="B2810" s="37"/>
      <c r="C2810" s="37"/>
      <c r="D2810" s="37"/>
      <c r="E2810" s="37"/>
      <c r="F2810" s="37"/>
      <c r="G2810" s="37"/>
    </row>
    <row r="2811" spans="1:7">
      <c r="A2811" s="37"/>
      <c r="B2811" s="37"/>
      <c r="C2811" s="37"/>
      <c r="D2811" s="37"/>
      <c r="E2811" s="37"/>
      <c r="F2811" s="37"/>
      <c r="G2811" s="37"/>
    </row>
    <row r="2812" spans="1:7">
      <c r="A2812" s="37"/>
      <c r="B2812" s="37"/>
      <c r="C2812" s="37"/>
      <c r="D2812" s="37"/>
      <c r="E2812" s="37"/>
      <c r="F2812" s="37"/>
      <c r="G2812" s="37"/>
    </row>
    <row r="2813" spans="1:7">
      <c r="A2813" s="37"/>
      <c r="B2813" s="37"/>
      <c r="C2813" s="37"/>
      <c r="D2813" s="37"/>
      <c r="E2813" s="37"/>
      <c r="F2813" s="37"/>
      <c r="G2813" s="37"/>
    </row>
    <row r="2814" spans="1:7">
      <c r="A2814" s="37"/>
      <c r="B2814" s="37"/>
      <c r="C2814" s="37"/>
      <c r="D2814" s="37"/>
      <c r="E2814" s="37"/>
      <c r="F2814" s="37"/>
      <c r="G2814" s="37"/>
    </row>
    <row r="2815" spans="1:7">
      <c r="A2815" s="37"/>
      <c r="B2815" s="37"/>
      <c r="C2815" s="37"/>
      <c r="D2815" s="37"/>
      <c r="E2815" s="37"/>
      <c r="F2815" s="37"/>
      <c r="G2815" s="37"/>
    </row>
    <row r="2816" spans="1:7">
      <c r="A2816" s="37"/>
      <c r="B2816" s="37"/>
      <c r="C2816" s="37"/>
      <c r="D2816" s="37"/>
      <c r="E2816" s="37"/>
      <c r="F2816" s="37"/>
      <c r="G2816" s="37"/>
    </row>
    <row r="2817" spans="1:7">
      <c r="A2817" s="37"/>
      <c r="B2817" s="37"/>
      <c r="C2817" s="37"/>
      <c r="D2817" s="37"/>
      <c r="E2817" s="37"/>
      <c r="F2817" s="37"/>
      <c r="G2817" s="37"/>
    </row>
    <row r="2818" spans="1:7">
      <c r="A2818" s="37"/>
      <c r="B2818" s="37"/>
      <c r="C2818" s="37"/>
      <c r="D2818" s="37"/>
      <c r="E2818" s="37"/>
      <c r="F2818" s="37"/>
      <c r="G2818" s="37"/>
    </row>
    <row r="2819" spans="1:7">
      <c r="A2819" s="37"/>
      <c r="B2819" s="37"/>
      <c r="C2819" s="37"/>
      <c r="D2819" s="37"/>
      <c r="E2819" s="37"/>
      <c r="F2819" s="37"/>
      <c r="G2819" s="37"/>
    </row>
    <row r="2820" spans="1:7">
      <c r="A2820" s="37"/>
      <c r="B2820" s="37"/>
      <c r="C2820" s="37"/>
      <c r="D2820" s="37"/>
      <c r="E2820" s="37"/>
      <c r="F2820" s="37"/>
      <c r="G2820" s="37"/>
    </row>
    <row r="2821" spans="1:7">
      <c r="A2821" s="37"/>
      <c r="B2821" s="37"/>
      <c r="C2821" s="37"/>
      <c r="D2821" s="37"/>
      <c r="E2821" s="37"/>
      <c r="F2821" s="37"/>
      <c r="G2821" s="37"/>
    </row>
    <row r="2822" spans="1:7">
      <c r="A2822" s="37"/>
      <c r="B2822" s="37"/>
      <c r="C2822" s="37"/>
      <c r="D2822" s="37"/>
      <c r="E2822" s="37"/>
      <c r="F2822" s="37"/>
      <c r="G2822" s="37"/>
    </row>
    <row r="2823" spans="1:7">
      <c r="A2823" s="37"/>
      <c r="B2823" s="37"/>
      <c r="C2823" s="37"/>
      <c r="D2823" s="37"/>
      <c r="E2823" s="37"/>
      <c r="F2823" s="37"/>
      <c r="G2823" s="37"/>
    </row>
    <row r="2824" spans="1:7">
      <c r="A2824" s="37"/>
      <c r="B2824" s="37"/>
      <c r="C2824" s="37"/>
      <c r="D2824" s="37"/>
      <c r="E2824" s="37"/>
      <c r="F2824" s="37"/>
      <c r="G2824" s="37"/>
    </row>
    <row r="2825" spans="1:7">
      <c r="A2825" s="37"/>
      <c r="B2825" s="37"/>
      <c r="C2825" s="37"/>
      <c r="D2825" s="37"/>
      <c r="E2825" s="37"/>
      <c r="F2825" s="37"/>
      <c r="G2825" s="37"/>
    </row>
    <row r="2826" spans="1:7">
      <c r="A2826" s="37"/>
      <c r="B2826" s="37"/>
      <c r="C2826" s="37"/>
      <c r="D2826" s="37"/>
      <c r="E2826" s="37"/>
      <c r="F2826" s="37"/>
      <c r="G2826" s="37"/>
    </row>
    <row r="2827" spans="1:7">
      <c r="A2827" s="37"/>
      <c r="B2827" s="37"/>
      <c r="C2827" s="37"/>
      <c r="D2827" s="37"/>
      <c r="E2827" s="37"/>
      <c r="F2827" s="37"/>
      <c r="G2827" s="37"/>
    </row>
    <row r="2828" spans="1:7">
      <c r="A2828" s="37"/>
      <c r="B2828" s="37"/>
      <c r="C2828" s="37"/>
      <c r="D2828" s="37"/>
      <c r="E2828" s="37"/>
      <c r="F2828" s="37"/>
      <c r="G2828" s="37"/>
    </row>
    <row r="2829" spans="1:7">
      <c r="A2829" s="37"/>
      <c r="B2829" s="37"/>
      <c r="C2829" s="37"/>
      <c r="D2829" s="37"/>
      <c r="E2829" s="37"/>
      <c r="F2829" s="37"/>
      <c r="G2829" s="37"/>
    </row>
    <row r="2830" spans="1:7">
      <c r="A2830" s="37"/>
      <c r="B2830" s="37"/>
      <c r="C2830" s="37"/>
      <c r="D2830" s="37"/>
      <c r="E2830" s="37"/>
      <c r="F2830" s="37"/>
      <c r="G2830" s="37"/>
    </row>
    <row r="2831" spans="1:7">
      <c r="A2831" s="37"/>
      <c r="B2831" s="37"/>
      <c r="C2831" s="37"/>
      <c r="D2831" s="37"/>
      <c r="E2831" s="37"/>
      <c r="F2831" s="37"/>
      <c r="G2831" s="37"/>
    </row>
    <row r="2832" spans="1:7">
      <c r="A2832" s="37"/>
      <c r="B2832" s="37"/>
      <c r="C2832" s="37"/>
      <c r="D2832" s="37"/>
      <c r="E2832" s="37"/>
      <c r="F2832" s="37"/>
      <c r="G2832" s="37"/>
    </row>
    <row r="2833" spans="1:7">
      <c r="A2833" s="37"/>
      <c r="B2833" s="37"/>
      <c r="C2833" s="37"/>
      <c r="D2833" s="37"/>
      <c r="E2833" s="37"/>
      <c r="F2833" s="37"/>
      <c r="G2833" s="37"/>
    </row>
    <row r="2834" spans="1:7">
      <c r="A2834" s="37"/>
      <c r="B2834" s="37"/>
      <c r="C2834" s="37"/>
      <c r="D2834" s="37"/>
      <c r="E2834" s="37"/>
      <c r="F2834" s="37"/>
      <c r="G2834" s="37"/>
    </row>
    <row r="2835" spans="1:7">
      <c r="A2835" s="37"/>
      <c r="B2835" s="37"/>
      <c r="C2835" s="37"/>
      <c r="D2835" s="37"/>
      <c r="E2835" s="37"/>
      <c r="F2835" s="37"/>
      <c r="G2835" s="37"/>
    </row>
    <row r="2836" spans="1:7">
      <c r="A2836" s="37"/>
      <c r="B2836" s="37"/>
      <c r="C2836" s="37"/>
      <c r="D2836" s="37"/>
      <c r="E2836" s="37"/>
      <c r="F2836" s="37"/>
      <c r="G2836" s="37"/>
    </row>
    <row r="2837" spans="1:7">
      <c r="A2837" s="37"/>
      <c r="B2837" s="37"/>
      <c r="C2837" s="37"/>
      <c r="D2837" s="37"/>
      <c r="E2837" s="37"/>
      <c r="F2837" s="37"/>
      <c r="G2837" s="37"/>
    </row>
    <row r="2838" spans="1:7">
      <c r="A2838" s="37"/>
      <c r="B2838" s="37"/>
      <c r="C2838" s="37"/>
      <c r="D2838" s="37"/>
      <c r="E2838" s="37"/>
      <c r="F2838" s="37"/>
      <c r="G2838" s="37"/>
    </row>
    <row r="2839" spans="1:7">
      <c r="A2839" s="37"/>
      <c r="B2839" s="37"/>
      <c r="C2839" s="37"/>
      <c r="D2839" s="37"/>
      <c r="E2839" s="37"/>
      <c r="F2839" s="37"/>
      <c r="G2839" s="37"/>
    </row>
    <row r="2840" spans="1:7">
      <c r="A2840" s="37"/>
      <c r="B2840" s="37"/>
      <c r="C2840" s="37"/>
      <c r="D2840" s="37"/>
      <c r="E2840" s="37"/>
      <c r="F2840" s="37"/>
      <c r="G2840" s="37"/>
    </row>
    <row r="2841" spans="1:7">
      <c r="A2841" s="37"/>
      <c r="B2841" s="37"/>
      <c r="C2841" s="37"/>
      <c r="D2841" s="37"/>
      <c r="E2841" s="37"/>
      <c r="F2841" s="37"/>
      <c r="G2841" s="37"/>
    </row>
    <row r="2842" spans="1:7">
      <c r="A2842" s="37"/>
      <c r="B2842" s="37"/>
      <c r="C2842" s="37"/>
      <c r="D2842" s="37"/>
      <c r="E2842" s="37"/>
      <c r="F2842" s="37"/>
      <c r="G2842" s="37"/>
    </row>
    <row r="2843" spans="1:7">
      <c r="A2843" s="37"/>
      <c r="B2843" s="37"/>
      <c r="C2843" s="37"/>
      <c r="D2843" s="37"/>
      <c r="E2843" s="37"/>
      <c r="F2843" s="37"/>
      <c r="G2843" s="37"/>
    </row>
    <row r="2844" spans="1:7">
      <c r="A2844" s="37"/>
      <c r="B2844" s="37"/>
      <c r="C2844" s="37"/>
      <c r="D2844" s="37"/>
      <c r="E2844" s="37"/>
      <c r="F2844" s="37"/>
      <c r="G2844" s="37"/>
    </row>
    <row r="2845" spans="1:7">
      <c r="A2845" s="37"/>
      <c r="B2845" s="37"/>
      <c r="C2845" s="37"/>
      <c r="D2845" s="37"/>
      <c r="E2845" s="37"/>
      <c r="F2845" s="37"/>
      <c r="G2845" s="37"/>
    </row>
    <row r="2846" spans="1:7">
      <c r="A2846" s="37"/>
      <c r="B2846" s="37"/>
      <c r="C2846" s="37"/>
      <c r="D2846" s="37"/>
      <c r="E2846" s="37"/>
      <c r="F2846" s="37"/>
      <c r="G2846" s="37"/>
    </row>
    <row r="2847" spans="1:7">
      <c r="A2847" s="37"/>
      <c r="B2847" s="37"/>
      <c r="C2847" s="37"/>
      <c r="D2847" s="37"/>
      <c r="E2847" s="37"/>
      <c r="F2847" s="37"/>
      <c r="G2847" s="37"/>
    </row>
    <row r="2848" spans="1:7">
      <c r="A2848" s="37"/>
      <c r="B2848" s="37"/>
      <c r="C2848" s="37"/>
      <c r="D2848" s="37"/>
      <c r="E2848" s="37"/>
      <c r="F2848" s="37"/>
      <c r="G2848" s="37"/>
    </row>
    <row r="2849" spans="1:7">
      <c r="A2849" s="37"/>
      <c r="B2849" s="37"/>
      <c r="C2849" s="37"/>
      <c r="D2849" s="37"/>
      <c r="E2849" s="37"/>
      <c r="F2849" s="37"/>
      <c r="G2849" s="37"/>
    </row>
    <row r="2850" spans="1:7">
      <c r="A2850" s="37"/>
      <c r="B2850" s="37"/>
      <c r="C2850" s="37"/>
      <c r="D2850" s="37"/>
      <c r="E2850" s="37"/>
      <c r="F2850" s="37"/>
      <c r="G2850" s="37"/>
    </row>
    <row r="2851" spans="1:7">
      <c r="A2851" s="37"/>
      <c r="B2851" s="37"/>
      <c r="C2851" s="37"/>
      <c r="D2851" s="37"/>
      <c r="E2851" s="37"/>
      <c r="F2851" s="37"/>
      <c r="G2851" s="37"/>
    </row>
    <row r="2852" spans="1:7">
      <c r="A2852" s="37"/>
      <c r="B2852" s="37"/>
      <c r="C2852" s="37"/>
      <c r="D2852" s="37"/>
      <c r="E2852" s="37"/>
      <c r="F2852" s="37"/>
      <c r="G2852" s="37"/>
    </row>
    <row r="2853" spans="1:7">
      <c r="A2853" s="37"/>
      <c r="B2853" s="37"/>
      <c r="C2853" s="37"/>
      <c r="D2853" s="37"/>
      <c r="E2853" s="37"/>
      <c r="F2853" s="37"/>
      <c r="G2853" s="37"/>
    </row>
    <row r="2854" spans="1:7">
      <c r="A2854" s="37"/>
      <c r="B2854" s="37"/>
      <c r="C2854" s="37"/>
      <c r="D2854" s="37"/>
      <c r="E2854" s="37"/>
      <c r="F2854" s="37"/>
      <c r="G2854" s="37"/>
    </row>
    <row r="2855" spans="1:7">
      <c r="A2855" s="37"/>
      <c r="B2855" s="37"/>
      <c r="C2855" s="37"/>
      <c r="D2855" s="37"/>
      <c r="E2855" s="37"/>
      <c r="F2855" s="37"/>
      <c r="G2855" s="37"/>
    </row>
    <row r="2856" spans="1:7">
      <c r="A2856" s="37"/>
      <c r="B2856" s="37"/>
      <c r="C2856" s="37"/>
      <c r="D2856" s="37"/>
      <c r="E2856" s="37"/>
      <c r="F2856" s="37"/>
      <c r="G2856" s="37"/>
    </row>
    <row r="2857" spans="1:7">
      <c r="A2857" s="37"/>
      <c r="B2857" s="37"/>
      <c r="C2857" s="37"/>
      <c r="D2857" s="37"/>
      <c r="E2857" s="37"/>
      <c r="F2857" s="37"/>
      <c r="G2857" s="37"/>
    </row>
    <row r="2858" spans="1:7">
      <c r="A2858" s="37"/>
      <c r="B2858" s="37"/>
      <c r="C2858" s="37"/>
      <c r="D2858" s="37"/>
      <c r="E2858" s="37"/>
      <c r="F2858" s="37"/>
      <c r="G2858" s="37"/>
    </row>
    <row r="2859" spans="1:7">
      <c r="A2859" s="37"/>
      <c r="B2859" s="37"/>
      <c r="C2859" s="37"/>
      <c r="D2859" s="37"/>
      <c r="E2859" s="37"/>
      <c r="F2859" s="37"/>
      <c r="G2859" s="37"/>
    </row>
    <row r="2860" spans="1:7">
      <c r="A2860" s="37"/>
      <c r="B2860" s="37"/>
      <c r="C2860" s="37"/>
      <c r="D2860" s="37"/>
      <c r="E2860" s="37"/>
      <c r="F2860" s="37"/>
      <c r="G2860" s="37"/>
    </row>
    <row r="2861" spans="1:7">
      <c r="A2861" s="37"/>
      <c r="B2861" s="37"/>
      <c r="C2861" s="37"/>
      <c r="D2861" s="37"/>
      <c r="E2861" s="37"/>
      <c r="F2861" s="37"/>
      <c r="G2861" s="37"/>
    </row>
    <row r="2862" spans="1:7">
      <c r="A2862" s="37"/>
      <c r="B2862" s="37"/>
      <c r="C2862" s="37"/>
      <c r="D2862" s="37"/>
      <c r="E2862" s="37"/>
      <c r="F2862" s="37"/>
      <c r="G2862" s="37"/>
    </row>
    <row r="2863" spans="1:7">
      <c r="A2863" s="37"/>
      <c r="B2863" s="37"/>
      <c r="C2863" s="37"/>
      <c r="D2863" s="37"/>
      <c r="E2863" s="37"/>
      <c r="F2863" s="37"/>
      <c r="G2863" s="37"/>
    </row>
    <row r="2864" spans="1:7">
      <c r="A2864" s="37"/>
      <c r="B2864" s="37"/>
      <c r="C2864" s="37"/>
      <c r="D2864" s="37"/>
      <c r="E2864" s="37"/>
      <c r="F2864" s="37"/>
      <c r="G2864" s="37"/>
    </row>
    <row r="2865" spans="1:7">
      <c r="A2865" s="37"/>
      <c r="B2865" s="37"/>
      <c r="C2865" s="37"/>
      <c r="D2865" s="37"/>
      <c r="E2865" s="37"/>
      <c r="F2865" s="37"/>
      <c r="G2865" s="37"/>
    </row>
    <row r="2866" spans="1:7">
      <c r="A2866" s="37"/>
      <c r="B2866" s="37"/>
      <c r="C2866" s="37"/>
      <c r="D2866" s="37"/>
      <c r="E2866" s="37"/>
      <c r="F2866" s="37"/>
      <c r="G2866" s="37"/>
    </row>
    <row r="2867" spans="1:7">
      <c r="A2867" s="37"/>
      <c r="B2867" s="37"/>
      <c r="C2867" s="37"/>
      <c r="D2867" s="37"/>
      <c r="E2867" s="37"/>
      <c r="F2867" s="37"/>
      <c r="G2867" s="37"/>
    </row>
    <row r="2868" spans="1:7">
      <c r="A2868" s="37"/>
      <c r="B2868" s="37"/>
      <c r="C2868" s="37"/>
      <c r="D2868" s="37"/>
      <c r="E2868" s="37"/>
      <c r="F2868" s="37"/>
      <c r="G2868" s="37"/>
    </row>
    <row r="2869" spans="1:7">
      <c r="A2869" s="37"/>
      <c r="B2869" s="37"/>
      <c r="C2869" s="37"/>
      <c r="D2869" s="37"/>
      <c r="E2869" s="37"/>
      <c r="F2869" s="37"/>
      <c r="G2869" s="37"/>
    </row>
    <row r="2870" spans="1:7">
      <c r="A2870" s="37"/>
      <c r="B2870" s="37"/>
      <c r="C2870" s="37"/>
      <c r="D2870" s="37"/>
      <c r="E2870" s="37"/>
      <c r="F2870" s="37"/>
      <c r="G2870" s="37"/>
    </row>
    <row r="2871" spans="1:7">
      <c r="A2871" s="37"/>
      <c r="B2871" s="37"/>
      <c r="C2871" s="37"/>
      <c r="D2871" s="37"/>
      <c r="E2871" s="37"/>
      <c r="F2871" s="37"/>
      <c r="G2871" s="37"/>
    </row>
    <row r="2872" spans="1:7">
      <c r="A2872" s="37"/>
      <c r="B2872" s="37"/>
      <c r="C2872" s="37"/>
      <c r="D2872" s="37"/>
      <c r="E2872" s="37"/>
      <c r="F2872" s="37"/>
      <c r="G2872" s="37"/>
    </row>
    <row r="2873" spans="1:7">
      <c r="A2873" s="37"/>
      <c r="B2873" s="37"/>
      <c r="C2873" s="37"/>
      <c r="D2873" s="37"/>
      <c r="E2873" s="37"/>
      <c r="F2873" s="37"/>
      <c r="G2873" s="37"/>
    </row>
    <row r="2874" spans="1:7">
      <c r="A2874" s="37"/>
      <c r="B2874" s="37"/>
      <c r="C2874" s="37"/>
      <c r="D2874" s="37"/>
      <c r="E2874" s="37"/>
      <c r="F2874" s="37"/>
      <c r="G2874" s="37"/>
    </row>
    <row r="2875" spans="1:7">
      <c r="A2875" s="37"/>
      <c r="B2875" s="37"/>
      <c r="C2875" s="37"/>
      <c r="D2875" s="37"/>
      <c r="E2875" s="37"/>
      <c r="F2875" s="37"/>
      <c r="G2875" s="37"/>
    </row>
    <row r="2876" spans="1:7">
      <c r="A2876" s="37"/>
      <c r="B2876" s="37"/>
      <c r="C2876" s="37"/>
      <c r="D2876" s="37"/>
      <c r="E2876" s="37"/>
      <c r="F2876" s="37"/>
      <c r="G2876" s="37"/>
    </row>
    <row r="2877" spans="1:7">
      <c r="A2877" s="37"/>
      <c r="B2877" s="37"/>
      <c r="C2877" s="37"/>
      <c r="D2877" s="37"/>
      <c r="E2877" s="37"/>
      <c r="F2877" s="37"/>
      <c r="G2877" s="37"/>
    </row>
    <row r="2878" spans="1:7">
      <c r="A2878" s="37"/>
      <c r="B2878" s="37"/>
      <c r="C2878" s="37"/>
      <c r="D2878" s="37"/>
      <c r="E2878" s="37"/>
      <c r="F2878" s="37"/>
      <c r="G2878" s="37"/>
    </row>
    <row r="2879" spans="1:7">
      <c r="A2879" s="37"/>
      <c r="B2879" s="37"/>
      <c r="C2879" s="37"/>
      <c r="D2879" s="37"/>
      <c r="E2879" s="37"/>
      <c r="F2879" s="37"/>
      <c r="G2879" s="37"/>
    </row>
    <row r="2880" spans="1:7">
      <c r="A2880" s="37"/>
      <c r="B2880" s="37"/>
      <c r="C2880" s="37"/>
      <c r="D2880" s="37"/>
      <c r="E2880" s="37"/>
      <c r="F2880" s="37"/>
      <c r="G2880" s="37"/>
    </row>
    <row r="2881" spans="1:7">
      <c r="A2881" s="37"/>
      <c r="B2881" s="37"/>
      <c r="C2881" s="37"/>
      <c r="D2881" s="37"/>
      <c r="E2881" s="37"/>
      <c r="F2881" s="37"/>
      <c r="G2881" s="37"/>
    </row>
    <row r="2882" spans="1:7">
      <c r="A2882" s="37"/>
      <c r="B2882" s="37"/>
      <c r="C2882" s="37"/>
      <c r="D2882" s="37"/>
      <c r="E2882" s="37"/>
      <c r="F2882" s="37"/>
      <c r="G2882" s="37"/>
    </row>
    <row r="2883" spans="1:7">
      <c r="A2883" s="37"/>
      <c r="B2883" s="37"/>
      <c r="C2883" s="37"/>
      <c r="D2883" s="37"/>
      <c r="E2883" s="37"/>
      <c r="F2883" s="37"/>
      <c r="G2883" s="37"/>
    </row>
    <row r="2884" spans="1:7">
      <c r="A2884" s="37"/>
      <c r="B2884" s="37"/>
      <c r="C2884" s="37"/>
      <c r="D2884" s="37"/>
      <c r="E2884" s="37"/>
      <c r="F2884" s="37"/>
      <c r="G2884" s="37"/>
    </row>
    <row r="2885" spans="1:7">
      <c r="A2885" s="37"/>
      <c r="B2885" s="37"/>
      <c r="C2885" s="37"/>
      <c r="D2885" s="37"/>
      <c r="E2885" s="37"/>
      <c r="F2885" s="37"/>
      <c r="G2885" s="37"/>
    </row>
    <row r="2886" spans="1:7">
      <c r="A2886" s="37"/>
      <c r="B2886" s="37"/>
      <c r="C2886" s="37"/>
      <c r="D2886" s="37"/>
      <c r="E2886" s="37"/>
      <c r="F2886" s="37"/>
      <c r="G2886" s="37"/>
    </row>
    <row r="2887" spans="1:7">
      <c r="A2887" s="37"/>
      <c r="B2887" s="37"/>
      <c r="C2887" s="37"/>
      <c r="D2887" s="37"/>
      <c r="E2887" s="37"/>
      <c r="F2887" s="37"/>
      <c r="G2887" s="37"/>
    </row>
    <row r="2888" spans="1:7">
      <c r="A2888" s="37"/>
      <c r="B2888" s="37"/>
      <c r="C2888" s="37"/>
      <c r="D2888" s="37"/>
      <c r="E2888" s="37"/>
      <c r="F2888" s="37"/>
      <c r="G2888" s="37"/>
    </row>
    <row r="2889" spans="1:7">
      <c r="A2889" s="37"/>
      <c r="B2889" s="37"/>
      <c r="C2889" s="37"/>
      <c r="D2889" s="37"/>
      <c r="E2889" s="37"/>
      <c r="F2889" s="37"/>
      <c r="G2889" s="37"/>
    </row>
    <row r="2890" spans="1:7">
      <c r="A2890" s="37"/>
      <c r="B2890" s="37"/>
      <c r="C2890" s="37"/>
      <c r="D2890" s="37"/>
      <c r="E2890" s="37"/>
      <c r="F2890" s="37"/>
      <c r="G2890" s="37"/>
    </row>
    <row r="2891" spans="1:7">
      <c r="A2891" s="37"/>
      <c r="B2891" s="37"/>
      <c r="C2891" s="37"/>
      <c r="D2891" s="37"/>
      <c r="E2891" s="37"/>
      <c r="F2891" s="37"/>
      <c r="G2891" s="37"/>
    </row>
    <row r="2892" spans="1:7">
      <c r="A2892" s="37"/>
      <c r="B2892" s="37"/>
      <c r="C2892" s="37"/>
      <c r="D2892" s="37"/>
      <c r="E2892" s="37"/>
      <c r="F2892" s="37"/>
      <c r="G2892" s="37"/>
    </row>
    <row r="2893" spans="1:7">
      <c r="A2893" s="37"/>
      <c r="B2893" s="37"/>
      <c r="C2893" s="37"/>
      <c r="D2893" s="37"/>
      <c r="E2893" s="37"/>
      <c r="F2893" s="37"/>
      <c r="G2893" s="37"/>
    </row>
    <row r="2894" spans="1:7">
      <c r="A2894" s="37"/>
      <c r="B2894" s="37"/>
      <c r="C2894" s="37"/>
      <c r="D2894" s="37"/>
      <c r="E2894" s="37"/>
      <c r="F2894" s="37"/>
      <c r="G2894" s="37"/>
    </row>
    <row r="2895" spans="1:7">
      <c r="A2895" s="37"/>
      <c r="B2895" s="37"/>
      <c r="C2895" s="37"/>
      <c r="D2895" s="37"/>
      <c r="E2895" s="37"/>
      <c r="F2895" s="37"/>
      <c r="G2895" s="37"/>
    </row>
    <row r="2896" spans="1:7">
      <c r="A2896" s="37"/>
      <c r="B2896" s="37"/>
      <c r="C2896" s="37"/>
      <c r="D2896" s="37"/>
      <c r="E2896" s="37"/>
      <c r="F2896" s="37"/>
      <c r="G2896" s="37"/>
    </row>
    <row r="2897" spans="1:7">
      <c r="A2897" s="37"/>
      <c r="B2897" s="37"/>
      <c r="C2897" s="37"/>
      <c r="D2897" s="37"/>
      <c r="E2897" s="37"/>
      <c r="F2897" s="37"/>
      <c r="G2897" s="37"/>
    </row>
    <row r="2898" spans="1:7">
      <c r="A2898" s="37"/>
      <c r="B2898" s="37"/>
      <c r="C2898" s="37"/>
      <c r="D2898" s="37"/>
      <c r="E2898" s="37"/>
      <c r="F2898" s="37"/>
      <c r="G2898" s="37"/>
    </row>
    <row r="2899" spans="1:7">
      <c r="A2899" s="37"/>
      <c r="B2899" s="37"/>
      <c r="C2899" s="37"/>
      <c r="D2899" s="37"/>
      <c r="E2899" s="37"/>
      <c r="F2899" s="37"/>
      <c r="G2899" s="37"/>
    </row>
    <row r="2900" spans="1:7">
      <c r="A2900" s="37"/>
      <c r="B2900" s="37"/>
      <c r="C2900" s="37"/>
      <c r="D2900" s="37"/>
      <c r="E2900" s="37"/>
      <c r="F2900" s="37"/>
      <c r="G2900" s="37"/>
    </row>
    <row r="2901" spans="1:7">
      <c r="A2901" s="37"/>
      <c r="B2901" s="37"/>
      <c r="C2901" s="37"/>
      <c r="D2901" s="37"/>
      <c r="E2901" s="37"/>
      <c r="F2901" s="37"/>
      <c r="G2901" s="37"/>
    </row>
    <row r="2902" spans="1:7">
      <c r="A2902" s="37"/>
      <c r="B2902" s="37"/>
      <c r="C2902" s="37"/>
      <c r="D2902" s="37"/>
      <c r="E2902" s="37"/>
      <c r="F2902" s="37"/>
      <c r="G2902" s="37"/>
    </row>
    <row r="2903" spans="1:7">
      <c r="A2903" s="37"/>
      <c r="B2903" s="37"/>
      <c r="C2903" s="37"/>
      <c r="D2903" s="37"/>
      <c r="E2903" s="37"/>
      <c r="F2903" s="37"/>
      <c r="G2903" s="37"/>
    </row>
    <row r="2904" spans="1:7">
      <c r="A2904" s="37"/>
      <c r="B2904" s="37"/>
      <c r="C2904" s="37"/>
      <c r="D2904" s="37"/>
      <c r="E2904" s="37"/>
      <c r="F2904" s="37"/>
      <c r="G2904" s="37"/>
    </row>
    <row r="2905" spans="1:7">
      <c r="A2905" s="37"/>
      <c r="B2905" s="37"/>
      <c r="C2905" s="37"/>
      <c r="D2905" s="37"/>
      <c r="E2905" s="37"/>
      <c r="F2905" s="37"/>
      <c r="G2905" s="37"/>
    </row>
    <row r="2906" spans="1:7">
      <c r="A2906" s="37"/>
      <c r="B2906" s="37"/>
      <c r="C2906" s="37"/>
      <c r="D2906" s="37"/>
      <c r="E2906" s="37"/>
      <c r="F2906" s="37"/>
      <c r="G2906" s="37"/>
    </row>
    <row r="2907" spans="1:7">
      <c r="A2907" s="37"/>
      <c r="B2907" s="37"/>
      <c r="C2907" s="37"/>
      <c r="D2907" s="37"/>
      <c r="E2907" s="37"/>
      <c r="F2907" s="37"/>
      <c r="G2907" s="37"/>
    </row>
    <row r="2908" spans="1:7">
      <c r="A2908" s="37"/>
      <c r="B2908" s="37"/>
      <c r="C2908" s="37"/>
      <c r="D2908" s="37"/>
      <c r="E2908" s="37"/>
      <c r="F2908" s="37"/>
      <c r="G2908" s="37"/>
    </row>
    <row r="2909" spans="1:7">
      <c r="A2909" s="37"/>
      <c r="B2909" s="37"/>
      <c r="C2909" s="37"/>
      <c r="D2909" s="37"/>
      <c r="E2909" s="37"/>
      <c r="F2909" s="37"/>
      <c r="G2909" s="37"/>
    </row>
    <row r="2910" spans="1:7">
      <c r="A2910" s="37"/>
      <c r="B2910" s="37"/>
      <c r="C2910" s="37"/>
      <c r="D2910" s="37"/>
      <c r="E2910" s="37"/>
      <c r="F2910" s="37"/>
      <c r="G2910" s="37"/>
    </row>
    <row r="2911" spans="1:7">
      <c r="A2911" s="37"/>
      <c r="B2911" s="37"/>
      <c r="C2911" s="37"/>
      <c r="D2911" s="37"/>
      <c r="E2911" s="37"/>
      <c r="F2911" s="37"/>
      <c r="G2911" s="37"/>
    </row>
    <row r="2912" spans="1:7">
      <c r="A2912" s="37"/>
      <c r="B2912" s="37"/>
      <c r="C2912" s="37"/>
      <c r="D2912" s="37"/>
      <c r="E2912" s="37"/>
      <c r="F2912" s="37"/>
      <c r="G2912" s="37"/>
    </row>
    <row r="2913" spans="1:7">
      <c r="A2913" s="37"/>
      <c r="B2913" s="37"/>
      <c r="C2913" s="37"/>
      <c r="D2913" s="37"/>
      <c r="E2913" s="37"/>
      <c r="F2913" s="37"/>
      <c r="G2913" s="37"/>
    </row>
    <row r="2914" spans="1:7">
      <c r="A2914" s="37"/>
      <c r="B2914" s="37"/>
      <c r="C2914" s="37"/>
      <c r="D2914" s="37"/>
      <c r="E2914" s="37"/>
      <c r="F2914" s="37"/>
      <c r="G2914" s="37"/>
    </row>
    <row r="2915" spans="1:7">
      <c r="A2915" s="37"/>
      <c r="B2915" s="37"/>
      <c r="C2915" s="37"/>
      <c r="D2915" s="37"/>
      <c r="E2915" s="37"/>
      <c r="F2915" s="37"/>
      <c r="G2915" s="37"/>
    </row>
    <row r="2916" spans="1:7">
      <c r="A2916" s="37"/>
      <c r="B2916" s="37"/>
      <c r="C2916" s="37"/>
      <c r="D2916" s="37"/>
      <c r="E2916" s="37"/>
      <c r="F2916" s="37"/>
      <c r="G2916" s="37"/>
    </row>
    <row r="2917" spans="1:7">
      <c r="A2917" s="37"/>
      <c r="B2917" s="37"/>
      <c r="C2917" s="37"/>
      <c r="D2917" s="37"/>
      <c r="E2917" s="37"/>
      <c r="F2917" s="37"/>
      <c r="G2917" s="37"/>
    </row>
    <row r="2918" spans="1:7">
      <c r="A2918" s="37"/>
      <c r="B2918" s="37"/>
      <c r="C2918" s="37"/>
      <c r="D2918" s="37"/>
      <c r="E2918" s="37"/>
      <c r="F2918" s="37"/>
      <c r="G2918" s="37"/>
    </row>
    <row r="2919" spans="1:7">
      <c r="A2919" s="37"/>
      <c r="B2919" s="37"/>
      <c r="C2919" s="37"/>
      <c r="D2919" s="37"/>
      <c r="E2919" s="37"/>
      <c r="F2919" s="37"/>
      <c r="G2919" s="37"/>
    </row>
    <row r="2920" spans="1:7">
      <c r="A2920" s="37"/>
      <c r="B2920" s="37"/>
      <c r="C2920" s="37"/>
      <c r="D2920" s="37"/>
      <c r="E2920" s="37"/>
      <c r="F2920" s="37"/>
      <c r="G2920" s="37"/>
    </row>
    <row r="2921" spans="1:7">
      <c r="A2921" s="37"/>
      <c r="B2921" s="37"/>
      <c r="C2921" s="37"/>
      <c r="D2921" s="37"/>
      <c r="E2921" s="37"/>
      <c r="F2921" s="37"/>
      <c r="G2921" s="37"/>
    </row>
    <row r="2922" spans="1:7">
      <c r="A2922" s="37"/>
      <c r="B2922" s="37"/>
      <c r="C2922" s="37"/>
      <c r="D2922" s="37"/>
      <c r="E2922" s="37"/>
      <c r="F2922" s="37"/>
      <c r="G2922" s="37"/>
    </row>
    <row r="2923" spans="1:7">
      <c r="A2923" s="37"/>
      <c r="B2923" s="37"/>
      <c r="C2923" s="37"/>
      <c r="D2923" s="37"/>
      <c r="E2923" s="37"/>
      <c r="F2923" s="37"/>
      <c r="G2923" s="37"/>
    </row>
    <row r="2924" spans="1:7">
      <c r="A2924" s="37"/>
      <c r="B2924" s="37"/>
      <c r="C2924" s="37"/>
      <c r="D2924" s="37"/>
      <c r="E2924" s="37"/>
      <c r="F2924" s="37"/>
      <c r="G2924" s="37"/>
    </row>
    <row r="2925" spans="1:7">
      <c r="A2925" s="37"/>
      <c r="B2925" s="37"/>
      <c r="C2925" s="37"/>
      <c r="D2925" s="37"/>
      <c r="E2925" s="37"/>
      <c r="F2925" s="37"/>
      <c r="G2925" s="37"/>
    </row>
    <row r="2926" spans="1:7">
      <c r="A2926" s="37"/>
      <c r="B2926" s="37"/>
      <c r="C2926" s="37"/>
      <c r="D2926" s="37"/>
      <c r="E2926" s="37"/>
      <c r="F2926" s="37"/>
      <c r="G2926" s="37"/>
    </row>
    <row r="2927" spans="1:7">
      <c r="A2927" s="37"/>
      <c r="B2927" s="37"/>
      <c r="C2927" s="37"/>
      <c r="D2927" s="37"/>
      <c r="E2927" s="37"/>
      <c r="F2927" s="37"/>
      <c r="G2927" s="37"/>
    </row>
    <row r="2928" spans="1:7">
      <c r="A2928" s="37"/>
      <c r="B2928" s="37"/>
      <c r="C2928" s="37"/>
      <c r="D2928" s="37"/>
      <c r="E2928" s="37"/>
      <c r="F2928" s="37"/>
      <c r="G2928" s="37"/>
    </row>
    <row r="2929" spans="1:7">
      <c r="A2929" s="37"/>
      <c r="B2929" s="37"/>
      <c r="C2929" s="37"/>
      <c r="D2929" s="37"/>
      <c r="E2929" s="37"/>
      <c r="F2929" s="37"/>
      <c r="G2929" s="37"/>
    </row>
    <row r="2930" spans="1:7">
      <c r="A2930" s="37"/>
      <c r="B2930" s="37"/>
      <c r="C2930" s="37"/>
      <c r="D2930" s="37"/>
      <c r="E2930" s="37"/>
      <c r="F2930" s="37"/>
      <c r="G2930" s="37"/>
    </row>
    <row r="2931" spans="1:7">
      <c r="A2931" s="37"/>
      <c r="B2931" s="37"/>
      <c r="C2931" s="37"/>
      <c r="D2931" s="37"/>
      <c r="E2931" s="37"/>
      <c r="F2931" s="37"/>
      <c r="G2931" s="37"/>
    </row>
    <row r="2932" spans="1:7">
      <c r="A2932" s="37"/>
      <c r="B2932" s="37"/>
      <c r="C2932" s="37"/>
      <c r="D2932" s="37"/>
      <c r="E2932" s="37"/>
      <c r="F2932" s="37"/>
      <c r="G2932" s="37"/>
    </row>
    <row r="2933" spans="1:7">
      <c r="A2933" s="37"/>
      <c r="B2933" s="37"/>
      <c r="C2933" s="37"/>
      <c r="D2933" s="37"/>
      <c r="E2933" s="37"/>
      <c r="F2933" s="37"/>
      <c r="G2933" s="37"/>
    </row>
    <row r="2934" spans="1:7">
      <c r="A2934" s="37"/>
      <c r="B2934" s="37"/>
      <c r="C2934" s="37"/>
      <c r="D2934" s="37"/>
      <c r="E2934" s="37"/>
      <c r="F2934" s="37"/>
      <c r="G2934" s="37"/>
    </row>
    <row r="2935" spans="1:7">
      <c r="A2935" s="37"/>
      <c r="B2935" s="37"/>
      <c r="C2935" s="37"/>
      <c r="D2935" s="37"/>
      <c r="E2935" s="37"/>
      <c r="F2935" s="37"/>
      <c r="G2935" s="37"/>
    </row>
    <row r="2936" spans="1:7">
      <c r="A2936" s="37"/>
      <c r="B2936" s="37"/>
      <c r="C2936" s="37"/>
      <c r="D2936" s="37"/>
      <c r="E2936" s="37"/>
      <c r="F2936" s="37"/>
      <c r="G2936" s="37"/>
    </row>
    <row r="2937" spans="1:7">
      <c r="A2937" s="37"/>
      <c r="B2937" s="37"/>
      <c r="C2937" s="37"/>
      <c r="D2937" s="37"/>
      <c r="E2937" s="37"/>
      <c r="F2937" s="37"/>
      <c r="G2937" s="37"/>
    </row>
    <row r="2938" spans="1:7">
      <c r="A2938" s="37"/>
      <c r="B2938" s="37"/>
      <c r="C2938" s="37"/>
      <c r="D2938" s="37"/>
      <c r="E2938" s="37"/>
      <c r="F2938" s="37"/>
      <c r="G2938" s="37"/>
    </row>
    <row r="2939" spans="1:7">
      <c r="A2939" s="37"/>
      <c r="B2939" s="37"/>
      <c r="C2939" s="37"/>
      <c r="D2939" s="37"/>
      <c r="E2939" s="37"/>
      <c r="F2939" s="37"/>
      <c r="G2939" s="37"/>
    </row>
    <row r="2940" spans="1:7">
      <c r="A2940" s="37"/>
      <c r="B2940" s="37"/>
      <c r="C2940" s="37"/>
      <c r="D2940" s="37"/>
      <c r="E2940" s="37"/>
      <c r="F2940" s="37"/>
      <c r="G2940" s="37"/>
    </row>
    <row r="2941" spans="1:7">
      <c r="A2941" s="37"/>
      <c r="B2941" s="37"/>
      <c r="C2941" s="37"/>
      <c r="D2941" s="37"/>
      <c r="E2941" s="37"/>
      <c r="F2941" s="37"/>
      <c r="G2941" s="37"/>
    </row>
    <row r="2942" spans="1:7">
      <c r="A2942" s="37"/>
      <c r="B2942" s="37"/>
      <c r="C2942" s="37"/>
      <c r="D2942" s="37"/>
      <c r="E2942" s="37"/>
      <c r="F2942" s="37"/>
      <c r="G2942" s="37"/>
    </row>
    <row r="2943" spans="1:7">
      <c r="A2943" s="37"/>
      <c r="B2943" s="37"/>
      <c r="C2943" s="37"/>
      <c r="D2943" s="37"/>
      <c r="E2943" s="37"/>
      <c r="F2943" s="37"/>
      <c r="G2943" s="37"/>
    </row>
    <row r="2944" spans="1:7">
      <c r="A2944" s="37"/>
      <c r="B2944" s="37"/>
      <c r="C2944" s="37"/>
      <c r="D2944" s="37"/>
      <c r="E2944" s="37"/>
      <c r="F2944" s="37"/>
      <c r="G2944" s="37"/>
    </row>
    <row r="2945" spans="1:7">
      <c r="A2945" s="37"/>
      <c r="B2945" s="37"/>
      <c r="C2945" s="37"/>
      <c r="D2945" s="37"/>
      <c r="E2945" s="37"/>
      <c r="F2945" s="37"/>
      <c r="G2945" s="37"/>
    </row>
    <row r="2946" spans="1:7">
      <c r="A2946" s="37"/>
      <c r="B2946" s="37"/>
      <c r="C2946" s="37"/>
      <c r="D2946" s="37"/>
      <c r="E2946" s="37"/>
      <c r="F2946" s="37"/>
      <c r="G2946" s="37"/>
    </row>
    <row r="2947" spans="1:7">
      <c r="A2947" s="37"/>
      <c r="B2947" s="37"/>
      <c r="C2947" s="37"/>
      <c r="D2947" s="37"/>
      <c r="E2947" s="37"/>
      <c r="F2947" s="37"/>
      <c r="G2947" s="37"/>
    </row>
    <row r="2948" spans="1:7">
      <c r="A2948" s="37"/>
      <c r="B2948" s="37"/>
      <c r="C2948" s="37"/>
      <c r="D2948" s="37"/>
      <c r="E2948" s="37"/>
      <c r="F2948" s="37"/>
      <c r="G2948" s="37"/>
    </row>
    <row r="2949" spans="1:7">
      <c r="A2949" s="37"/>
      <c r="B2949" s="37"/>
      <c r="C2949" s="37"/>
      <c r="D2949" s="37"/>
      <c r="E2949" s="37"/>
      <c r="F2949" s="37"/>
      <c r="G2949" s="37"/>
    </row>
    <row r="2950" spans="1:7">
      <c r="A2950" s="37"/>
      <c r="B2950" s="37"/>
      <c r="C2950" s="37"/>
      <c r="D2950" s="37"/>
      <c r="E2950" s="37"/>
      <c r="F2950" s="37"/>
      <c r="G2950" s="37"/>
    </row>
    <row r="2951" spans="1:7">
      <c r="A2951" s="37"/>
      <c r="B2951" s="37"/>
      <c r="C2951" s="37"/>
      <c r="D2951" s="37"/>
      <c r="E2951" s="37"/>
      <c r="F2951" s="37"/>
      <c r="G2951" s="37"/>
    </row>
    <row r="2952" spans="1:7">
      <c r="A2952" s="37"/>
      <c r="B2952" s="37"/>
      <c r="C2952" s="37"/>
      <c r="D2952" s="37"/>
      <c r="E2952" s="37"/>
      <c r="F2952" s="37"/>
      <c r="G2952" s="37"/>
    </row>
    <row r="2953" spans="1:7">
      <c r="A2953" s="37"/>
      <c r="B2953" s="37"/>
      <c r="C2953" s="37"/>
      <c r="D2953" s="37"/>
      <c r="E2953" s="37"/>
      <c r="F2953" s="37"/>
      <c r="G2953" s="37"/>
    </row>
    <row r="2954" spans="1:7">
      <c r="A2954" s="37"/>
      <c r="B2954" s="37"/>
      <c r="C2954" s="37"/>
      <c r="D2954" s="37"/>
      <c r="E2954" s="37"/>
      <c r="F2954" s="37"/>
      <c r="G2954" s="37"/>
    </row>
    <row r="2955" spans="1:7">
      <c r="A2955" s="37"/>
      <c r="B2955" s="37"/>
      <c r="C2955" s="37"/>
      <c r="D2955" s="37"/>
      <c r="E2955" s="37"/>
      <c r="F2955" s="37"/>
      <c r="G2955" s="37"/>
    </row>
    <row r="2956" spans="1:7">
      <c r="A2956" s="37"/>
      <c r="B2956" s="37"/>
      <c r="C2956" s="37"/>
      <c r="D2956" s="37"/>
      <c r="E2956" s="37"/>
      <c r="F2956" s="37"/>
      <c r="G2956" s="37"/>
    </row>
    <row r="2957" spans="1:7">
      <c r="A2957" s="37"/>
      <c r="B2957" s="37"/>
      <c r="C2957" s="37"/>
      <c r="D2957" s="37"/>
      <c r="E2957" s="37"/>
      <c r="F2957" s="37"/>
      <c r="G2957" s="37"/>
    </row>
    <row r="2958" spans="1:7">
      <c r="A2958" s="37"/>
      <c r="B2958" s="37"/>
      <c r="C2958" s="37"/>
      <c r="D2958" s="37"/>
      <c r="E2958" s="37"/>
      <c r="F2958" s="37"/>
      <c r="G2958" s="37"/>
    </row>
    <row r="2959" spans="1:7">
      <c r="A2959" s="37"/>
      <c r="B2959" s="37"/>
      <c r="C2959" s="37"/>
      <c r="D2959" s="37"/>
      <c r="E2959" s="37"/>
      <c r="F2959" s="37"/>
      <c r="G2959" s="37"/>
    </row>
    <row r="2960" spans="1:7">
      <c r="A2960" s="37"/>
      <c r="B2960" s="37"/>
      <c r="C2960" s="37"/>
      <c r="D2960" s="37"/>
      <c r="E2960" s="37"/>
      <c r="F2960" s="37"/>
      <c r="G2960" s="37"/>
    </row>
    <row r="2961" spans="1:7">
      <c r="A2961" s="37"/>
      <c r="B2961" s="37"/>
      <c r="C2961" s="37"/>
      <c r="D2961" s="37"/>
      <c r="E2961" s="37"/>
      <c r="F2961" s="37"/>
      <c r="G2961" s="37"/>
    </row>
    <row r="2962" spans="1:7">
      <c r="A2962" s="37"/>
      <c r="B2962" s="37"/>
      <c r="C2962" s="37"/>
      <c r="D2962" s="37"/>
      <c r="E2962" s="37"/>
      <c r="F2962" s="37"/>
      <c r="G2962" s="37"/>
    </row>
    <row r="2963" spans="1:7">
      <c r="A2963" s="37"/>
      <c r="B2963" s="37"/>
      <c r="C2963" s="37"/>
      <c r="D2963" s="37"/>
      <c r="E2963" s="37"/>
      <c r="F2963" s="37"/>
      <c r="G2963" s="37"/>
    </row>
    <row r="2964" spans="1:7">
      <c r="A2964" s="37"/>
      <c r="B2964" s="37"/>
      <c r="C2964" s="37"/>
      <c r="D2964" s="37"/>
      <c r="E2964" s="37"/>
      <c r="F2964" s="37"/>
      <c r="G2964" s="37"/>
    </row>
    <row r="2965" spans="1:7">
      <c r="A2965" s="37"/>
      <c r="B2965" s="37"/>
      <c r="C2965" s="37"/>
      <c r="D2965" s="37"/>
      <c r="E2965" s="37"/>
      <c r="F2965" s="37"/>
      <c r="G2965" s="37"/>
    </row>
    <row r="2966" spans="1:7">
      <c r="A2966" s="37"/>
      <c r="B2966" s="37"/>
      <c r="C2966" s="37"/>
      <c r="D2966" s="37"/>
      <c r="E2966" s="37"/>
      <c r="F2966" s="37"/>
      <c r="G2966" s="37"/>
    </row>
    <row r="2967" spans="1:7">
      <c r="A2967" s="37"/>
      <c r="B2967" s="37"/>
      <c r="C2967" s="37"/>
      <c r="D2967" s="37"/>
      <c r="E2967" s="37"/>
      <c r="F2967" s="37"/>
      <c r="G2967" s="37"/>
    </row>
    <row r="2968" spans="1:7">
      <c r="A2968" s="37"/>
      <c r="B2968" s="37"/>
      <c r="C2968" s="37"/>
      <c r="D2968" s="37"/>
      <c r="E2968" s="37"/>
      <c r="F2968" s="37"/>
      <c r="G2968" s="37"/>
    </row>
    <row r="2969" spans="1:7">
      <c r="A2969" s="37"/>
      <c r="B2969" s="37"/>
      <c r="C2969" s="37"/>
      <c r="D2969" s="37"/>
      <c r="E2969" s="37"/>
      <c r="F2969" s="37"/>
      <c r="G2969" s="37"/>
    </row>
    <row r="2970" spans="1:7">
      <c r="A2970" s="37"/>
      <c r="B2970" s="37"/>
      <c r="C2970" s="37"/>
      <c r="D2970" s="37"/>
      <c r="E2970" s="37"/>
      <c r="F2970" s="37"/>
      <c r="G2970" s="37"/>
    </row>
    <row r="2971" spans="1:7">
      <c r="A2971" s="37"/>
      <c r="B2971" s="37"/>
      <c r="C2971" s="37"/>
      <c r="D2971" s="37"/>
      <c r="E2971" s="37"/>
      <c r="F2971" s="37"/>
      <c r="G2971" s="37"/>
    </row>
    <row r="2972" spans="1:7">
      <c r="A2972" s="37"/>
      <c r="B2972" s="37"/>
      <c r="C2972" s="37"/>
      <c r="D2972" s="37"/>
      <c r="E2972" s="37"/>
      <c r="F2972" s="37"/>
      <c r="G2972" s="37"/>
    </row>
    <row r="2973" spans="1:7">
      <c r="A2973" s="37"/>
      <c r="B2973" s="37"/>
      <c r="C2973" s="37"/>
      <c r="D2973" s="37"/>
      <c r="E2973" s="37"/>
      <c r="F2973" s="37"/>
      <c r="G2973" s="37"/>
    </row>
    <row r="2974" spans="1:7">
      <c r="A2974" s="37"/>
      <c r="B2974" s="37"/>
      <c r="C2974" s="37"/>
      <c r="D2974" s="37"/>
      <c r="E2974" s="37"/>
      <c r="F2974" s="37"/>
      <c r="G2974" s="37"/>
    </row>
    <row r="2975" spans="1:7">
      <c r="A2975" s="37"/>
      <c r="B2975" s="37"/>
      <c r="C2975" s="37"/>
      <c r="D2975" s="37"/>
      <c r="E2975" s="37"/>
      <c r="F2975" s="37"/>
      <c r="G2975" s="37"/>
    </row>
    <row r="2976" spans="1:7">
      <c r="A2976" s="37"/>
      <c r="B2976" s="37"/>
      <c r="C2976" s="37"/>
      <c r="D2976" s="37"/>
      <c r="E2976" s="37"/>
      <c r="F2976" s="37"/>
      <c r="G2976" s="37"/>
    </row>
    <row r="2977" spans="1:7">
      <c r="A2977" s="37"/>
      <c r="B2977" s="37"/>
      <c r="C2977" s="37"/>
      <c r="D2977" s="37"/>
      <c r="E2977" s="37"/>
      <c r="F2977" s="37"/>
      <c r="G2977" s="37"/>
    </row>
    <row r="2978" spans="1:7">
      <c r="A2978" s="37"/>
      <c r="B2978" s="37"/>
      <c r="C2978" s="37"/>
      <c r="D2978" s="37"/>
      <c r="E2978" s="37"/>
      <c r="F2978" s="37"/>
      <c r="G2978" s="37"/>
    </row>
    <row r="2979" spans="1:7">
      <c r="A2979" s="37"/>
      <c r="B2979" s="37"/>
      <c r="C2979" s="37"/>
      <c r="D2979" s="37"/>
      <c r="E2979" s="37"/>
      <c r="F2979" s="37"/>
      <c r="G2979" s="37"/>
    </row>
    <row r="2980" spans="1:7">
      <c r="A2980" s="37"/>
      <c r="B2980" s="37"/>
      <c r="C2980" s="37"/>
      <c r="D2980" s="37"/>
      <c r="E2980" s="37"/>
      <c r="F2980" s="37"/>
      <c r="G2980" s="37"/>
    </row>
    <row r="2981" spans="1:7">
      <c r="A2981" s="37"/>
      <c r="B2981" s="37"/>
      <c r="C2981" s="37"/>
      <c r="D2981" s="37"/>
      <c r="E2981" s="37"/>
      <c r="F2981" s="37"/>
      <c r="G2981" s="37"/>
    </row>
    <row r="2982" spans="1:7">
      <c r="A2982" s="37"/>
      <c r="B2982" s="37"/>
      <c r="C2982" s="37"/>
      <c r="D2982" s="37"/>
      <c r="E2982" s="37"/>
      <c r="F2982" s="37"/>
      <c r="G2982" s="37"/>
    </row>
    <row r="2983" spans="1:7">
      <c r="A2983" s="37"/>
      <c r="B2983" s="37"/>
      <c r="C2983" s="37"/>
      <c r="D2983" s="37"/>
      <c r="E2983" s="37"/>
      <c r="F2983" s="37"/>
      <c r="G2983" s="37"/>
    </row>
    <row r="2984" spans="1:7">
      <c r="A2984" s="37"/>
      <c r="B2984" s="37"/>
      <c r="C2984" s="37"/>
      <c r="D2984" s="37"/>
      <c r="E2984" s="37"/>
      <c r="F2984" s="37"/>
      <c r="G2984" s="37"/>
    </row>
    <row r="2985" spans="1:7">
      <c r="A2985" s="37"/>
      <c r="B2985" s="37"/>
      <c r="C2985" s="37"/>
      <c r="D2985" s="37"/>
      <c r="E2985" s="37"/>
      <c r="F2985" s="37"/>
      <c r="G2985" s="37"/>
    </row>
    <row r="2986" spans="1:7">
      <c r="A2986" s="37"/>
      <c r="B2986" s="37"/>
      <c r="C2986" s="37"/>
      <c r="D2986" s="37"/>
      <c r="E2986" s="37"/>
      <c r="F2986" s="37"/>
      <c r="G2986" s="37"/>
    </row>
    <row r="2987" spans="1:7">
      <c r="A2987" s="37"/>
      <c r="B2987" s="37"/>
      <c r="C2987" s="37"/>
      <c r="D2987" s="37"/>
      <c r="E2987" s="37"/>
      <c r="F2987" s="37"/>
      <c r="G2987" s="37"/>
    </row>
    <row r="2988" spans="1:7">
      <c r="A2988" s="37"/>
      <c r="B2988" s="37"/>
      <c r="C2988" s="37"/>
      <c r="D2988" s="37"/>
      <c r="E2988" s="37"/>
      <c r="F2988" s="37"/>
      <c r="G2988" s="37"/>
    </row>
    <row r="2989" spans="1:7">
      <c r="A2989" s="37"/>
      <c r="B2989" s="37"/>
      <c r="C2989" s="37"/>
      <c r="D2989" s="37"/>
      <c r="E2989" s="37"/>
      <c r="F2989" s="37"/>
      <c r="G2989" s="37"/>
    </row>
    <row r="2990" spans="1:7">
      <c r="A2990" s="37"/>
      <c r="B2990" s="37"/>
      <c r="C2990" s="37"/>
      <c r="D2990" s="37"/>
      <c r="E2990" s="37"/>
      <c r="F2990" s="37"/>
      <c r="G2990" s="37"/>
    </row>
    <row r="2991" spans="1:7">
      <c r="A2991" s="37"/>
      <c r="B2991" s="37"/>
      <c r="C2991" s="37"/>
      <c r="D2991" s="37"/>
      <c r="E2991" s="37"/>
      <c r="F2991" s="37"/>
      <c r="G2991" s="37"/>
    </row>
    <row r="2992" spans="1:7">
      <c r="A2992" s="37"/>
      <c r="B2992" s="37"/>
      <c r="C2992" s="37"/>
      <c r="D2992" s="37"/>
      <c r="E2992" s="37"/>
      <c r="F2992" s="37"/>
      <c r="G2992" s="37"/>
    </row>
    <row r="2993" spans="1:7">
      <c r="A2993" s="37"/>
      <c r="B2993" s="37"/>
      <c r="C2993" s="37"/>
      <c r="D2993" s="37"/>
      <c r="E2993" s="37"/>
      <c r="F2993" s="37"/>
      <c r="G2993" s="37"/>
    </row>
    <row r="2994" spans="1:7">
      <c r="A2994" s="37"/>
      <c r="B2994" s="37"/>
      <c r="C2994" s="37"/>
      <c r="D2994" s="37"/>
      <c r="E2994" s="37"/>
      <c r="F2994" s="37"/>
      <c r="G2994" s="37"/>
    </row>
    <row r="2995" spans="1:7">
      <c r="A2995" s="37"/>
      <c r="B2995" s="37"/>
      <c r="C2995" s="37"/>
      <c r="D2995" s="37"/>
      <c r="E2995" s="37"/>
      <c r="F2995" s="37"/>
      <c r="G2995" s="37"/>
    </row>
    <row r="2996" spans="1:7">
      <c r="A2996" s="37"/>
      <c r="B2996" s="37"/>
      <c r="C2996" s="37"/>
      <c r="D2996" s="37"/>
      <c r="E2996" s="37"/>
      <c r="F2996" s="37"/>
      <c r="G2996" s="37"/>
    </row>
    <row r="2997" spans="1:7">
      <c r="A2997" s="37"/>
      <c r="B2997" s="37"/>
      <c r="C2997" s="37"/>
      <c r="D2997" s="37"/>
      <c r="E2997" s="37"/>
      <c r="F2997" s="37"/>
      <c r="G2997" s="37"/>
    </row>
    <row r="2998" spans="1:7">
      <c r="A2998" s="37"/>
      <c r="B2998" s="37"/>
      <c r="C2998" s="37"/>
      <c r="D2998" s="37"/>
      <c r="E2998" s="37"/>
      <c r="F2998" s="37"/>
      <c r="G2998" s="37"/>
    </row>
    <row r="2999" spans="1:7">
      <c r="A2999" s="37"/>
      <c r="B2999" s="37"/>
      <c r="C2999" s="37"/>
      <c r="D2999" s="37"/>
      <c r="E2999" s="37"/>
      <c r="F2999" s="37"/>
      <c r="G2999" s="37"/>
    </row>
    <row r="3000" spans="1:7">
      <c r="A3000" s="37"/>
      <c r="B3000" s="37"/>
      <c r="C3000" s="37"/>
      <c r="D3000" s="37"/>
      <c r="E3000" s="37"/>
      <c r="F3000" s="37"/>
      <c r="G3000" s="37"/>
    </row>
    <row r="3001" spans="1:7">
      <c r="A3001" s="37"/>
      <c r="B3001" s="37"/>
      <c r="C3001" s="37"/>
      <c r="D3001" s="37"/>
      <c r="E3001" s="37"/>
      <c r="F3001" s="37"/>
      <c r="G3001" s="37"/>
    </row>
    <row r="3002" spans="1:7">
      <c r="A3002" s="37"/>
      <c r="B3002" s="37"/>
      <c r="C3002" s="37"/>
      <c r="D3002" s="37"/>
      <c r="E3002" s="37"/>
      <c r="F3002" s="37"/>
      <c r="G3002" s="37"/>
    </row>
    <row r="3003" spans="1:7">
      <c r="A3003" s="37"/>
      <c r="B3003" s="37"/>
      <c r="C3003" s="37"/>
      <c r="D3003" s="37"/>
      <c r="E3003" s="37"/>
      <c r="F3003" s="37"/>
      <c r="G3003" s="37"/>
    </row>
    <row r="3004" spans="1:7">
      <c r="A3004" s="37"/>
      <c r="B3004" s="37"/>
      <c r="C3004" s="37"/>
      <c r="D3004" s="37"/>
      <c r="E3004" s="37"/>
      <c r="F3004" s="37"/>
      <c r="G3004" s="37"/>
    </row>
    <row r="3005" spans="1:7">
      <c r="A3005" s="37"/>
      <c r="B3005" s="37"/>
      <c r="C3005" s="37"/>
      <c r="D3005" s="37"/>
      <c r="E3005" s="37"/>
      <c r="F3005" s="37"/>
      <c r="G3005" s="37"/>
    </row>
    <row r="3006" spans="1:7">
      <c r="A3006" s="37"/>
      <c r="B3006" s="37"/>
      <c r="C3006" s="37"/>
      <c r="D3006" s="37"/>
      <c r="E3006" s="37"/>
      <c r="F3006" s="37"/>
      <c r="G3006" s="37"/>
    </row>
    <row r="3007" spans="1:7">
      <c r="A3007" s="37"/>
      <c r="B3007" s="37"/>
      <c r="C3007" s="37"/>
      <c r="D3007" s="37"/>
      <c r="E3007" s="37"/>
      <c r="F3007" s="37"/>
      <c r="G3007" s="37"/>
    </row>
    <row r="3008" spans="1:7">
      <c r="A3008" s="37"/>
      <c r="B3008" s="37"/>
      <c r="C3008" s="37"/>
      <c r="D3008" s="37"/>
      <c r="E3008" s="37"/>
      <c r="F3008" s="37"/>
      <c r="G3008" s="37"/>
    </row>
    <row r="3009" spans="1:7">
      <c r="A3009" s="37"/>
      <c r="B3009" s="37"/>
      <c r="C3009" s="37"/>
      <c r="D3009" s="37"/>
      <c r="E3009" s="37"/>
      <c r="F3009" s="37"/>
      <c r="G3009" s="37"/>
    </row>
    <row r="3010" spans="1:7">
      <c r="A3010" s="37"/>
      <c r="B3010" s="37"/>
      <c r="C3010" s="37"/>
      <c r="D3010" s="37"/>
      <c r="E3010" s="37"/>
      <c r="F3010" s="37"/>
      <c r="G3010" s="37"/>
    </row>
    <row r="3011" spans="1:7">
      <c r="A3011" s="37"/>
      <c r="B3011" s="37"/>
      <c r="C3011" s="37"/>
      <c r="D3011" s="37"/>
      <c r="E3011" s="37"/>
      <c r="F3011" s="37"/>
      <c r="G3011" s="37"/>
    </row>
    <row r="3012" spans="1:7">
      <c r="A3012" s="37"/>
      <c r="B3012" s="37"/>
      <c r="C3012" s="37"/>
      <c r="D3012" s="37"/>
      <c r="E3012" s="37"/>
      <c r="F3012" s="37"/>
      <c r="G3012" s="37"/>
    </row>
    <row r="3013" spans="1:7">
      <c r="A3013" s="37"/>
      <c r="B3013" s="37"/>
      <c r="C3013" s="37"/>
      <c r="D3013" s="37"/>
      <c r="E3013" s="37"/>
      <c r="F3013" s="37"/>
      <c r="G3013" s="37"/>
    </row>
    <row r="3014" spans="1:7">
      <c r="A3014" s="37"/>
      <c r="B3014" s="37"/>
      <c r="C3014" s="37"/>
      <c r="D3014" s="37"/>
      <c r="E3014" s="37"/>
      <c r="F3014" s="37"/>
      <c r="G3014" s="37"/>
    </row>
    <row r="3015" spans="1:7">
      <c r="A3015" s="37"/>
      <c r="B3015" s="37"/>
      <c r="C3015" s="37"/>
      <c r="D3015" s="37"/>
      <c r="E3015" s="37"/>
      <c r="F3015" s="37"/>
      <c r="G3015" s="37"/>
    </row>
    <row r="3016" spans="1:7">
      <c r="A3016" s="37"/>
      <c r="B3016" s="37"/>
      <c r="C3016" s="37"/>
      <c r="D3016" s="37"/>
      <c r="E3016" s="37"/>
      <c r="F3016" s="37"/>
      <c r="G3016" s="37"/>
    </row>
    <row r="3017" spans="1:7">
      <c r="A3017" s="37"/>
      <c r="B3017" s="37"/>
      <c r="C3017" s="37"/>
      <c r="D3017" s="37"/>
      <c r="E3017" s="37"/>
      <c r="F3017" s="37"/>
      <c r="G3017" s="37"/>
    </row>
    <row r="3018" spans="1:7">
      <c r="A3018" s="37"/>
      <c r="B3018" s="37"/>
      <c r="C3018" s="37"/>
      <c r="D3018" s="37"/>
      <c r="E3018" s="37"/>
      <c r="F3018" s="37"/>
      <c r="G3018" s="37"/>
    </row>
    <row r="3019" spans="1:7">
      <c r="A3019" s="37"/>
      <c r="B3019" s="37"/>
      <c r="C3019" s="37"/>
      <c r="D3019" s="37"/>
      <c r="E3019" s="37"/>
      <c r="F3019" s="37"/>
      <c r="G3019" s="37"/>
    </row>
    <row r="3020" spans="1:7">
      <c r="A3020" s="37"/>
      <c r="B3020" s="37"/>
      <c r="C3020" s="37"/>
      <c r="D3020" s="37"/>
      <c r="E3020" s="37"/>
      <c r="F3020" s="37"/>
      <c r="G3020" s="37"/>
    </row>
    <row r="3021" spans="1:7">
      <c r="A3021" s="37"/>
      <c r="B3021" s="37"/>
      <c r="C3021" s="37"/>
      <c r="D3021" s="37"/>
      <c r="E3021" s="37"/>
      <c r="F3021" s="37"/>
      <c r="G3021" s="37"/>
    </row>
    <row r="3022" spans="1:7">
      <c r="A3022" s="37"/>
      <c r="B3022" s="37"/>
      <c r="C3022" s="37"/>
      <c r="D3022" s="37"/>
      <c r="E3022" s="37"/>
      <c r="F3022" s="37"/>
      <c r="G3022" s="37"/>
    </row>
    <row r="3023" spans="1:7">
      <c r="A3023" s="37"/>
      <c r="B3023" s="37"/>
      <c r="C3023" s="37"/>
      <c r="D3023" s="37"/>
      <c r="E3023" s="37"/>
      <c r="F3023" s="37"/>
      <c r="G3023" s="37"/>
    </row>
    <row r="3024" spans="1:7">
      <c r="A3024" s="37"/>
      <c r="B3024" s="37"/>
      <c r="C3024" s="37"/>
      <c r="D3024" s="37"/>
      <c r="E3024" s="37"/>
      <c r="F3024" s="37"/>
      <c r="G3024" s="37"/>
    </row>
    <row r="3025" spans="1:7">
      <c r="A3025" s="37"/>
      <c r="B3025" s="37"/>
      <c r="C3025" s="37"/>
      <c r="D3025" s="37"/>
      <c r="E3025" s="37"/>
      <c r="F3025" s="37"/>
      <c r="G3025" s="37"/>
    </row>
    <row r="3026" spans="1:7">
      <c r="A3026" s="37"/>
      <c r="B3026" s="37"/>
      <c r="C3026" s="37"/>
      <c r="D3026" s="37"/>
      <c r="E3026" s="37"/>
      <c r="F3026" s="37"/>
      <c r="G3026" s="37"/>
    </row>
    <row r="3027" spans="1:7">
      <c r="A3027" s="37"/>
      <c r="B3027" s="37"/>
      <c r="C3027" s="37"/>
      <c r="D3027" s="37"/>
      <c r="E3027" s="37"/>
      <c r="F3027" s="37"/>
      <c r="G3027" s="37"/>
    </row>
    <row r="3028" spans="1:7">
      <c r="A3028" s="37"/>
      <c r="B3028" s="37"/>
      <c r="C3028" s="37"/>
      <c r="D3028" s="37"/>
      <c r="E3028" s="37"/>
      <c r="F3028" s="37"/>
      <c r="G3028" s="37"/>
    </row>
    <row r="3029" spans="1:7">
      <c r="A3029" s="37"/>
      <c r="B3029" s="37"/>
      <c r="C3029" s="37"/>
      <c r="D3029" s="37"/>
      <c r="E3029" s="37"/>
      <c r="F3029" s="37"/>
      <c r="G3029" s="37"/>
    </row>
    <row r="3030" spans="1:7">
      <c r="A3030" s="37"/>
      <c r="B3030" s="37"/>
      <c r="C3030" s="37"/>
      <c r="D3030" s="37"/>
      <c r="E3030" s="37"/>
      <c r="F3030" s="37"/>
      <c r="G3030" s="37"/>
    </row>
    <row r="3031" spans="1:7">
      <c r="A3031" s="37"/>
      <c r="B3031" s="37"/>
      <c r="C3031" s="37"/>
      <c r="D3031" s="37"/>
      <c r="E3031" s="37"/>
      <c r="F3031" s="37"/>
      <c r="G3031" s="37"/>
    </row>
    <row r="3032" spans="1:7">
      <c r="A3032" s="37"/>
      <c r="B3032" s="37"/>
      <c r="C3032" s="37"/>
      <c r="D3032" s="37"/>
      <c r="E3032" s="37"/>
      <c r="F3032" s="37"/>
      <c r="G3032" s="37"/>
    </row>
    <row r="3033" spans="1:7">
      <c r="A3033" s="37"/>
      <c r="B3033" s="37"/>
      <c r="C3033" s="37"/>
      <c r="D3033" s="37"/>
      <c r="E3033" s="37"/>
      <c r="F3033" s="37"/>
      <c r="G3033" s="37"/>
    </row>
    <row r="3034" spans="1:7">
      <c r="A3034" s="37"/>
      <c r="B3034" s="37"/>
      <c r="C3034" s="37"/>
      <c r="D3034" s="37"/>
      <c r="E3034" s="37"/>
      <c r="F3034" s="37"/>
      <c r="G3034" s="37"/>
    </row>
    <row r="3035" spans="1:7">
      <c r="A3035" s="37"/>
      <c r="B3035" s="37"/>
      <c r="C3035" s="37"/>
      <c r="D3035" s="37"/>
      <c r="E3035" s="37"/>
      <c r="F3035" s="37"/>
      <c r="G3035" s="37"/>
    </row>
    <row r="3036" spans="1:7">
      <c r="A3036" s="37"/>
      <c r="B3036" s="37"/>
      <c r="C3036" s="37"/>
      <c r="D3036" s="37"/>
      <c r="E3036" s="37"/>
      <c r="F3036" s="37"/>
      <c r="G3036" s="37"/>
    </row>
    <row r="3037" spans="1:7">
      <c r="A3037" s="37"/>
      <c r="B3037" s="37"/>
      <c r="C3037" s="37"/>
      <c r="D3037" s="37"/>
      <c r="E3037" s="37"/>
      <c r="F3037" s="37"/>
      <c r="G3037" s="37"/>
    </row>
    <row r="3038" spans="1:7">
      <c r="A3038" s="37"/>
      <c r="B3038" s="37"/>
      <c r="C3038" s="37"/>
      <c r="D3038" s="37"/>
      <c r="E3038" s="37"/>
      <c r="F3038" s="37"/>
      <c r="G3038" s="37"/>
    </row>
    <row r="3039" spans="1:7">
      <c r="A3039" s="37"/>
      <c r="B3039" s="37"/>
      <c r="C3039" s="37"/>
      <c r="D3039" s="37"/>
      <c r="E3039" s="37"/>
      <c r="F3039" s="37"/>
      <c r="G3039" s="37"/>
    </row>
    <row r="3040" spans="1:7">
      <c r="A3040" s="37"/>
      <c r="B3040" s="37"/>
      <c r="C3040" s="37"/>
      <c r="D3040" s="37"/>
      <c r="E3040" s="37"/>
      <c r="F3040" s="37"/>
      <c r="G3040" s="37"/>
    </row>
    <row r="3041" spans="1:7">
      <c r="A3041" s="37"/>
      <c r="B3041" s="37"/>
      <c r="C3041" s="37"/>
      <c r="D3041" s="37"/>
      <c r="E3041" s="37"/>
      <c r="F3041" s="37"/>
      <c r="G3041" s="37"/>
    </row>
    <row r="3042" spans="1:7">
      <c r="A3042" s="37"/>
      <c r="B3042" s="37"/>
      <c r="C3042" s="37"/>
      <c r="D3042" s="37"/>
      <c r="E3042" s="37"/>
      <c r="F3042" s="37"/>
      <c r="G3042" s="37"/>
    </row>
    <row r="3043" spans="1:7">
      <c r="A3043" s="37"/>
      <c r="B3043" s="37"/>
      <c r="C3043" s="37"/>
      <c r="D3043" s="37"/>
      <c r="E3043" s="37"/>
      <c r="F3043" s="37"/>
      <c r="G3043" s="37"/>
    </row>
    <row r="3044" spans="1:7">
      <c r="A3044" s="37"/>
      <c r="B3044" s="37"/>
      <c r="C3044" s="37"/>
      <c r="D3044" s="37"/>
      <c r="E3044" s="37"/>
      <c r="F3044" s="37"/>
      <c r="G3044" s="37"/>
    </row>
    <row r="3045" spans="1:7">
      <c r="A3045" s="37"/>
      <c r="B3045" s="37"/>
      <c r="C3045" s="37"/>
      <c r="D3045" s="37"/>
      <c r="E3045" s="37"/>
      <c r="F3045" s="37"/>
      <c r="G3045" s="37"/>
    </row>
    <row r="3046" spans="1:7">
      <c r="A3046" s="37"/>
      <c r="B3046" s="37"/>
      <c r="C3046" s="37"/>
      <c r="D3046" s="37"/>
      <c r="E3046" s="37"/>
      <c r="F3046" s="37"/>
      <c r="G3046" s="37"/>
    </row>
    <row r="3047" spans="1:7">
      <c r="A3047" s="37"/>
      <c r="B3047" s="37"/>
      <c r="C3047" s="37"/>
      <c r="D3047" s="37"/>
      <c r="E3047" s="37"/>
      <c r="F3047" s="37"/>
      <c r="G3047" s="37"/>
    </row>
    <row r="3048" spans="1:7">
      <c r="A3048" s="37"/>
      <c r="B3048" s="37"/>
      <c r="C3048" s="37"/>
      <c r="D3048" s="37"/>
      <c r="E3048" s="37"/>
      <c r="F3048" s="37"/>
      <c r="G3048" s="37"/>
    </row>
    <row r="3049" spans="1:7">
      <c r="A3049" s="37"/>
      <c r="B3049" s="37"/>
      <c r="C3049" s="37"/>
      <c r="D3049" s="37"/>
      <c r="E3049" s="37"/>
      <c r="F3049" s="37"/>
      <c r="G3049" s="37"/>
    </row>
    <row r="3050" spans="1:7">
      <c r="A3050" s="37"/>
      <c r="B3050" s="37"/>
      <c r="C3050" s="37"/>
      <c r="D3050" s="37"/>
      <c r="E3050" s="37"/>
      <c r="F3050" s="37"/>
      <c r="G3050" s="37"/>
    </row>
    <row r="3051" spans="1:7">
      <c r="A3051" s="37"/>
      <c r="B3051" s="37"/>
      <c r="C3051" s="37"/>
      <c r="D3051" s="37"/>
      <c r="E3051" s="37"/>
      <c r="F3051" s="37"/>
      <c r="G3051" s="37"/>
    </row>
    <row r="3052" spans="1:7">
      <c r="A3052" s="37"/>
      <c r="B3052" s="37"/>
      <c r="C3052" s="37"/>
      <c r="D3052" s="37"/>
      <c r="E3052" s="37"/>
      <c r="F3052" s="37"/>
      <c r="G3052" s="37"/>
    </row>
    <row r="3053" spans="1:7">
      <c r="A3053" s="37"/>
      <c r="B3053" s="37"/>
      <c r="C3053" s="37"/>
      <c r="D3053" s="37"/>
      <c r="E3053" s="37"/>
      <c r="F3053" s="37"/>
      <c r="G3053" s="37"/>
    </row>
    <row r="3054" spans="1:7">
      <c r="A3054" s="37"/>
      <c r="B3054" s="37"/>
      <c r="C3054" s="37"/>
      <c r="D3054" s="37"/>
      <c r="E3054" s="37"/>
      <c r="F3054" s="37"/>
      <c r="G3054" s="37"/>
    </row>
    <row r="3055" spans="1:7">
      <c r="A3055" s="37"/>
      <c r="B3055" s="37"/>
      <c r="C3055" s="37"/>
      <c r="D3055" s="37"/>
      <c r="E3055" s="37"/>
      <c r="F3055" s="37"/>
      <c r="G3055" s="37"/>
    </row>
    <row r="3056" spans="1:7">
      <c r="A3056" s="37"/>
      <c r="B3056" s="37"/>
      <c r="C3056" s="37"/>
      <c r="D3056" s="37"/>
      <c r="E3056" s="37"/>
      <c r="F3056" s="37"/>
      <c r="G3056" s="37"/>
    </row>
    <row r="3057" spans="1:7">
      <c r="A3057" s="37"/>
      <c r="B3057" s="37"/>
      <c r="C3057" s="37"/>
      <c r="D3057" s="37"/>
      <c r="E3057" s="37"/>
      <c r="F3057" s="37"/>
      <c r="G3057" s="37"/>
    </row>
    <row r="3058" spans="1:7">
      <c r="A3058" s="37"/>
      <c r="B3058" s="37"/>
      <c r="C3058" s="37"/>
      <c r="D3058" s="37"/>
      <c r="E3058" s="37"/>
      <c r="F3058" s="37"/>
      <c r="G3058" s="37"/>
    </row>
    <row r="3059" spans="1:7">
      <c r="A3059" s="37"/>
      <c r="B3059" s="37"/>
      <c r="C3059" s="37"/>
      <c r="D3059" s="37"/>
      <c r="E3059" s="37"/>
      <c r="F3059" s="37"/>
      <c r="G3059" s="37"/>
    </row>
    <row r="3060" spans="1:7">
      <c r="A3060" s="37"/>
      <c r="B3060" s="37"/>
      <c r="C3060" s="37"/>
      <c r="D3060" s="37"/>
      <c r="E3060" s="37"/>
      <c r="F3060" s="37"/>
      <c r="G3060" s="37"/>
    </row>
    <row r="3061" spans="1:7">
      <c r="A3061" s="37"/>
      <c r="B3061" s="37"/>
      <c r="C3061" s="37"/>
      <c r="D3061" s="37"/>
      <c r="E3061" s="37"/>
      <c r="F3061" s="37"/>
      <c r="G3061" s="37"/>
    </row>
    <row r="3062" spans="1:7">
      <c r="A3062" s="37"/>
      <c r="B3062" s="37"/>
      <c r="C3062" s="37"/>
      <c r="D3062" s="37"/>
      <c r="E3062" s="37"/>
      <c r="F3062" s="37"/>
      <c r="G3062" s="37"/>
    </row>
    <row r="3063" spans="1:7">
      <c r="A3063" s="37"/>
      <c r="B3063" s="37"/>
      <c r="C3063" s="37"/>
      <c r="D3063" s="37"/>
      <c r="E3063" s="37"/>
      <c r="F3063" s="37"/>
      <c r="G3063" s="37"/>
    </row>
    <row r="3064" spans="1:7">
      <c r="A3064" s="37"/>
      <c r="B3064" s="37"/>
      <c r="C3064" s="37"/>
      <c r="D3064" s="37"/>
      <c r="E3064" s="37"/>
      <c r="F3064" s="37"/>
      <c r="G3064" s="37"/>
    </row>
    <row r="3065" spans="1:7">
      <c r="A3065" s="37"/>
      <c r="B3065" s="37"/>
      <c r="C3065" s="37"/>
      <c r="D3065" s="37"/>
      <c r="E3065" s="37"/>
      <c r="F3065" s="37"/>
      <c r="G3065" s="37"/>
    </row>
    <row r="3066" spans="1:7">
      <c r="A3066" s="37"/>
      <c r="B3066" s="37"/>
      <c r="C3066" s="37"/>
      <c r="D3066" s="37"/>
      <c r="E3066" s="37"/>
      <c r="F3066" s="37"/>
      <c r="G3066" s="37"/>
    </row>
    <row r="3067" spans="1:7">
      <c r="A3067" s="37"/>
      <c r="B3067" s="37"/>
      <c r="C3067" s="37"/>
      <c r="D3067" s="37"/>
      <c r="E3067" s="37"/>
      <c r="F3067" s="37"/>
      <c r="G3067" s="37"/>
    </row>
    <row r="3068" spans="1:7">
      <c r="A3068" s="37"/>
      <c r="B3068" s="37"/>
      <c r="C3068" s="37"/>
      <c r="D3068" s="37"/>
      <c r="E3068" s="37"/>
      <c r="F3068" s="37"/>
      <c r="G3068" s="37"/>
    </row>
    <row r="3069" spans="1:7">
      <c r="A3069" s="37"/>
      <c r="B3069" s="37"/>
      <c r="C3069" s="37"/>
      <c r="D3069" s="37"/>
      <c r="E3069" s="37"/>
      <c r="F3069" s="37"/>
      <c r="G3069" s="37"/>
    </row>
    <row r="3070" spans="1:7">
      <c r="A3070" s="37"/>
      <c r="B3070" s="37"/>
      <c r="C3070" s="37"/>
      <c r="D3070" s="37"/>
      <c r="E3070" s="37"/>
      <c r="F3070" s="37"/>
      <c r="G3070" s="37"/>
    </row>
    <row r="3071" spans="1:7">
      <c r="A3071" s="37"/>
      <c r="B3071" s="37"/>
      <c r="C3071" s="37"/>
      <c r="D3071" s="37"/>
      <c r="E3071" s="37"/>
      <c r="F3071" s="37"/>
      <c r="G3071" s="37"/>
    </row>
    <row r="3072" spans="1:7">
      <c r="A3072" s="37"/>
      <c r="B3072" s="37"/>
      <c r="C3072" s="37"/>
      <c r="D3072" s="37"/>
      <c r="E3072" s="37"/>
      <c r="F3072" s="37"/>
      <c r="G3072" s="37"/>
    </row>
    <row r="3073" spans="1:7">
      <c r="A3073" s="37"/>
      <c r="B3073" s="37"/>
      <c r="C3073" s="37"/>
      <c r="D3073" s="37"/>
      <c r="E3073" s="37"/>
      <c r="F3073" s="37"/>
      <c r="G3073" s="37"/>
    </row>
    <row r="3074" spans="1:7">
      <c r="A3074" s="37"/>
      <c r="B3074" s="37"/>
      <c r="C3074" s="37"/>
      <c r="D3074" s="37"/>
      <c r="E3074" s="37"/>
      <c r="F3074" s="37"/>
      <c r="G3074" s="37"/>
    </row>
    <row r="3075" spans="1:7">
      <c r="A3075" s="37"/>
      <c r="B3075" s="37"/>
      <c r="C3075" s="37"/>
      <c r="D3075" s="37"/>
      <c r="E3075" s="37"/>
      <c r="F3075" s="37"/>
      <c r="G3075" s="37"/>
    </row>
    <row r="3076" spans="1:7">
      <c r="A3076" s="37"/>
      <c r="B3076" s="37"/>
      <c r="C3076" s="37"/>
      <c r="D3076" s="37"/>
      <c r="E3076" s="37"/>
      <c r="F3076" s="37"/>
      <c r="G3076" s="37"/>
    </row>
    <row r="3077" spans="1:7">
      <c r="A3077" s="37"/>
      <c r="B3077" s="37"/>
      <c r="C3077" s="37"/>
      <c r="D3077" s="37"/>
      <c r="E3077" s="37"/>
      <c r="F3077" s="37"/>
      <c r="G3077" s="37"/>
    </row>
    <row r="3078" spans="1:7">
      <c r="A3078" s="37"/>
      <c r="B3078" s="37"/>
      <c r="C3078" s="37"/>
      <c r="D3078" s="37"/>
      <c r="E3078" s="37"/>
      <c r="F3078" s="37"/>
      <c r="G3078" s="37"/>
    </row>
    <row r="3079" spans="1:7">
      <c r="A3079" s="37"/>
      <c r="B3079" s="37"/>
      <c r="C3079" s="37"/>
      <c r="D3079" s="37"/>
      <c r="E3079" s="37"/>
      <c r="F3079" s="37"/>
      <c r="G3079" s="37"/>
    </row>
    <row r="3080" spans="1:7">
      <c r="A3080" s="37"/>
      <c r="B3080" s="37"/>
      <c r="C3080" s="37"/>
      <c r="D3080" s="37"/>
      <c r="E3080" s="37"/>
      <c r="F3080" s="37"/>
      <c r="G3080" s="37"/>
    </row>
    <row r="3081" spans="1:7">
      <c r="A3081" s="37"/>
      <c r="B3081" s="37"/>
      <c r="C3081" s="37"/>
      <c r="D3081" s="37"/>
      <c r="E3081" s="37"/>
      <c r="F3081" s="37"/>
      <c r="G3081" s="37"/>
    </row>
    <row r="3082" spans="1:7">
      <c r="A3082" s="37"/>
      <c r="B3082" s="37"/>
      <c r="C3082" s="37"/>
      <c r="D3082" s="37"/>
      <c r="E3082" s="37"/>
      <c r="F3082" s="37"/>
      <c r="G3082" s="37"/>
    </row>
    <row r="3083" spans="1:7">
      <c r="A3083" s="37"/>
      <c r="B3083" s="37"/>
      <c r="C3083" s="37"/>
      <c r="D3083" s="37"/>
      <c r="E3083" s="37"/>
      <c r="F3083" s="37"/>
      <c r="G3083" s="37"/>
    </row>
    <row r="3084" spans="1:7">
      <c r="A3084" s="37"/>
      <c r="B3084" s="37"/>
      <c r="C3084" s="37"/>
      <c r="D3084" s="37"/>
      <c r="E3084" s="37"/>
      <c r="F3084" s="37"/>
      <c r="G3084" s="37"/>
    </row>
    <row r="3085" spans="1:7">
      <c r="A3085" s="37"/>
      <c r="B3085" s="37"/>
      <c r="C3085" s="37"/>
      <c r="D3085" s="37"/>
      <c r="E3085" s="37"/>
      <c r="F3085" s="37"/>
      <c r="G3085" s="37"/>
    </row>
    <row r="3086" spans="1:7">
      <c r="A3086" s="37"/>
      <c r="B3086" s="37"/>
      <c r="C3086" s="37"/>
      <c r="D3086" s="37"/>
      <c r="E3086" s="37"/>
      <c r="F3086" s="37"/>
      <c r="G3086" s="37"/>
    </row>
    <row r="3087" spans="1:7">
      <c r="A3087" s="37"/>
      <c r="B3087" s="37"/>
      <c r="C3087" s="37"/>
      <c r="D3087" s="37"/>
      <c r="E3087" s="37"/>
      <c r="F3087" s="37"/>
      <c r="G3087" s="37"/>
    </row>
    <row r="3088" spans="1:7">
      <c r="A3088" s="37"/>
      <c r="B3088" s="37"/>
      <c r="C3088" s="37"/>
      <c r="D3088" s="37"/>
      <c r="E3088" s="37"/>
      <c r="F3088" s="37"/>
      <c r="G3088" s="37"/>
    </row>
    <row r="3089" spans="1:7">
      <c r="A3089" s="37"/>
      <c r="B3089" s="37"/>
      <c r="C3089" s="37"/>
      <c r="D3089" s="37"/>
      <c r="E3089" s="37"/>
      <c r="F3089" s="37"/>
      <c r="G3089" s="37"/>
    </row>
    <row r="3090" spans="1:7">
      <c r="A3090" s="37"/>
      <c r="B3090" s="37"/>
      <c r="C3090" s="37"/>
      <c r="D3090" s="37"/>
      <c r="E3090" s="37"/>
      <c r="F3090" s="37"/>
      <c r="G3090" s="37"/>
    </row>
    <row r="3091" spans="1:7">
      <c r="A3091" s="37"/>
      <c r="B3091" s="37"/>
      <c r="C3091" s="37"/>
      <c r="D3091" s="37"/>
      <c r="E3091" s="37"/>
      <c r="F3091" s="37"/>
      <c r="G3091" s="37"/>
    </row>
    <row r="3092" spans="1:7">
      <c r="A3092" s="37"/>
      <c r="B3092" s="37"/>
      <c r="C3092" s="37"/>
      <c r="D3092" s="37"/>
      <c r="E3092" s="37"/>
      <c r="F3092" s="37"/>
      <c r="G3092" s="37"/>
    </row>
    <row r="3093" spans="1:7">
      <c r="A3093" s="37"/>
      <c r="B3093" s="37"/>
      <c r="C3093" s="37"/>
      <c r="D3093" s="37"/>
      <c r="E3093" s="37"/>
      <c r="F3093" s="37"/>
      <c r="G3093" s="37"/>
    </row>
    <row r="3094" spans="1:7">
      <c r="A3094" s="37"/>
      <c r="B3094" s="37"/>
      <c r="C3094" s="37"/>
      <c r="D3094" s="37"/>
      <c r="E3094" s="37"/>
      <c r="F3094" s="37"/>
      <c r="G3094" s="37"/>
    </row>
    <row r="3095" spans="1:7">
      <c r="A3095" s="37"/>
      <c r="B3095" s="37"/>
      <c r="C3095" s="37"/>
      <c r="D3095" s="37"/>
      <c r="E3095" s="37"/>
      <c r="F3095" s="37"/>
      <c r="G3095" s="37"/>
    </row>
    <row r="3096" spans="1:7">
      <c r="A3096" s="37"/>
      <c r="B3096" s="37"/>
      <c r="C3096" s="37"/>
      <c r="D3096" s="37"/>
      <c r="E3096" s="37"/>
      <c r="F3096" s="37"/>
      <c r="G3096" s="37"/>
    </row>
    <row r="3097" spans="1:7">
      <c r="A3097" s="37"/>
      <c r="B3097" s="37"/>
      <c r="C3097" s="37"/>
      <c r="D3097" s="37"/>
      <c r="E3097" s="37"/>
      <c r="F3097" s="37"/>
      <c r="G3097" s="37"/>
    </row>
    <row r="3098" spans="1:7">
      <c r="A3098" s="37"/>
      <c r="B3098" s="37"/>
      <c r="C3098" s="37"/>
      <c r="D3098" s="37"/>
      <c r="E3098" s="37"/>
      <c r="F3098" s="37"/>
      <c r="G3098" s="37"/>
    </row>
    <row r="3099" spans="1:7">
      <c r="A3099" s="37"/>
      <c r="B3099" s="37"/>
      <c r="C3099" s="37"/>
      <c r="D3099" s="37"/>
      <c r="E3099" s="37"/>
      <c r="F3099" s="37"/>
      <c r="G3099" s="37"/>
    </row>
    <row r="3100" spans="1:7">
      <c r="A3100" s="37"/>
      <c r="B3100" s="37"/>
      <c r="C3100" s="37"/>
      <c r="D3100" s="37"/>
      <c r="E3100" s="37"/>
      <c r="F3100" s="37"/>
      <c r="G3100" s="37"/>
    </row>
    <row r="3101" spans="1:7">
      <c r="A3101" s="37"/>
      <c r="B3101" s="37"/>
      <c r="C3101" s="37"/>
      <c r="D3101" s="37"/>
      <c r="E3101" s="37"/>
      <c r="F3101" s="37"/>
      <c r="G3101" s="37"/>
    </row>
    <row r="3102" spans="1:7">
      <c r="A3102" s="37"/>
      <c r="B3102" s="37"/>
      <c r="C3102" s="37"/>
      <c r="D3102" s="37"/>
      <c r="E3102" s="37"/>
      <c r="F3102" s="37"/>
      <c r="G3102" s="37"/>
    </row>
    <row r="3103" spans="1:7">
      <c r="A3103" s="37"/>
      <c r="B3103" s="37"/>
      <c r="C3103" s="37"/>
      <c r="D3103" s="37"/>
      <c r="E3103" s="37"/>
      <c r="F3103" s="37"/>
      <c r="G3103" s="37"/>
    </row>
    <row r="3104" spans="1:7">
      <c r="A3104" s="37"/>
      <c r="B3104" s="37"/>
      <c r="C3104" s="37"/>
      <c r="D3104" s="37"/>
      <c r="E3104" s="37"/>
      <c r="F3104" s="37"/>
      <c r="G3104" s="37"/>
    </row>
    <row r="3105" spans="1:7">
      <c r="A3105" s="37"/>
      <c r="B3105" s="37"/>
      <c r="C3105" s="37"/>
      <c r="D3105" s="37"/>
      <c r="E3105" s="37"/>
      <c r="F3105" s="37"/>
      <c r="G3105" s="37"/>
    </row>
    <row r="3106" spans="1:7">
      <c r="A3106" s="37"/>
      <c r="B3106" s="37"/>
      <c r="C3106" s="37"/>
      <c r="D3106" s="37"/>
      <c r="E3106" s="37"/>
      <c r="F3106" s="37"/>
      <c r="G3106" s="37"/>
    </row>
    <row r="3107" spans="1:7">
      <c r="A3107" s="37"/>
      <c r="B3107" s="37"/>
      <c r="C3107" s="37"/>
      <c r="D3107" s="37"/>
      <c r="E3107" s="37"/>
      <c r="F3107" s="37"/>
      <c r="G3107" s="37"/>
    </row>
    <row r="3108" spans="1:7">
      <c r="A3108" s="37"/>
      <c r="B3108" s="37"/>
      <c r="C3108" s="37"/>
      <c r="D3108" s="37"/>
      <c r="E3108" s="37"/>
      <c r="F3108" s="37"/>
      <c r="G3108" s="37"/>
    </row>
    <row r="3109" spans="1:7">
      <c r="A3109" s="37"/>
      <c r="B3109" s="37"/>
      <c r="C3109" s="37"/>
      <c r="D3109" s="37"/>
      <c r="E3109" s="37"/>
      <c r="F3109" s="37"/>
      <c r="G3109" s="37"/>
    </row>
    <row r="3110" spans="1:7">
      <c r="A3110" s="37"/>
      <c r="B3110" s="37"/>
      <c r="C3110" s="37"/>
      <c r="D3110" s="37"/>
      <c r="E3110" s="37"/>
      <c r="F3110" s="37"/>
      <c r="G3110" s="37"/>
    </row>
    <row r="3111" spans="1:7">
      <c r="A3111" s="37"/>
      <c r="B3111" s="37"/>
      <c r="C3111" s="37"/>
      <c r="D3111" s="37"/>
      <c r="E3111" s="37"/>
      <c r="F3111" s="37"/>
      <c r="G3111" s="37"/>
    </row>
    <row r="3112" spans="1:7">
      <c r="A3112" s="37"/>
      <c r="B3112" s="37"/>
      <c r="C3112" s="37"/>
      <c r="D3112" s="37"/>
      <c r="E3112" s="37"/>
      <c r="F3112" s="37"/>
      <c r="G3112" s="37"/>
    </row>
    <row r="3113" spans="1:7">
      <c r="A3113" s="37"/>
      <c r="B3113" s="37"/>
      <c r="C3113" s="37"/>
      <c r="D3113" s="37"/>
      <c r="E3113" s="37"/>
      <c r="F3113" s="37"/>
      <c r="G3113" s="37"/>
    </row>
    <row r="3114" spans="1:7">
      <c r="A3114" s="37"/>
      <c r="B3114" s="37"/>
      <c r="C3114" s="37"/>
      <c r="D3114" s="37"/>
      <c r="E3114" s="37"/>
      <c r="F3114" s="37"/>
      <c r="G3114" s="37"/>
    </row>
    <row r="3115" spans="1:7">
      <c r="A3115" s="37"/>
      <c r="B3115" s="37"/>
      <c r="C3115" s="37"/>
      <c r="D3115" s="37"/>
      <c r="E3115" s="37"/>
      <c r="F3115" s="37"/>
      <c r="G3115" s="37"/>
    </row>
    <row r="3116" spans="1:7">
      <c r="A3116" s="37"/>
      <c r="B3116" s="37"/>
      <c r="C3116" s="37"/>
      <c r="D3116" s="37"/>
      <c r="E3116" s="37"/>
      <c r="F3116" s="37"/>
      <c r="G3116" s="37"/>
    </row>
    <row r="3117" spans="1:7">
      <c r="A3117" s="37"/>
      <c r="B3117" s="37"/>
      <c r="C3117" s="37"/>
      <c r="D3117" s="37"/>
      <c r="E3117" s="37"/>
      <c r="F3117" s="37"/>
      <c r="G3117" s="37"/>
    </row>
    <row r="3118" spans="1:7">
      <c r="A3118" s="37"/>
      <c r="B3118" s="37"/>
      <c r="C3118" s="37"/>
      <c r="D3118" s="37"/>
      <c r="E3118" s="37"/>
      <c r="F3118" s="37"/>
      <c r="G3118" s="37"/>
    </row>
    <row r="3119" spans="1:7">
      <c r="A3119" s="37"/>
      <c r="B3119" s="37"/>
      <c r="C3119" s="37"/>
      <c r="D3119" s="37"/>
      <c r="E3119" s="37"/>
      <c r="F3119" s="37"/>
      <c r="G3119" s="37"/>
    </row>
    <row r="3120" spans="1:7">
      <c r="A3120" s="37"/>
      <c r="B3120" s="37"/>
      <c r="C3120" s="37"/>
      <c r="D3120" s="37"/>
      <c r="E3120" s="37"/>
      <c r="F3120" s="37"/>
      <c r="G3120" s="37"/>
    </row>
    <row r="3121" spans="1:7">
      <c r="A3121" s="37"/>
      <c r="B3121" s="37"/>
      <c r="C3121" s="37"/>
      <c r="D3121" s="37"/>
      <c r="E3121" s="37"/>
      <c r="F3121" s="37"/>
      <c r="G3121" s="37"/>
    </row>
    <row r="3122" spans="1:7">
      <c r="A3122" s="37"/>
      <c r="B3122" s="37"/>
      <c r="C3122" s="37"/>
      <c r="D3122" s="37"/>
      <c r="E3122" s="37"/>
      <c r="F3122" s="37"/>
      <c r="G3122" s="37"/>
    </row>
    <row r="3123" spans="1:7">
      <c r="A3123" s="37"/>
      <c r="B3123" s="37"/>
      <c r="C3123" s="37"/>
      <c r="D3123" s="37"/>
      <c r="E3123" s="37"/>
      <c r="F3123" s="37"/>
      <c r="G3123" s="37"/>
    </row>
    <row r="3124" spans="1:7">
      <c r="A3124" s="37"/>
      <c r="B3124" s="37"/>
      <c r="C3124" s="37"/>
      <c r="D3124" s="37"/>
      <c r="E3124" s="37"/>
      <c r="F3124" s="37"/>
      <c r="G3124" s="37"/>
    </row>
    <row r="3125" spans="1:7">
      <c r="A3125" s="37"/>
      <c r="B3125" s="37"/>
      <c r="C3125" s="37"/>
      <c r="D3125" s="37"/>
      <c r="E3125" s="37"/>
      <c r="F3125" s="37"/>
      <c r="G3125" s="37"/>
    </row>
    <row r="3126" spans="1:7">
      <c r="A3126" s="37"/>
      <c r="B3126" s="37"/>
      <c r="C3126" s="37"/>
      <c r="D3126" s="37"/>
      <c r="E3126" s="37"/>
      <c r="F3126" s="37"/>
      <c r="G3126" s="37"/>
    </row>
    <row r="3127" spans="1:7">
      <c r="A3127" s="37"/>
      <c r="B3127" s="37"/>
      <c r="C3127" s="37"/>
      <c r="D3127" s="37"/>
      <c r="E3127" s="37"/>
      <c r="F3127" s="37"/>
      <c r="G3127" s="37"/>
    </row>
    <row r="3128" spans="1:7">
      <c r="A3128" s="37"/>
      <c r="B3128" s="37"/>
      <c r="C3128" s="37"/>
      <c r="D3128" s="37"/>
      <c r="E3128" s="37"/>
      <c r="F3128" s="37"/>
      <c r="G3128" s="37"/>
    </row>
    <row r="3129" spans="1:7">
      <c r="A3129" s="37"/>
      <c r="B3129" s="37"/>
      <c r="C3129" s="37"/>
      <c r="D3129" s="37"/>
      <c r="E3129" s="37"/>
      <c r="F3129" s="37"/>
      <c r="G3129" s="37"/>
    </row>
    <row r="3130" spans="1:7">
      <c r="A3130" s="37"/>
      <c r="B3130" s="37"/>
      <c r="C3130" s="37"/>
      <c r="D3130" s="37"/>
      <c r="E3130" s="37"/>
      <c r="F3130" s="37"/>
      <c r="G3130" s="37"/>
    </row>
    <row r="3131" spans="1:7">
      <c r="A3131" s="37"/>
      <c r="B3131" s="37"/>
      <c r="C3131" s="37"/>
      <c r="D3131" s="37"/>
      <c r="E3131" s="37"/>
      <c r="F3131" s="37"/>
      <c r="G3131" s="37"/>
    </row>
    <row r="3132" spans="1:7">
      <c r="A3132" s="37"/>
      <c r="B3132" s="37"/>
      <c r="C3132" s="37"/>
      <c r="D3132" s="37"/>
      <c r="E3132" s="37"/>
      <c r="F3132" s="37"/>
      <c r="G3132" s="37"/>
    </row>
    <row r="3133" spans="1:7">
      <c r="A3133" s="37"/>
      <c r="B3133" s="37"/>
      <c r="C3133" s="37"/>
      <c r="D3133" s="37"/>
      <c r="E3133" s="37"/>
      <c r="F3133" s="37"/>
      <c r="G3133" s="37"/>
    </row>
    <row r="3134" spans="1:7">
      <c r="A3134" s="37"/>
      <c r="B3134" s="37"/>
      <c r="C3134" s="37"/>
      <c r="D3134" s="37"/>
      <c r="E3134" s="37"/>
      <c r="F3134" s="37"/>
      <c r="G3134" s="37"/>
    </row>
    <row r="3135" spans="1:7">
      <c r="A3135" s="37"/>
      <c r="B3135" s="37"/>
      <c r="C3135" s="37"/>
      <c r="D3135" s="37"/>
      <c r="E3135" s="37"/>
      <c r="F3135" s="37"/>
      <c r="G3135" s="37"/>
    </row>
    <row r="3136" spans="1:7">
      <c r="A3136" s="37"/>
      <c r="B3136" s="37"/>
      <c r="C3136" s="37"/>
      <c r="D3136" s="37"/>
      <c r="E3136" s="37"/>
      <c r="F3136" s="37"/>
      <c r="G3136" s="37"/>
    </row>
    <row r="3137" spans="1:7">
      <c r="A3137" s="37"/>
      <c r="B3137" s="37"/>
      <c r="C3137" s="37"/>
      <c r="D3137" s="37"/>
      <c r="E3137" s="37"/>
      <c r="F3137" s="37"/>
      <c r="G3137" s="37"/>
    </row>
    <row r="3138" spans="1:7">
      <c r="A3138" s="37"/>
      <c r="B3138" s="37"/>
      <c r="C3138" s="37"/>
      <c r="D3138" s="37"/>
      <c r="E3138" s="37"/>
      <c r="F3138" s="37"/>
      <c r="G3138" s="37"/>
    </row>
    <row r="3139" spans="1:7">
      <c r="A3139" s="37"/>
      <c r="B3139" s="37"/>
      <c r="C3139" s="37"/>
      <c r="D3139" s="37"/>
      <c r="E3139" s="37"/>
      <c r="F3139" s="37"/>
      <c r="G3139" s="37"/>
    </row>
    <row r="3140" spans="1:7">
      <c r="A3140" s="37"/>
      <c r="B3140" s="37"/>
      <c r="C3140" s="37"/>
      <c r="D3140" s="37"/>
      <c r="E3140" s="37"/>
      <c r="F3140" s="37"/>
      <c r="G3140" s="37"/>
    </row>
    <row r="3141" spans="1:7">
      <c r="A3141" s="37"/>
      <c r="B3141" s="37"/>
      <c r="C3141" s="37"/>
      <c r="D3141" s="37"/>
      <c r="E3141" s="37"/>
      <c r="F3141" s="37"/>
      <c r="G3141" s="37"/>
    </row>
    <row r="3142" spans="1:7">
      <c r="A3142" s="37"/>
      <c r="B3142" s="37"/>
      <c r="C3142" s="37"/>
      <c r="D3142" s="37"/>
      <c r="E3142" s="37"/>
      <c r="F3142" s="37"/>
      <c r="G3142" s="37"/>
    </row>
    <row r="3143" spans="1:7">
      <c r="A3143" s="37"/>
      <c r="B3143" s="37"/>
      <c r="C3143" s="37"/>
      <c r="D3143" s="37"/>
      <c r="E3143" s="37"/>
      <c r="F3143" s="37"/>
      <c r="G3143" s="37"/>
    </row>
    <row r="3144" spans="1:7">
      <c r="A3144" s="37"/>
      <c r="B3144" s="37"/>
      <c r="C3144" s="37"/>
      <c r="D3144" s="37"/>
      <c r="E3144" s="37"/>
      <c r="F3144" s="37"/>
      <c r="G3144" s="37"/>
    </row>
    <row r="3145" spans="1:7">
      <c r="A3145" s="37"/>
      <c r="B3145" s="37"/>
      <c r="C3145" s="37"/>
      <c r="D3145" s="37"/>
      <c r="E3145" s="37"/>
      <c r="F3145" s="37"/>
      <c r="G3145" s="37"/>
    </row>
    <row r="3146" spans="1:7">
      <c r="A3146" s="37"/>
      <c r="B3146" s="37"/>
      <c r="C3146" s="37"/>
      <c r="D3146" s="37"/>
      <c r="E3146" s="37"/>
      <c r="F3146" s="37"/>
      <c r="G3146" s="37"/>
    </row>
    <row r="3147" spans="1:7">
      <c r="A3147" s="37"/>
      <c r="B3147" s="37"/>
      <c r="C3147" s="37"/>
      <c r="D3147" s="37"/>
      <c r="E3147" s="37"/>
      <c r="F3147" s="37"/>
      <c r="G3147" s="37"/>
    </row>
    <row r="3148" spans="1:7">
      <c r="A3148" s="37"/>
      <c r="B3148" s="37"/>
      <c r="C3148" s="37"/>
      <c r="D3148" s="37"/>
      <c r="E3148" s="37"/>
      <c r="F3148" s="37"/>
      <c r="G3148" s="37"/>
    </row>
    <row r="3149" spans="1:7">
      <c r="A3149" s="37"/>
      <c r="B3149" s="37"/>
      <c r="C3149" s="37"/>
      <c r="D3149" s="37"/>
      <c r="E3149" s="37"/>
      <c r="F3149" s="37"/>
      <c r="G3149" s="37"/>
    </row>
    <row r="3150" spans="1:7">
      <c r="A3150" s="37"/>
      <c r="B3150" s="37"/>
      <c r="C3150" s="37"/>
      <c r="D3150" s="37"/>
      <c r="E3150" s="37"/>
      <c r="F3150" s="37"/>
      <c r="G3150" s="37"/>
    </row>
    <row r="3151" spans="1:7">
      <c r="A3151" s="37"/>
      <c r="B3151" s="37"/>
      <c r="C3151" s="37"/>
      <c r="D3151" s="37"/>
      <c r="E3151" s="37"/>
      <c r="F3151" s="37"/>
      <c r="G3151" s="37"/>
    </row>
    <row r="3152" spans="1:7">
      <c r="A3152" s="37"/>
      <c r="B3152" s="37"/>
      <c r="C3152" s="37"/>
      <c r="D3152" s="37"/>
      <c r="E3152" s="37"/>
      <c r="F3152" s="37"/>
      <c r="G3152" s="37"/>
    </row>
    <row r="3153" spans="1:7">
      <c r="A3153" s="37"/>
      <c r="B3153" s="37"/>
      <c r="C3153" s="37"/>
      <c r="D3153" s="37"/>
      <c r="E3153" s="37"/>
      <c r="F3153" s="37"/>
      <c r="G3153" s="37"/>
    </row>
    <row r="3154" spans="1:7">
      <c r="A3154" s="37"/>
      <c r="B3154" s="37"/>
      <c r="C3154" s="37"/>
      <c r="D3154" s="37"/>
      <c r="E3154" s="37"/>
      <c r="F3154" s="37"/>
      <c r="G3154" s="37"/>
    </row>
    <row r="3155" spans="1:7">
      <c r="A3155" s="37"/>
      <c r="B3155" s="37"/>
      <c r="C3155" s="37"/>
      <c r="D3155" s="37"/>
      <c r="E3155" s="37"/>
      <c r="F3155" s="37"/>
      <c r="G3155" s="37"/>
    </row>
    <row r="3156" spans="1:7">
      <c r="A3156" s="37"/>
      <c r="B3156" s="37"/>
      <c r="C3156" s="37"/>
      <c r="D3156" s="37"/>
      <c r="E3156" s="37"/>
      <c r="F3156" s="37"/>
      <c r="G3156" s="37"/>
    </row>
    <row r="3157" spans="1:7">
      <c r="A3157" s="37"/>
      <c r="B3157" s="37"/>
      <c r="C3157" s="37"/>
      <c r="D3157" s="37"/>
      <c r="E3157" s="37"/>
      <c r="F3157" s="37"/>
      <c r="G3157" s="37"/>
    </row>
    <row r="3158" spans="1:7">
      <c r="A3158" s="37"/>
      <c r="B3158" s="37"/>
      <c r="C3158" s="37"/>
      <c r="D3158" s="37"/>
      <c r="E3158" s="37"/>
      <c r="F3158" s="37"/>
      <c r="G3158" s="37"/>
    </row>
    <row r="3159" spans="1:7">
      <c r="A3159" s="37"/>
      <c r="B3159" s="37"/>
      <c r="C3159" s="37"/>
      <c r="D3159" s="37"/>
      <c r="E3159" s="37"/>
      <c r="F3159" s="37"/>
      <c r="G3159" s="37"/>
    </row>
    <row r="3160" spans="1:7">
      <c r="A3160" s="37"/>
      <c r="B3160" s="37"/>
      <c r="C3160" s="37"/>
      <c r="D3160" s="37"/>
      <c r="E3160" s="37"/>
      <c r="F3160" s="37"/>
      <c r="G3160" s="37"/>
    </row>
    <row r="3161" spans="1:7">
      <c r="A3161" s="37"/>
      <c r="B3161" s="37"/>
      <c r="C3161" s="37"/>
      <c r="D3161" s="37"/>
      <c r="E3161" s="37"/>
      <c r="F3161" s="37"/>
      <c r="G3161" s="37"/>
    </row>
    <row r="3162" spans="1:7">
      <c r="A3162" s="37"/>
      <c r="B3162" s="37"/>
      <c r="C3162" s="37"/>
      <c r="D3162" s="37"/>
      <c r="E3162" s="37"/>
      <c r="F3162" s="37"/>
      <c r="G3162" s="37"/>
    </row>
    <row r="3163" spans="1:7">
      <c r="A3163" s="37"/>
      <c r="B3163" s="37"/>
      <c r="C3163" s="37"/>
      <c r="D3163" s="37"/>
      <c r="E3163" s="37"/>
      <c r="F3163" s="37"/>
      <c r="G3163" s="37"/>
    </row>
    <row r="3164" spans="1:7">
      <c r="A3164" s="37"/>
      <c r="B3164" s="37"/>
      <c r="C3164" s="37"/>
      <c r="D3164" s="37"/>
      <c r="E3164" s="37"/>
      <c r="F3164" s="37"/>
      <c r="G3164" s="37"/>
    </row>
    <row r="3165" spans="1:7">
      <c r="A3165" s="37"/>
      <c r="B3165" s="37"/>
      <c r="C3165" s="37"/>
      <c r="D3165" s="37"/>
      <c r="E3165" s="37"/>
      <c r="F3165" s="37"/>
      <c r="G3165" s="37"/>
    </row>
    <row r="3166" spans="1:7">
      <c r="A3166" s="37"/>
      <c r="B3166" s="37"/>
      <c r="C3166" s="37"/>
      <c r="D3166" s="37"/>
      <c r="E3166" s="37"/>
      <c r="F3166" s="37"/>
      <c r="G3166" s="37"/>
    </row>
    <row r="3167" spans="1:7">
      <c r="A3167" s="37"/>
      <c r="B3167" s="37"/>
      <c r="C3167" s="37"/>
      <c r="D3167" s="37"/>
      <c r="E3167" s="37"/>
      <c r="F3167" s="37"/>
      <c r="G3167" s="37"/>
    </row>
    <row r="3168" spans="1:7">
      <c r="A3168" s="37"/>
      <c r="B3168" s="37"/>
      <c r="C3168" s="37"/>
      <c r="D3168" s="37"/>
      <c r="E3168" s="37"/>
      <c r="F3168" s="37"/>
      <c r="G3168" s="37"/>
    </row>
    <row r="3169" spans="1:7">
      <c r="A3169" s="37"/>
      <c r="B3169" s="37"/>
      <c r="C3169" s="37"/>
      <c r="D3169" s="37"/>
      <c r="E3169" s="37"/>
      <c r="F3169" s="37"/>
      <c r="G3169" s="37"/>
    </row>
    <row r="3170" spans="1:7">
      <c r="A3170" s="37"/>
      <c r="B3170" s="37"/>
      <c r="C3170" s="37"/>
      <c r="D3170" s="37"/>
      <c r="E3170" s="37"/>
      <c r="F3170" s="37"/>
      <c r="G3170" s="37"/>
    </row>
    <row r="3171" spans="1:7">
      <c r="A3171" s="37"/>
      <c r="B3171" s="37"/>
      <c r="C3171" s="37"/>
      <c r="D3171" s="37"/>
      <c r="E3171" s="37"/>
      <c r="F3171" s="37"/>
      <c r="G3171" s="37"/>
    </row>
    <row r="3172" spans="1:7">
      <c r="A3172" s="37"/>
      <c r="B3172" s="37"/>
      <c r="C3172" s="37"/>
      <c r="D3172" s="37"/>
      <c r="E3172" s="37"/>
      <c r="F3172" s="37"/>
      <c r="G3172" s="37"/>
    </row>
    <row r="3173" spans="1:7">
      <c r="A3173" s="37"/>
      <c r="B3173" s="37"/>
      <c r="C3173" s="37"/>
      <c r="D3173" s="37"/>
      <c r="E3173" s="37"/>
      <c r="F3173" s="37"/>
      <c r="G3173" s="37"/>
    </row>
    <row r="3174" spans="1:7">
      <c r="A3174" s="37"/>
      <c r="B3174" s="37"/>
      <c r="C3174" s="37"/>
      <c r="D3174" s="37"/>
      <c r="E3174" s="37"/>
      <c r="F3174" s="37"/>
      <c r="G3174" s="37"/>
    </row>
    <row r="3175" spans="1:7">
      <c r="A3175" s="37"/>
      <c r="B3175" s="37"/>
      <c r="C3175" s="37"/>
      <c r="D3175" s="37"/>
      <c r="E3175" s="37"/>
      <c r="F3175" s="37"/>
      <c r="G3175" s="37"/>
    </row>
    <row r="3176" spans="1:7">
      <c r="A3176" s="37"/>
      <c r="B3176" s="37"/>
      <c r="C3176" s="37"/>
      <c r="D3176" s="37"/>
      <c r="E3176" s="37"/>
      <c r="F3176" s="37"/>
      <c r="G3176" s="37"/>
    </row>
    <row r="3177" spans="1:7">
      <c r="A3177" s="37"/>
      <c r="B3177" s="37"/>
      <c r="C3177" s="37"/>
      <c r="D3177" s="37"/>
      <c r="E3177" s="37"/>
      <c r="F3177" s="37"/>
      <c r="G3177" s="37"/>
    </row>
    <row r="3178" spans="1:7">
      <c r="A3178" s="37"/>
      <c r="B3178" s="37"/>
      <c r="C3178" s="37"/>
      <c r="D3178" s="37"/>
      <c r="E3178" s="37"/>
      <c r="F3178" s="37"/>
      <c r="G3178" s="37"/>
    </row>
    <row r="3179" spans="1:7">
      <c r="A3179" s="37"/>
      <c r="B3179" s="37"/>
      <c r="C3179" s="37"/>
      <c r="D3179" s="37"/>
      <c r="E3179" s="37"/>
      <c r="F3179" s="37"/>
      <c r="G3179" s="37"/>
    </row>
    <row r="3180" spans="1:7">
      <c r="A3180" s="37"/>
      <c r="B3180" s="37"/>
      <c r="C3180" s="37"/>
      <c r="D3180" s="37"/>
      <c r="E3180" s="37"/>
      <c r="F3180" s="37"/>
      <c r="G3180" s="37"/>
    </row>
    <row r="3181" spans="1:7">
      <c r="A3181" s="37"/>
      <c r="B3181" s="37"/>
      <c r="C3181" s="37"/>
      <c r="D3181" s="37"/>
      <c r="E3181" s="37"/>
      <c r="F3181" s="37"/>
      <c r="G3181" s="37"/>
    </row>
    <row r="3182" spans="1:7">
      <c r="A3182" s="37"/>
      <c r="B3182" s="37"/>
      <c r="C3182" s="37"/>
      <c r="D3182" s="37"/>
      <c r="E3182" s="37"/>
      <c r="F3182" s="37"/>
      <c r="G3182" s="37"/>
    </row>
    <row r="3183" spans="1:7">
      <c r="A3183" s="37"/>
      <c r="B3183" s="37"/>
      <c r="C3183" s="37"/>
      <c r="D3183" s="37"/>
      <c r="E3183" s="37"/>
      <c r="F3183" s="37"/>
      <c r="G3183" s="37"/>
    </row>
    <row r="3184" spans="1:7">
      <c r="A3184" s="37"/>
      <c r="B3184" s="37"/>
      <c r="C3184" s="37"/>
      <c r="D3184" s="37"/>
      <c r="E3184" s="37"/>
      <c r="F3184" s="37"/>
      <c r="G3184" s="37"/>
    </row>
    <row r="3185" spans="1:7">
      <c r="A3185" s="37"/>
      <c r="B3185" s="37"/>
      <c r="C3185" s="37"/>
      <c r="D3185" s="37"/>
      <c r="E3185" s="37"/>
      <c r="F3185" s="37"/>
      <c r="G3185" s="37"/>
    </row>
    <row r="3186" spans="1:7">
      <c r="A3186" s="37"/>
      <c r="B3186" s="37"/>
      <c r="C3186" s="37"/>
      <c r="D3186" s="37"/>
      <c r="E3186" s="37"/>
      <c r="F3186" s="37"/>
      <c r="G3186" s="37"/>
    </row>
    <row r="3187" spans="1:7">
      <c r="A3187" s="37"/>
      <c r="B3187" s="37"/>
      <c r="C3187" s="37"/>
      <c r="D3187" s="37"/>
      <c r="E3187" s="37"/>
      <c r="F3187" s="37"/>
      <c r="G3187" s="37"/>
    </row>
    <row r="3188" spans="1:7">
      <c r="A3188" s="37"/>
      <c r="B3188" s="37"/>
      <c r="C3188" s="37"/>
      <c r="D3188" s="37"/>
      <c r="E3188" s="37"/>
      <c r="F3188" s="37"/>
      <c r="G3188" s="37"/>
    </row>
    <row r="3189" spans="1:7">
      <c r="A3189" s="37"/>
      <c r="B3189" s="37"/>
      <c r="C3189" s="37"/>
      <c r="D3189" s="37"/>
      <c r="E3189" s="37"/>
      <c r="F3189" s="37"/>
      <c r="G3189" s="37"/>
    </row>
    <row r="3190" spans="1:7">
      <c r="A3190" s="37"/>
      <c r="B3190" s="37"/>
      <c r="C3190" s="37"/>
      <c r="D3190" s="37"/>
      <c r="E3190" s="37"/>
      <c r="F3190" s="37"/>
      <c r="G3190" s="37"/>
    </row>
    <row r="3191" spans="1:7">
      <c r="A3191" s="37"/>
      <c r="B3191" s="37"/>
      <c r="C3191" s="37"/>
      <c r="D3191" s="37"/>
      <c r="E3191" s="37"/>
      <c r="F3191" s="37"/>
      <c r="G3191" s="37"/>
    </row>
    <row r="3192" spans="1:7">
      <c r="A3192" s="37"/>
      <c r="B3192" s="37"/>
      <c r="C3192" s="37"/>
      <c r="D3192" s="37"/>
      <c r="E3192" s="37"/>
      <c r="F3192" s="37"/>
      <c r="G3192" s="37"/>
    </row>
    <row r="3193" spans="1:7">
      <c r="A3193" s="37"/>
      <c r="B3193" s="37"/>
      <c r="C3193" s="37"/>
      <c r="D3193" s="37"/>
      <c r="E3193" s="37"/>
      <c r="F3193" s="37"/>
      <c r="G3193" s="37"/>
    </row>
    <row r="3194" spans="1:7">
      <c r="A3194" s="37"/>
      <c r="B3194" s="37"/>
      <c r="C3194" s="37"/>
      <c r="D3194" s="37"/>
      <c r="E3194" s="37"/>
      <c r="F3194" s="37"/>
      <c r="G3194" s="37"/>
    </row>
    <row r="3195" spans="1:7">
      <c r="A3195" s="37"/>
      <c r="B3195" s="37"/>
      <c r="C3195" s="37"/>
      <c r="D3195" s="37"/>
      <c r="E3195" s="37"/>
      <c r="F3195" s="37"/>
      <c r="G3195" s="37"/>
    </row>
    <row r="3196" spans="1:7">
      <c r="A3196" s="37"/>
      <c r="B3196" s="37"/>
      <c r="C3196" s="37"/>
      <c r="D3196" s="37"/>
      <c r="E3196" s="37"/>
      <c r="F3196" s="37"/>
      <c r="G3196" s="37"/>
    </row>
    <row r="3197" spans="1:7">
      <c r="A3197" s="37"/>
      <c r="B3197" s="37"/>
      <c r="C3197" s="37"/>
      <c r="D3197" s="37"/>
      <c r="E3197" s="37"/>
      <c r="F3197" s="37"/>
      <c r="G3197" s="37"/>
    </row>
    <row r="3198" spans="1:7">
      <c r="A3198" s="37"/>
      <c r="B3198" s="37"/>
      <c r="C3198" s="37"/>
      <c r="D3198" s="37"/>
      <c r="E3198" s="37"/>
      <c r="F3198" s="37"/>
      <c r="G3198" s="37"/>
    </row>
    <row r="3199" spans="1:7">
      <c r="A3199" s="37"/>
      <c r="B3199" s="37"/>
      <c r="C3199" s="37"/>
      <c r="D3199" s="37"/>
      <c r="E3199" s="37"/>
      <c r="F3199" s="37"/>
      <c r="G3199" s="37"/>
    </row>
    <row r="3200" spans="1:7">
      <c r="A3200" s="37"/>
      <c r="B3200" s="37"/>
      <c r="C3200" s="37"/>
      <c r="D3200" s="37"/>
      <c r="E3200" s="37"/>
      <c r="F3200" s="37"/>
      <c r="G3200" s="37"/>
    </row>
    <row r="3201" spans="1:7">
      <c r="A3201" s="37"/>
      <c r="B3201" s="37"/>
      <c r="C3201" s="37"/>
      <c r="D3201" s="37"/>
      <c r="E3201" s="37"/>
      <c r="F3201" s="37"/>
      <c r="G3201" s="37"/>
    </row>
    <row r="3202" spans="1:7">
      <c r="A3202" s="37"/>
      <c r="B3202" s="37"/>
      <c r="C3202" s="37"/>
      <c r="D3202" s="37"/>
      <c r="E3202" s="37"/>
      <c r="F3202" s="37"/>
      <c r="G3202" s="37"/>
    </row>
    <row r="3203" spans="1:7">
      <c r="A3203" s="37"/>
      <c r="B3203" s="37"/>
      <c r="C3203" s="37"/>
      <c r="D3203" s="37"/>
      <c r="E3203" s="37"/>
      <c r="F3203" s="37"/>
      <c r="G3203" s="37"/>
    </row>
    <row r="3204" spans="1:7">
      <c r="A3204" s="37"/>
      <c r="B3204" s="37"/>
      <c r="C3204" s="37"/>
      <c r="D3204" s="37"/>
      <c r="E3204" s="37"/>
      <c r="F3204" s="37"/>
      <c r="G3204" s="37"/>
    </row>
    <row r="3205" spans="1:7">
      <c r="A3205" s="37"/>
      <c r="B3205" s="37"/>
      <c r="C3205" s="37"/>
      <c r="D3205" s="37"/>
      <c r="E3205" s="37"/>
      <c r="F3205" s="37"/>
      <c r="G3205" s="37"/>
    </row>
    <row r="3206" spans="1:7">
      <c r="A3206" s="37"/>
      <c r="B3206" s="37"/>
      <c r="C3206" s="37"/>
      <c r="D3206" s="37"/>
      <c r="E3206" s="37"/>
      <c r="F3206" s="37"/>
      <c r="G3206" s="37"/>
    </row>
    <row r="3207" spans="1:7">
      <c r="A3207" s="37"/>
      <c r="B3207" s="37"/>
      <c r="C3207" s="37"/>
      <c r="D3207" s="37"/>
      <c r="E3207" s="37"/>
      <c r="F3207" s="37"/>
      <c r="G3207" s="37"/>
    </row>
    <row r="3208" spans="1:7">
      <c r="A3208" s="37"/>
      <c r="B3208" s="37"/>
      <c r="C3208" s="37"/>
      <c r="D3208" s="37"/>
      <c r="E3208" s="37"/>
      <c r="F3208" s="37"/>
      <c r="G3208" s="37"/>
    </row>
    <row r="3209" spans="1:7">
      <c r="A3209" s="37"/>
      <c r="B3209" s="37"/>
      <c r="C3209" s="37"/>
      <c r="D3209" s="37"/>
      <c r="E3209" s="37"/>
      <c r="F3209" s="37"/>
      <c r="G3209" s="37"/>
    </row>
    <row r="3210" spans="1:7">
      <c r="A3210" s="37"/>
      <c r="B3210" s="37"/>
      <c r="C3210" s="37"/>
      <c r="D3210" s="37"/>
      <c r="E3210" s="37"/>
      <c r="F3210" s="37"/>
      <c r="G3210" s="37"/>
    </row>
    <row r="3211" spans="1:7">
      <c r="A3211" s="37"/>
      <c r="B3211" s="37"/>
      <c r="C3211" s="37"/>
      <c r="D3211" s="37"/>
      <c r="E3211" s="37"/>
      <c r="F3211" s="37"/>
      <c r="G3211" s="37"/>
    </row>
    <row r="3212" spans="1:7">
      <c r="A3212" s="37"/>
      <c r="B3212" s="37"/>
      <c r="C3212" s="37"/>
      <c r="D3212" s="37"/>
      <c r="E3212" s="37"/>
      <c r="F3212" s="37"/>
      <c r="G3212" s="37"/>
    </row>
    <row r="3213" spans="1:7">
      <c r="A3213" s="37"/>
      <c r="B3213" s="37"/>
      <c r="C3213" s="37"/>
      <c r="D3213" s="37"/>
      <c r="E3213" s="37"/>
      <c r="F3213" s="37"/>
      <c r="G3213" s="37"/>
    </row>
    <row r="3214" spans="1:7">
      <c r="A3214" s="37"/>
      <c r="B3214" s="37"/>
      <c r="C3214" s="37"/>
      <c r="D3214" s="37"/>
      <c r="E3214" s="37"/>
      <c r="F3214" s="37"/>
      <c r="G3214" s="37"/>
    </row>
    <row r="3215" spans="1:7">
      <c r="A3215" s="37"/>
      <c r="B3215" s="37"/>
      <c r="C3215" s="37"/>
      <c r="D3215" s="37"/>
      <c r="E3215" s="37"/>
      <c r="F3215" s="37"/>
      <c r="G3215" s="37"/>
    </row>
    <row r="3216" spans="1:7">
      <c r="A3216" s="37"/>
      <c r="B3216" s="37"/>
      <c r="C3216" s="37"/>
      <c r="D3216" s="37"/>
      <c r="E3216" s="37"/>
      <c r="F3216" s="37"/>
      <c r="G3216" s="37"/>
    </row>
    <row r="3217" spans="1:7">
      <c r="A3217" s="37"/>
      <c r="B3217" s="37"/>
      <c r="C3217" s="37"/>
      <c r="D3217" s="37"/>
      <c r="E3217" s="37"/>
      <c r="F3217" s="37"/>
      <c r="G3217" s="37"/>
    </row>
    <row r="3218" spans="1:7">
      <c r="A3218" s="37"/>
      <c r="B3218" s="37"/>
      <c r="C3218" s="37"/>
      <c r="D3218" s="37"/>
      <c r="E3218" s="37"/>
      <c r="F3218" s="37"/>
      <c r="G3218" s="37"/>
    </row>
    <row r="3219" spans="1:7">
      <c r="A3219" s="37"/>
      <c r="B3219" s="37"/>
      <c r="C3219" s="37"/>
      <c r="D3219" s="37"/>
      <c r="E3219" s="37"/>
      <c r="F3219" s="37"/>
      <c r="G3219" s="37"/>
    </row>
    <row r="3220" spans="1:7">
      <c r="A3220" s="37"/>
      <c r="B3220" s="37"/>
      <c r="C3220" s="37"/>
      <c r="D3220" s="37"/>
      <c r="E3220" s="37"/>
      <c r="F3220" s="37"/>
      <c r="G3220" s="37"/>
    </row>
    <row r="3221" spans="1:7">
      <c r="A3221" s="37"/>
      <c r="B3221" s="37"/>
      <c r="C3221" s="37"/>
      <c r="D3221" s="37"/>
      <c r="E3221" s="37"/>
      <c r="F3221" s="37"/>
      <c r="G3221" s="37"/>
    </row>
    <row r="3222" spans="1:7">
      <c r="A3222" s="37"/>
      <c r="B3222" s="37"/>
      <c r="C3222" s="37"/>
      <c r="D3222" s="37"/>
      <c r="E3222" s="37"/>
      <c r="F3222" s="37"/>
      <c r="G3222" s="37"/>
    </row>
    <row r="3223" spans="1:7">
      <c r="A3223" s="37"/>
      <c r="B3223" s="37"/>
      <c r="C3223" s="37"/>
      <c r="D3223" s="37"/>
      <c r="E3223" s="37"/>
      <c r="F3223" s="37"/>
      <c r="G3223" s="37"/>
    </row>
    <row r="3224" spans="1:7">
      <c r="A3224" s="37"/>
      <c r="B3224" s="37"/>
      <c r="C3224" s="37"/>
      <c r="D3224" s="37"/>
      <c r="E3224" s="37"/>
      <c r="F3224" s="37"/>
      <c r="G3224" s="37"/>
    </row>
    <row r="3225" spans="1:7">
      <c r="A3225" s="37"/>
      <c r="B3225" s="37"/>
      <c r="C3225" s="37"/>
      <c r="D3225" s="37"/>
      <c r="E3225" s="37"/>
      <c r="F3225" s="37"/>
      <c r="G3225" s="37"/>
    </row>
    <row r="3226" spans="1:7">
      <c r="A3226" s="37"/>
      <c r="B3226" s="37"/>
      <c r="C3226" s="37"/>
      <c r="D3226" s="37"/>
      <c r="E3226" s="37"/>
      <c r="F3226" s="37"/>
      <c r="G3226" s="37"/>
    </row>
    <row r="3227" spans="1:7">
      <c r="A3227" s="37"/>
      <c r="B3227" s="37"/>
      <c r="C3227" s="37"/>
      <c r="D3227" s="37"/>
      <c r="E3227" s="37"/>
      <c r="F3227" s="37"/>
      <c r="G3227" s="37"/>
    </row>
    <row r="3228" spans="1:7">
      <c r="A3228" s="37"/>
      <c r="B3228" s="37"/>
      <c r="C3228" s="37"/>
      <c r="D3228" s="37"/>
      <c r="E3228" s="37"/>
      <c r="F3228" s="37"/>
      <c r="G3228" s="37"/>
    </row>
    <row r="3229" spans="1:7">
      <c r="A3229" s="37"/>
      <c r="B3229" s="37"/>
      <c r="C3229" s="37"/>
      <c r="D3229" s="37"/>
      <c r="E3229" s="37"/>
      <c r="F3229" s="37"/>
      <c r="G3229" s="37"/>
    </row>
    <row r="3230" spans="1:7">
      <c r="A3230" s="37"/>
      <c r="B3230" s="37"/>
      <c r="C3230" s="37"/>
      <c r="D3230" s="37"/>
      <c r="E3230" s="37"/>
      <c r="F3230" s="37"/>
      <c r="G3230" s="37"/>
    </row>
    <row r="3231" spans="1:7">
      <c r="A3231" s="37"/>
      <c r="B3231" s="37"/>
      <c r="C3231" s="37"/>
      <c r="D3231" s="37"/>
      <c r="E3231" s="37"/>
      <c r="F3231" s="37"/>
      <c r="G3231" s="37"/>
    </row>
    <row r="3232" spans="1:7">
      <c r="A3232" s="37"/>
      <c r="B3232" s="37"/>
      <c r="C3232" s="37"/>
      <c r="D3232" s="37"/>
      <c r="E3232" s="37"/>
      <c r="F3232" s="37"/>
      <c r="G3232" s="37"/>
    </row>
    <row r="3233" spans="1:7">
      <c r="A3233" s="37"/>
      <c r="B3233" s="37"/>
      <c r="C3233" s="37"/>
      <c r="D3233" s="37"/>
      <c r="E3233" s="37"/>
      <c r="F3233" s="37"/>
      <c r="G3233" s="37"/>
    </row>
    <row r="3234" spans="1:7">
      <c r="A3234" s="37"/>
      <c r="B3234" s="37"/>
      <c r="C3234" s="37"/>
      <c r="D3234" s="37"/>
      <c r="E3234" s="37"/>
      <c r="F3234" s="37"/>
      <c r="G3234" s="37"/>
    </row>
    <row r="3235" spans="1:7">
      <c r="A3235" s="37"/>
      <c r="B3235" s="37"/>
      <c r="C3235" s="37"/>
      <c r="D3235" s="37"/>
      <c r="E3235" s="37"/>
      <c r="F3235" s="37"/>
      <c r="G3235" s="37"/>
    </row>
    <row r="3236" spans="1:7">
      <c r="A3236" s="37"/>
      <c r="B3236" s="37"/>
      <c r="C3236" s="37"/>
      <c r="D3236" s="37"/>
      <c r="E3236" s="37"/>
      <c r="F3236" s="37"/>
      <c r="G3236" s="37"/>
    </row>
    <row r="3237" spans="1:7">
      <c r="A3237" s="37"/>
      <c r="B3237" s="37"/>
      <c r="C3237" s="37"/>
      <c r="D3237" s="37"/>
      <c r="E3237" s="37"/>
      <c r="F3237" s="37"/>
      <c r="G3237" s="37"/>
    </row>
    <row r="3238" spans="1:7">
      <c r="A3238" s="37"/>
      <c r="B3238" s="37"/>
      <c r="C3238" s="37"/>
      <c r="D3238" s="37"/>
      <c r="E3238" s="37"/>
      <c r="F3238" s="37"/>
      <c r="G3238" s="37"/>
    </row>
    <row r="3239" spans="1:7">
      <c r="A3239" s="37"/>
      <c r="B3239" s="37"/>
      <c r="C3239" s="37"/>
      <c r="D3239" s="37"/>
      <c r="E3239" s="37"/>
      <c r="F3239" s="37"/>
      <c r="G3239" s="37"/>
    </row>
    <row r="3240" spans="1:7">
      <c r="A3240" s="37"/>
      <c r="B3240" s="37"/>
      <c r="C3240" s="37"/>
      <c r="D3240" s="37"/>
      <c r="E3240" s="37"/>
      <c r="F3240" s="37"/>
      <c r="G3240" s="37"/>
    </row>
    <row r="3241" spans="1:7">
      <c r="A3241" s="37"/>
      <c r="B3241" s="37"/>
      <c r="C3241" s="37"/>
      <c r="D3241" s="37"/>
      <c r="E3241" s="37"/>
      <c r="F3241" s="37"/>
      <c r="G3241" s="37"/>
    </row>
    <row r="3242" spans="1:7">
      <c r="A3242" s="37"/>
      <c r="B3242" s="37"/>
      <c r="C3242" s="37"/>
      <c r="D3242" s="37"/>
      <c r="E3242" s="37"/>
      <c r="F3242" s="37"/>
      <c r="G3242" s="37"/>
    </row>
    <row r="3243" spans="1:7">
      <c r="A3243" s="37"/>
      <c r="B3243" s="37"/>
      <c r="C3243" s="37"/>
      <c r="D3243" s="37"/>
      <c r="E3243" s="37"/>
      <c r="F3243" s="37"/>
      <c r="G3243" s="37"/>
    </row>
    <row r="3244" spans="1:7">
      <c r="A3244" s="37"/>
      <c r="B3244" s="37"/>
      <c r="C3244" s="37"/>
      <c r="D3244" s="37"/>
      <c r="E3244" s="37"/>
      <c r="F3244" s="37"/>
      <c r="G3244" s="37"/>
    </row>
    <row r="3245" spans="1:7">
      <c r="A3245" s="37"/>
      <c r="B3245" s="37"/>
      <c r="C3245" s="37"/>
      <c r="D3245" s="37"/>
      <c r="E3245" s="37"/>
      <c r="F3245" s="37"/>
      <c r="G3245" s="37"/>
    </row>
    <row r="3246" spans="1:7">
      <c r="A3246" s="37"/>
      <c r="B3246" s="37"/>
      <c r="C3246" s="37"/>
      <c r="D3246" s="37"/>
      <c r="E3246" s="37"/>
      <c r="F3246" s="37"/>
      <c r="G3246" s="37"/>
    </row>
    <row r="3247" spans="1:7">
      <c r="A3247" s="37"/>
      <c r="B3247" s="37"/>
      <c r="C3247" s="37"/>
      <c r="D3247" s="37"/>
      <c r="E3247" s="37"/>
      <c r="F3247" s="37"/>
      <c r="G3247" s="37"/>
    </row>
    <row r="3248" spans="1:7">
      <c r="A3248" s="37"/>
      <c r="B3248" s="37"/>
      <c r="C3248" s="37"/>
      <c r="D3248" s="37"/>
      <c r="E3248" s="37"/>
      <c r="F3248" s="37"/>
      <c r="G3248" s="37"/>
    </row>
    <row r="3249" spans="1:7">
      <c r="A3249" s="37"/>
      <c r="B3249" s="37"/>
      <c r="C3249" s="37"/>
      <c r="D3249" s="37"/>
      <c r="E3249" s="37"/>
      <c r="F3249" s="37"/>
      <c r="G3249" s="37"/>
    </row>
    <row r="3250" spans="1:7">
      <c r="A3250" s="37"/>
      <c r="B3250" s="37"/>
      <c r="C3250" s="37"/>
      <c r="D3250" s="37"/>
      <c r="E3250" s="37"/>
      <c r="F3250" s="37"/>
      <c r="G3250" s="37"/>
    </row>
    <row r="3251" spans="1:7">
      <c r="A3251" s="37"/>
      <c r="B3251" s="37"/>
      <c r="C3251" s="37"/>
      <c r="D3251" s="37"/>
      <c r="E3251" s="37"/>
      <c r="F3251" s="37"/>
      <c r="G3251" s="37"/>
    </row>
    <row r="3252" spans="1:7">
      <c r="A3252" s="37"/>
      <c r="B3252" s="37"/>
      <c r="C3252" s="37"/>
      <c r="D3252" s="37"/>
      <c r="E3252" s="37"/>
      <c r="F3252" s="37"/>
      <c r="G3252" s="37"/>
    </row>
    <row r="3253" spans="1:7">
      <c r="A3253" s="37"/>
      <c r="B3253" s="37"/>
      <c r="C3253" s="37"/>
      <c r="D3253" s="37"/>
      <c r="E3253" s="37"/>
      <c r="F3253" s="37"/>
      <c r="G3253" s="37"/>
    </row>
    <row r="3254" spans="1:7">
      <c r="A3254" s="37"/>
      <c r="B3254" s="37"/>
      <c r="C3254" s="37"/>
      <c r="D3254" s="37"/>
      <c r="E3254" s="37"/>
      <c r="F3254" s="37"/>
      <c r="G3254" s="37"/>
    </row>
    <row r="3255" spans="1:7">
      <c r="A3255" s="37"/>
      <c r="B3255" s="37"/>
      <c r="C3255" s="37"/>
      <c r="D3255" s="37"/>
      <c r="E3255" s="37"/>
      <c r="F3255" s="37"/>
      <c r="G3255" s="37"/>
    </row>
    <row r="3256" spans="1:7">
      <c r="A3256" s="37"/>
      <c r="B3256" s="37"/>
      <c r="C3256" s="37"/>
      <c r="D3256" s="37"/>
      <c r="E3256" s="37"/>
      <c r="F3256" s="37"/>
      <c r="G3256" s="37"/>
    </row>
    <row r="3257" spans="1:7">
      <c r="A3257" s="37"/>
      <c r="B3257" s="37"/>
      <c r="C3257" s="37"/>
      <c r="D3257" s="37"/>
      <c r="E3257" s="37"/>
      <c r="F3257" s="37"/>
      <c r="G3257" s="37"/>
    </row>
    <row r="3258" spans="1:7">
      <c r="A3258" s="37"/>
      <c r="B3258" s="37"/>
      <c r="C3258" s="37"/>
      <c r="D3258" s="37"/>
      <c r="E3258" s="37"/>
      <c r="F3258" s="37"/>
      <c r="G3258" s="37"/>
    </row>
    <row r="3259" spans="1:7">
      <c r="A3259" s="37"/>
      <c r="B3259" s="37"/>
      <c r="C3259" s="37"/>
      <c r="D3259" s="37"/>
      <c r="E3259" s="37"/>
      <c r="F3259" s="37"/>
      <c r="G3259" s="37"/>
    </row>
    <row r="3260" spans="1:7">
      <c r="A3260" s="37"/>
      <c r="B3260" s="37"/>
      <c r="C3260" s="37"/>
      <c r="D3260" s="37"/>
      <c r="E3260" s="37"/>
      <c r="F3260" s="37"/>
      <c r="G3260" s="37"/>
    </row>
    <row r="3261" spans="1:7">
      <c r="A3261" s="37"/>
      <c r="B3261" s="37"/>
      <c r="C3261" s="37"/>
      <c r="D3261" s="37"/>
      <c r="E3261" s="37"/>
      <c r="F3261" s="37"/>
      <c r="G3261" s="37"/>
    </row>
    <row r="3262" spans="1:7">
      <c r="A3262" s="37"/>
      <c r="B3262" s="37"/>
      <c r="C3262" s="37"/>
      <c r="D3262" s="37"/>
      <c r="E3262" s="37"/>
      <c r="F3262" s="37"/>
      <c r="G3262" s="37"/>
    </row>
    <row r="3263" spans="1:7">
      <c r="A3263" s="37"/>
      <c r="B3263" s="37"/>
      <c r="C3263" s="37"/>
      <c r="D3263" s="37"/>
      <c r="E3263" s="37"/>
      <c r="F3263" s="37"/>
      <c r="G3263" s="37"/>
    </row>
    <row r="3264" spans="1:7">
      <c r="A3264" s="37"/>
      <c r="B3264" s="37"/>
      <c r="C3264" s="37"/>
      <c r="D3264" s="37"/>
      <c r="E3264" s="37"/>
      <c r="F3264" s="37"/>
      <c r="G3264" s="37"/>
    </row>
    <row r="3265" spans="1:7">
      <c r="A3265" s="37"/>
      <c r="B3265" s="37"/>
      <c r="C3265" s="37"/>
      <c r="D3265" s="37"/>
      <c r="E3265" s="37"/>
      <c r="F3265" s="37"/>
      <c r="G3265" s="37"/>
    </row>
    <row r="3266" spans="1:7">
      <c r="A3266" s="37"/>
      <c r="B3266" s="37"/>
      <c r="C3266" s="37"/>
      <c r="D3266" s="37"/>
      <c r="E3266" s="37"/>
      <c r="F3266" s="37"/>
      <c r="G3266" s="37"/>
    </row>
    <row r="3267" spans="1:7">
      <c r="A3267" s="37"/>
      <c r="B3267" s="37"/>
      <c r="C3267" s="37"/>
      <c r="D3267" s="37"/>
      <c r="E3267" s="37"/>
      <c r="F3267" s="37"/>
      <c r="G3267" s="37"/>
    </row>
    <row r="3268" spans="1:7">
      <c r="A3268" s="37"/>
      <c r="B3268" s="37"/>
      <c r="C3268" s="37"/>
      <c r="D3268" s="37"/>
      <c r="E3268" s="37"/>
      <c r="F3268" s="37"/>
      <c r="G3268" s="37"/>
    </row>
    <row r="3269" spans="1:7">
      <c r="A3269" s="37"/>
      <c r="B3269" s="37"/>
      <c r="C3269" s="37"/>
      <c r="D3269" s="37"/>
      <c r="E3269" s="37"/>
      <c r="F3269" s="37"/>
      <c r="G3269" s="37"/>
    </row>
    <row r="3270" spans="1:7">
      <c r="A3270" s="37"/>
      <c r="B3270" s="37"/>
      <c r="C3270" s="37"/>
      <c r="D3270" s="37"/>
      <c r="E3270" s="37"/>
      <c r="F3270" s="37"/>
      <c r="G3270" s="37"/>
    </row>
    <row r="3271" spans="1:7">
      <c r="A3271" s="37"/>
      <c r="B3271" s="37"/>
      <c r="C3271" s="37"/>
      <c r="D3271" s="37"/>
      <c r="E3271" s="37"/>
      <c r="F3271" s="37"/>
      <c r="G3271" s="37"/>
    </row>
    <row r="3272" spans="1:7">
      <c r="A3272" s="37"/>
      <c r="B3272" s="37"/>
      <c r="C3272" s="37"/>
      <c r="D3272" s="37"/>
      <c r="E3272" s="37"/>
      <c r="F3272" s="37"/>
      <c r="G3272" s="37"/>
    </row>
    <row r="3273" spans="1:7">
      <c r="A3273" s="37"/>
      <c r="B3273" s="37"/>
      <c r="C3273" s="37"/>
      <c r="D3273" s="37"/>
      <c r="E3273" s="37"/>
      <c r="F3273" s="37"/>
      <c r="G3273" s="37"/>
    </row>
    <row r="3274" spans="1:7">
      <c r="A3274" s="37"/>
      <c r="B3274" s="37"/>
      <c r="C3274" s="37"/>
      <c r="D3274" s="37"/>
      <c r="E3274" s="37"/>
      <c r="F3274" s="37"/>
      <c r="G3274" s="37"/>
    </row>
    <row r="3275" spans="1:7">
      <c r="A3275" s="37"/>
      <c r="B3275" s="37"/>
      <c r="C3275" s="37"/>
      <c r="D3275" s="37"/>
      <c r="E3275" s="37"/>
      <c r="F3275" s="37"/>
      <c r="G3275" s="37"/>
    </row>
    <row r="3276" spans="1:7">
      <c r="A3276" s="37"/>
      <c r="B3276" s="37"/>
      <c r="C3276" s="37"/>
      <c r="D3276" s="37"/>
      <c r="E3276" s="37"/>
      <c r="F3276" s="37"/>
      <c r="G3276" s="37"/>
    </row>
    <row r="3277" spans="1:7">
      <c r="A3277" s="37"/>
      <c r="B3277" s="37"/>
      <c r="C3277" s="37"/>
      <c r="D3277" s="37"/>
      <c r="E3277" s="37"/>
      <c r="F3277" s="37"/>
      <c r="G3277" s="37"/>
    </row>
    <row r="3278" spans="1:7">
      <c r="A3278" s="37"/>
      <c r="B3278" s="37"/>
      <c r="C3278" s="37"/>
      <c r="D3278" s="37"/>
      <c r="E3278" s="37"/>
      <c r="F3278" s="37"/>
      <c r="G3278" s="37"/>
    </row>
    <row r="3279" spans="1:7">
      <c r="A3279" s="37"/>
      <c r="B3279" s="37"/>
      <c r="C3279" s="37"/>
      <c r="D3279" s="37"/>
      <c r="E3279" s="37"/>
      <c r="F3279" s="37"/>
      <c r="G3279" s="37"/>
    </row>
    <row r="3280" spans="1:7">
      <c r="A3280" s="37"/>
      <c r="B3280" s="37"/>
      <c r="C3280" s="37"/>
      <c r="D3280" s="37"/>
      <c r="E3280" s="37"/>
      <c r="F3280" s="37"/>
      <c r="G3280" s="37"/>
    </row>
    <row r="3281" spans="1:7">
      <c r="A3281" s="37"/>
      <c r="B3281" s="37"/>
      <c r="C3281" s="37"/>
      <c r="D3281" s="37"/>
      <c r="E3281" s="37"/>
      <c r="F3281" s="37"/>
      <c r="G3281" s="37"/>
    </row>
    <row r="3282" spans="1:7">
      <c r="A3282" s="37"/>
      <c r="B3282" s="37"/>
      <c r="C3282" s="37"/>
      <c r="D3282" s="37"/>
      <c r="E3282" s="37"/>
      <c r="F3282" s="37"/>
      <c r="G3282" s="37"/>
    </row>
    <row r="3283" spans="1:7">
      <c r="A3283" s="37"/>
      <c r="B3283" s="37"/>
      <c r="C3283" s="37"/>
      <c r="D3283" s="37"/>
      <c r="E3283" s="37"/>
      <c r="F3283" s="37"/>
      <c r="G3283" s="37"/>
    </row>
    <row r="3284" spans="1:7">
      <c r="A3284" s="37"/>
      <c r="B3284" s="37"/>
      <c r="C3284" s="37"/>
      <c r="D3284" s="37"/>
      <c r="E3284" s="37"/>
      <c r="F3284" s="37"/>
      <c r="G3284" s="37"/>
    </row>
    <row r="3285" spans="1:7">
      <c r="A3285" s="37"/>
      <c r="B3285" s="37"/>
      <c r="C3285" s="37"/>
      <c r="D3285" s="37"/>
      <c r="E3285" s="37"/>
      <c r="F3285" s="37"/>
      <c r="G3285" s="37"/>
    </row>
    <row r="3286" spans="1:7">
      <c r="A3286" s="37"/>
      <c r="B3286" s="37"/>
      <c r="C3286" s="37"/>
      <c r="D3286" s="37"/>
      <c r="E3286" s="37"/>
      <c r="F3286" s="37"/>
      <c r="G3286" s="37"/>
    </row>
    <row r="3287" spans="1:7">
      <c r="A3287" s="37"/>
      <c r="B3287" s="37"/>
      <c r="C3287" s="37"/>
      <c r="D3287" s="37"/>
      <c r="E3287" s="37"/>
      <c r="F3287" s="37"/>
      <c r="G3287" s="37"/>
    </row>
    <row r="3288" spans="1:7">
      <c r="A3288" s="37"/>
      <c r="B3288" s="37"/>
      <c r="C3288" s="37"/>
      <c r="D3288" s="37"/>
      <c r="E3288" s="37"/>
      <c r="F3288" s="37"/>
      <c r="G3288" s="37"/>
    </row>
    <row r="3289" spans="1:7">
      <c r="A3289" s="37"/>
      <c r="B3289" s="37"/>
      <c r="C3289" s="37"/>
      <c r="D3289" s="37"/>
      <c r="E3289" s="37"/>
      <c r="F3289" s="37"/>
      <c r="G3289" s="37"/>
    </row>
    <row r="3290" spans="1:7">
      <c r="A3290" s="37"/>
      <c r="B3290" s="37"/>
      <c r="C3290" s="37"/>
      <c r="D3290" s="37"/>
      <c r="E3290" s="37"/>
      <c r="F3290" s="37"/>
      <c r="G3290" s="37"/>
    </row>
    <row r="3291" spans="1:7">
      <c r="A3291" s="37"/>
      <c r="B3291" s="37"/>
      <c r="C3291" s="37"/>
      <c r="D3291" s="37"/>
      <c r="E3291" s="37"/>
      <c r="F3291" s="37"/>
      <c r="G3291" s="37"/>
    </row>
    <row r="3292" spans="1:7">
      <c r="A3292" s="37"/>
      <c r="B3292" s="37"/>
      <c r="C3292" s="37"/>
      <c r="D3292" s="37"/>
      <c r="E3292" s="37"/>
      <c r="F3292" s="37"/>
      <c r="G3292" s="37"/>
    </row>
    <row r="3293" spans="1:7">
      <c r="A3293" s="37"/>
      <c r="B3293" s="37"/>
      <c r="C3293" s="37"/>
      <c r="D3293" s="37"/>
      <c r="E3293" s="37"/>
      <c r="F3293" s="37"/>
      <c r="G3293" s="37"/>
    </row>
    <row r="3294" spans="1:7">
      <c r="A3294" s="37"/>
      <c r="B3294" s="37"/>
      <c r="C3294" s="37"/>
      <c r="D3294" s="37"/>
      <c r="E3294" s="37"/>
      <c r="F3294" s="37"/>
      <c r="G3294" s="37"/>
    </row>
    <row r="3295" spans="1:7">
      <c r="A3295" s="37"/>
      <c r="B3295" s="37"/>
      <c r="C3295" s="37"/>
      <c r="D3295" s="37"/>
      <c r="E3295" s="37"/>
      <c r="F3295" s="37"/>
      <c r="G3295" s="37"/>
    </row>
    <row r="3296" spans="1:7">
      <c r="A3296" s="37"/>
      <c r="B3296" s="37"/>
      <c r="C3296" s="37"/>
      <c r="D3296" s="37"/>
      <c r="E3296" s="37"/>
      <c r="F3296" s="37"/>
      <c r="G3296" s="37"/>
    </row>
    <row r="3297" spans="1:7">
      <c r="A3297" s="37"/>
      <c r="B3297" s="37"/>
      <c r="C3297" s="37"/>
      <c r="D3297" s="37"/>
      <c r="E3297" s="37"/>
      <c r="F3297" s="37"/>
      <c r="G3297" s="37"/>
    </row>
    <row r="3298" spans="1:7">
      <c r="A3298" s="37"/>
      <c r="B3298" s="37"/>
      <c r="C3298" s="37"/>
      <c r="D3298" s="37"/>
      <c r="E3298" s="37"/>
      <c r="F3298" s="37"/>
      <c r="G3298" s="37"/>
    </row>
    <row r="3299" spans="1:7">
      <c r="A3299" s="37"/>
      <c r="B3299" s="37"/>
      <c r="C3299" s="37"/>
      <c r="D3299" s="37"/>
      <c r="E3299" s="37"/>
      <c r="F3299" s="37"/>
      <c r="G3299" s="37"/>
    </row>
    <row r="3300" spans="1:7">
      <c r="A3300" s="37"/>
      <c r="B3300" s="37"/>
      <c r="C3300" s="37"/>
      <c r="D3300" s="37"/>
      <c r="E3300" s="37"/>
      <c r="F3300" s="37"/>
      <c r="G3300" s="37"/>
    </row>
    <row r="3301" spans="1:7">
      <c r="A3301" s="37"/>
      <c r="B3301" s="37"/>
      <c r="C3301" s="37"/>
      <c r="D3301" s="37"/>
      <c r="E3301" s="37"/>
      <c r="F3301" s="37"/>
      <c r="G3301" s="37"/>
    </row>
    <row r="3302" spans="1:7">
      <c r="A3302" s="37"/>
      <c r="B3302" s="37"/>
      <c r="C3302" s="37"/>
      <c r="D3302" s="37"/>
      <c r="E3302" s="37"/>
      <c r="F3302" s="37"/>
      <c r="G3302" s="37"/>
    </row>
    <row r="3303" spans="1:7">
      <c r="A3303" s="37"/>
      <c r="B3303" s="37"/>
      <c r="C3303" s="37"/>
      <c r="D3303" s="37"/>
      <c r="E3303" s="37"/>
      <c r="F3303" s="37"/>
      <c r="G3303" s="37"/>
    </row>
    <row r="3304" spans="1:7">
      <c r="A3304" s="37"/>
      <c r="B3304" s="37"/>
      <c r="C3304" s="37"/>
      <c r="D3304" s="37"/>
      <c r="E3304" s="37"/>
      <c r="F3304" s="37"/>
      <c r="G3304" s="37"/>
    </row>
    <row r="3305" spans="1:7">
      <c r="A3305" s="37"/>
      <c r="B3305" s="37"/>
      <c r="C3305" s="37"/>
      <c r="D3305" s="37"/>
      <c r="E3305" s="37"/>
      <c r="F3305" s="37"/>
      <c r="G3305" s="37"/>
    </row>
    <row r="3306" spans="1:7">
      <c r="A3306" s="37"/>
      <c r="B3306" s="37"/>
      <c r="C3306" s="37"/>
      <c r="D3306" s="37"/>
      <c r="E3306" s="37"/>
      <c r="F3306" s="37"/>
      <c r="G3306" s="37"/>
    </row>
    <row r="3307" spans="1:7">
      <c r="A3307" s="37"/>
      <c r="B3307" s="37"/>
      <c r="C3307" s="37"/>
      <c r="D3307" s="37"/>
      <c r="E3307" s="37"/>
      <c r="F3307" s="37"/>
      <c r="G3307" s="37"/>
    </row>
    <row r="3308" spans="1:7">
      <c r="A3308" s="37"/>
      <c r="B3308" s="37"/>
      <c r="C3308" s="37"/>
      <c r="D3308" s="37"/>
      <c r="E3308" s="37"/>
      <c r="F3308" s="37"/>
      <c r="G3308" s="37"/>
    </row>
    <row r="3309" spans="1:7">
      <c r="A3309" s="37"/>
      <c r="B3309" s="37"/>
      <c r="C3309" s="37"/>
      <c r="D3309" s="37"/>
      <c r="E3309" s="37"/>
      <c r="F3309" s="37"/>
      <c r="G3309" s="37"/>
    </row>
    <row r="3310" spans="1:7">
      <c r="A3310" s="37"/>
      <c r="B3310" s="37"/>
      <c r="C3310" s="37"/>
      <c r="D3310" s="37"/>
      <c r="E3310" s="37"/>
      <c r="F3310" s="37"/>
      <c r="G3310" s="37"/>
    </row>
    <row r="3311" spans="1:7">
      <c r="A3311" s="37"/>
      <c r="B3311" s="37"/>
      <c r="C3311" s="37"/>
      <c r="D3311" s="37"/>
      <c r="E3311" s="37"/>
      <c r="F3311" s="37"/>
      <c r="G3311" s="37"/>
    </row>
    <row r="3312" spans="1:7">
      <c r="A3312" s="37"/>
      <c r="B3312" s="37"/>
      <c r="C3312" s="37"/>
      <c r="D3312" s="37"/>
      <c r="E3312" s="37"/>
      <c r="F3312" s="37"/>
      <c r="G3312" s="37"/>
    </row>
    <row r="3313" spans="1:7">
      <c r="A3313" s="37"/>
      <c r="B3313" s="37"/>
      <c r="C3313" s="37"/>
      <c r="D3313" s="37"/>
      <c r="E3313" s="37"/>
      <c r="F3313" s="37"/>
      <c r="G3313" s="37"/>
    </row>
    <row r="3314" spans="1:7">
      <c r="A3314" s="37"/>
      <c r="B3314" s="37"/>
      <c r="C3314" s="37"/>
      <c r="D3314" s="37"/>
      <c r="E3314" s="37"/>
      <c r="F3314" s="37"/>
      <c r="G3314" s="37"/>
    </row>
  </sheetData>
  <autoFilter ref="A1:G3314" xr:uid="{51E9B8CA-46DA-445B-98A0-921BCBB04522}"/>
  <phoneticPr fontId="3" type="noConversion"/>
  <pageMargins left="0.7" right="0.7" top="0.75" bottom="0.75" header="0.3" footer="0.3"/>
  <pageSetup paperSize="9" orientation="portrait" r:id="rId1"/>
  <headerFooter>
    <oddFooter>&amp;C_x000D_&amp;1#&amp;"Calibri"&amp;9&amp;KFFFF00 Wiwynn Internal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工作表6.AllinOne">
                <anchor moveWithCells="1" sizeWithCells="1">
                  <from>
                    <xdr:col>7</xdr:col>
                    <xdr:colOff>200025</xdr:colOff>
                    <xdr:row>2</xdr:row>
                    <xdr:rowOff>95250</xdr:rowOff>
                  </from>
                  <to>
                    <xdr:col>11</xdr:col>
                    <xdr:colOff>476250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94D3E-D752-46DA-AC2F-673A180FE338}">
  <sheetPr codeName="工作表3"/>
  <dimension ref="A1:D28"/>
  <sheetViews>
    <sheetView workbookViewId="0">
      <selection activeCell="H13" sqref="H13"/>
    </sheetView>
  </sheetViews>
  <sheetFormatPr defaultRowHeight="15.75"/>
  <cols>
    <col min="1" max="1" width="9" style="6"/>
    <col min="2" max="2" width="26.875" style="6" bestFit="1" customWidth="1"/>
    <col min="3" max="3" width="14.75" style="6" customWidth="1"/>
    <col min="4" max="4" width="13.25" style="6" customWidth="1"/>
    <col min="5" max="16384" width="9" style="6"/>
  </cols>
  <sheetData>
    <row r="1" spans="1:4">
      <c r="A1" s="39" t="s">
        <v>2130</v>
      </c>
      <c r="B1" s="39" t="s">
        <v>2131</v>
      </c>
      <c r="C1" s="39" t="s">
        <v>2132</v>
      </c>
      <c r="D1" s="40" t="s">
        <v>2133</v>
      </c>
    </row>
    <row r="2" spans="1:4">
      <c r="A2" s="41">
        <v>1</v>
      </c>
      <c r="B2" s="41" t="s">
        <v>2184</v>
      </c>
      <c r="C2" s="43" t="s">
        <v>2185</v>
      </c>
      <c r="D2" s="42" t="s">
        <v>2186</v>
      </c>
    </row>
    <row r="3" spans="1:4">
      <c r="A3" s="41"/>
      <c r="B3" s="41"/>
      <c r="C3" s="43"/>
      <c r="D3" s="42"/>
    </row>
    <row r="4" spans="1:4">
      <c r="A4" s="41"/>
      <c r="B4" s="41"/>
      <c r="C4" s="43"/>
      <c r="D4" s="42"/>
    </row>
    <row r="5" spans="1:4">
      <c r="A5" s="41"/>
      <c r="B5" s="41"/>
      <c r="C5" s="43"/>
      <c r="D5" s="42"/>
    </row>
    <row r="6" spans="1:4">
      <c r="A6" s="41"/>
      <c r="B6" s="41"/>
      <c r="C6" s="43"/>
      <c r="D6" s="42"/>
    </row>
    <row r="7" spans="1:4">
      <c r="A7" s="41"/>
      <c r="B7" s="41"/>
      <c r="C7" s="43"/>
      <c r="D7" s="42"/>
    </row>
    <row r="8" spans="1:4">
      <c r="A8" s="41"/>
      <c r="B8" s="41"/>
      <c r="C8" s="43"/>
      <c r="D8" s="42"/>
    </row>
    <row r="9" spans="1:4">
      <c r="A9" s="41"/>
      <c r="B9" s="41"/>
      <c r="C9" s="43"/>
      <c r="D9" s="42"/>
    </row>
    <row r="10" spans="1:4">
      <c r="A10" s="41"/>
      <c r="B10" s="41"/>
      <c r="C10" s="43"/>
      <c r="D10" s="42"/>
    </row>
    <row r="11" spans="1:4">
      <c r="A11" s="41"/>
      <c r="B11" s="41"/>
      <c r="C11" s="43"/>
      <c r="D11" s="42"/>
    </row>
    <row r="12" spans="1:4">
      <c r="A12" s="41"/>
      <c r="B12" s="41"/>
      <c r="C12" s="43"/>
      <c r="D12" s="42"/>
    </row>
    <row r="13" spans="1:4">
      <c r="A13" s="41"/>
      <c r="B13" s="41"/>
      <c r="C13" s="43"/>
      <c r="D13" s="42"/>
    </row>
    <row r="14" spans="1:4">
      <c r="A14" s="41"/>
      <c r="B14" s="41"/>
      <c r="C14" s="43"/>
      <c r="D14" s="42"/>
    </row>
    <row r="15" spans="1:4">
      <c r="A15" s="41"/>
      <c r="B15" s="41"/>
      <c r="C15" s="43"/>
      <c r="D15" s="42"/>
    </row>
    <row r="16" spans="1:4">
      <c r="A16" s="41"/>
      <c r="B16" s="41"/>
      <c r="C16" s="43"/>
      <c r="D16" s="42"/>
    </row>
    <row r="17" spans="1:4">
      <c r="A17" s="41"/>
      <c r="B17" s="41"/>
      <c r="C17" s="43"/>
      <c r="D17" s="42"/>
    </row>
    <row r="18" spans="1:4">
      <c r="A18" s="41"/>
      <c r="B18" s="41"/>
      <c r="C18" s="43"/>
      <c r="D18" s="42"/>
    </row>
    <row r="19" spans="1:4">
      <c r="A19" s="41"/>
      <c r="B19" s="41"/>
      <c r="C19" s="43"/>
      <c r="D19" s="42"/>
    </row>
    <row r="20" spans="1:4">
      <c r="A20" s="41"/>
      <c r="B20" s="41"/>
      <c r="C20" s="43"/>
      <c r="D20" s="42"/>
    </row>
    <row r="21" spans="1:4">
      <c r="A21" s="41"/>
      <c r="B21" s="41"/>
      <c r="C21" s="43"/>
      <c r="D21" s="42"/>
    </row>
    <row r="22" spans="1:4">
      <c r="A22" s="41"/>
      <c r="B22" s="41"/>
      <c r="C22" s="43"/>
      <c r="D22" s="42"/>
    </row>
    <row r="23" spans="1:4">
      <c r="A23" s="41"/>
      <c r="B23" s="41"/>
      <c r="C23" s="43"/>
      <c r="D23" s="42"/>
    </row>
    <row r="24" spans="1:4">
      <c r="A24" s="41"/>
      <c r="B24" s="41"/>
      <c r="C24" s="43"/>
      <c r="D24" s="42"/>
    </row>
    <row r="25" spans="1:4">
      <c r="A25" s="41"/>
      <c r="B25" s="41"/>
      <c r="C25" s="43"/>
      <c r="D25" s="42"/>
    </row>
    <row r="26" spans="1:4">
      <c r="A26" s="41"/>
      <c r="B26" s="41"/>
      <c r="C26" s="43"/>
      <c r="D26" s="42"/>
    </row>
    <row r="27" spans="1:4">
      <c r="A27" s="41"/>
      <c r="B27" s="41"/>
      <c r="C27" s="43"/>
      <c r="D27" s="42"/>
    </row>
    <row r="28" spans="1:4">
      <c r="A28" s="41"/>
      <c r="C28" s="43"/>
      <c r="D28" s="42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9"/>
  <dimension ref="A1:B5"/>
  <sheetViews>
    <sheetView workbookViewId="0">
      <selection activeCell="G9" sqref="G9"/>
    </sheetView>
  </sheetViews>
  <sheetFormatPr defaultRowHeight="16.5"/>
  <cols>
    <col min="1" max="1" width="3.25" bestFit="1" customWidth="1"/>
  </cols>
  <sheetData>
    <row r="1" spans="1:2">
      <c r="A1" s="3">
        <v>1</v>
      </c>
      <c r="B1" s="4" t="s">
        <v>2052</v>
      </c>
    </row>
    <row r="2" spans="1:2">
      <c r="A2" s="3">
        <v>2</v>
      </c>
      <c r="B2" s="3" t="s">
        <v>2053</v>
      </c>
    </row>
    <row r="3" spans="1:2">
      <c r="A3" s="3">
        <v>3</v>
      </c>
      <c r="B3" s="3" t="s">
        <v>2054</v>
      </c>
    </row>
    <row r="4" spans="1:2">
      <c r="A4" s="3">
        <v>4</v>
      </c>
      <c r="B4" s="3" t="s">
        <v>2055</v>
      </c>
    </row>
    <row r="5" spans="1:2">
      <c r="A5" s="3">
        <v>5</v>
      </c>
      <c r="B5" s="3" t="s">
        <v>2056</v>
      </c>
    </row>
  </sheetData>
  <phoneticPr fontId="3" type="noConversion"/>
  <pageMargins left="0.7" right="0.7" top="0.75" bottom="0.75" header="0.3" footer="0.3"/>
  <pageSetup orientation="portrait" r:id="rId1"/>
  <headerFooter>
    <oddFooter>&amp;C_x000D_&amp;1#&amp;"Calibri"&amp;9&amp;KFFFF00 Wiwynn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具名範圍</vt:lpstr>
      </vt:variant>
      <vt:variant>
        <vt:i4>1</vt:i4>
      </vt:variant>
    </vt:vector>
  </HeadingPairs>
  <TitlesOfParts>
    <vt:vector size="10" baseType="lpstr">
      <vt:lpstr>NC testable</vt:lpstr>
      <vt:lpstr>NC untestable</vt:lpstr>
      <vt:lpstr>Sheet0</vt:lpstr>
      <vt:lpstr>mapping table</vt:lpstr>
      <vt:lpstr>Summary</vt:lpstr>
      <vt:lpstr>MDA Component coverage summary</vt:lpstr>
      <vt:lpstr>MDA Location test summary</vt:lpstr>
      <vt:lpstr>Power to GND</vt:lpstr>
      <vt:lpstr>工作表1</vt:lpstr>
      <vt:lpstr>SUMIF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Kanward Mao/WZS/Wistron</dc:creator>
  <cp:lastModifiedBy>David JH Lin/WYMTN/Wiwynn</cp:lastModifiedBy>
  <cp:lastPrinted>2014-09-11T09:28:21Z</cp:lastPrinted>
  <dcterms:created xsi:type="dcterms:W3CDTF">2000-12-14T02:41:57Z</dcterms:created>
  <dcterms:modified xsi:type="dcterms:W3CDTF">2025-08-29T01:34:15Z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a24c06-90a5-45de-95e3-fe6830a74449_Enabled">
    <vt:lpwstr>true</vt:lpwstr>
  </property>
  <property fmtid="{D5CDD505-2E9C-101B-9397-08002B2CF9AE}" pid="3" name="MSIP_Label_2fa24c06-90a5-45de-95e3-fe6830a74449_SetDate">
    <vt:lpwstr>2023-09-30T09:06:42Z</vt:lpwstr>
  </property>
  <property fmtid="{D5CDD505-2E9C-101B-9397-08002B2CF9AE}" pid="4" name="MSIP_Label_2fa24c06-90a5-45de-95e3-fe6830a74449_Method">
    <vt:lpwstr>Privileged</vt:lpwstr>
  </property>
  <property fmtid="{D5CDD505-2E9C-101B-9397-08002B2CF9AE}" pid="5" name="MSIP_Label_2fa24c06-90a5-45de-95e3-fe6830a74449_Name">
    <vt:lpwstr>Wiwynn Classified</vt:lpwstr>
  </property>
  <property fmtid="{D5CDD505-2E9C-101B-9397-08002B2CF9AE}" pid="6" name="MSIP_Label_2fa24c06-90a5-45de-95e3-fe6830a74449_SiteId">
    <vt:lpwstr>da6e0628-fc83-4caf-9dd2-73061cbab167</vt:lpwstr>
  </property>
  <property fmtid="{D5CDD505-2E9C-101B-9397-08002B2CF9AE}" pid="7" name="MSIP_Label_2fa24c06-90a5-45de-95e3-fe6830a74449_ActionId">
    <vt:lpwstr>94b6e254-e5d1-4395-bfec-5845a58b9a6e</vt:lpwstr>
  </property>
  <property fmtid="{D5CDD505-2E9C-101B-9397-08002B2CF9AE}" pid="8" name="MSIP_Label_2fa24c06-90a5-45de-95e3-fe6830a74449_ContentBits">
    <vt:lpwstr>2</vt:lpwstr>
  </property>
</Properties>
</file>