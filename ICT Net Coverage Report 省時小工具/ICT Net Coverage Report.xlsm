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ICT Net Coverage Report 省時小工具\"/>
    </mc:Choice>
  </mc:AlternateContent>
  <xr:revisionPtr revIDLastSave="0" documentId="13_ncr:1_{1C8A1BE1-86D7-480F-B987-99F04F508E35}" xr6:coauthVersionLast="47" xr6:coauthVersionMax="47" xr10:uidLastSave="{00000000-0000-0000-0000-000000000000}"/>
  <bookViews>
    <workbookView xWindow="435" yWindow="0" windowWidth="17655" windowHeight="10920" tabRatio="698" firstSheet="4" activeTab="6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Nets not required" sheetId="7" r:id="rId6"/>
    <sheet name="Untestable nets list" sheetId="6" r:id="rId7"/>
    <sheet name="Don't need DFT net list" sheetId="8" r:id="rId8"/>
    <sheet name="工作表1" sheetId="9" state="hidden" r:id="rId9"/>
  </sheets>
  <functionGroups builtInGroupCount="19"/>
  <definedNames>
    <definedName name="_xlnm._FilterDatabase" localSheetId="7" hidden="1">'Don''t need DFT net list'!$B$1:$L$2</definedName>
    <definedName name="_xlnm._FilterDatabase" localSheetId="4" hidden="1">'Testable nets list'!$A$1:$K$25</definedName>
    <definedName name="_xlnm._FilterDatabase" localSheetId="6" hidden="1">'Untestable nets list'!$B$1:$M$3968</definedName>
    <definedName name="Z_5693F48F_8FCA_4CC0_9286_11E7497B1810_.wvu.FilterData" localSheetId="7" hidden="1">'Don''t need DFT net list'!$B$2:$H$2</definedName>
    <definedName name="Z_5693F48F_8FCA_4CC0_9286_11E7497B1810_.wvu.FilterData" localSheetId="4" hidden="1">'Testable nets list'!$A$1:$K$1</definedName>
    <definedName name="Z_5693F48F_8FCA_4CC0_9286_11E7497B1810_.wvu.FilterData" localSheetId="6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5" l="1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H9" i="5"/>
  <c r="I9" i="5"/>
  <c r="J9" i="5"/>
  <c r="H10" i="5"/>
  <c r="I10" i="5"/>
  <c r="J10" i="5"/>
  <c r="H11" i="5"/>
  <c r="I11" i="5"/>
  <c r="J11" i="5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H19" i="5"/>
  <c r="I19" i="5"/>
  <c r="J19" i="5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H26" i="5"/>
  <c r="I26" i="5"/>
  <c r="J26" i="5"/>
  <c r="H27" i="5"/>
  <c r="I27" i="5"/>
  <c r="J27" i="5"/>
  <c r="H28" i="5"/>
  <c r="I28" i="5"/>
  <c r="J28" i="5"/>
  <c r="H29" i="5"/>
  <c r="I29" i="5"/>
  <c r="J29" i="5"/>
  <c r="H30" i="5"/>
  <c r="I30" i="5"/>
  <c r="J30" i="5"/>
  <c r="H31" i="5"/>
  <c r="I31" i="5"/>
  <c r="J31" i="5"/>
  <c r="H32" i="5"/>
  <c r="I32" i="5"/>
  <c r="J32" i="5"/>
  <c r="H33" i="5"/>
  <c r="I33" i="5"/>
  <c r="J33" i="5"/>
  <c r="H34" i="5"/>
  <c r="I34" i="5"/>
  <c r="J34" i="5"/>
  <c r="H35" i="5"/>
  <c r="I35" i="5"/>
  <c r="J35" i="5"/>
  <c r="H36" i="5"/>
  <c r="I36" i="5"/>
  <c r="J36" i="5"/>
  <c r="H37" i="5"/>
  <c r="I37" i="5"/>
  <c r="J37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S41" i="4"/>
  <c r="S40" i="4"/>
  <c r="S39" i="4"/>
  <c r="S38" i="4"/>
  <c r="O41" i="4"/>
  <c r="O40" i="4"/>
  <c r="O39" i="4"/>
  <c r="O38" i="4"/>
  <c r="K41" i="4"/>
  <c r="K40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K2" i="5"/>
  <c r="I3" i="5"/>
  <c r="J3" i="5"/>
  <c r="K3" i="5"/>
  <c r="AD10" i="4"/>
  <c r="AD11" i="4"/>
  <c r="AD12" i="4"/>
  <c r="AH12" i="4" s="1"/>
  <c r="O31" i="4"/>
  <c r="AA31" i="4"/>
  <c r="AG31" i="4"/>
  <c r="R31" i="4" l="1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<sst xmlns="http://schemas.openxmlformats.org/spreadsheetml/2006/main" count="4214" uniqueCount="2230">
  <si>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</si>
  <si>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</si>
  <si>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</si>
  <si>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</si>
  <si>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</si>
  <si>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</si>
  <si>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</si>
  <si>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</si>
  <si>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</si>
  <si>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</si>
  <si>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</si>
  <si>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</si>
  <si>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</si>
  <si>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</si>
  <si>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</si>
  <si>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</si>
  <si>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</si>
  <si>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</si>
  <si>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</si>
  <si>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</si>
  <si>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</si>
  <si>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</si>
  <si>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</si>
  <si>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</si>
  <si>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</si>
  <si>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</si>
  <si>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</si>
  <si>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</si>
  <si>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</si>
  <si>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</si>
  <si>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</si>
  <si>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</si>
  <si>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</si>
  <si>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</si>
  <si>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</si>
  <si>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</si>
  <si>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</si>
  <si>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</si>
  <si>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</si>
  <si>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</si>
  <si>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</si>
  <si>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</si>
  <si>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</si>
  <si>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</si>
  <si>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</si>
  <si>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</si>
  <si>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</si>
  <si>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</si>
  <si>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</si>
  <si>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</si>
  <si>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</si>
  <si>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</si>
  <si>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</si>
  <si>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</si>
  <si>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</si>
  <si>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</si>
  <si>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</si>
  <si>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</si>
  <si>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</si>
  <si>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</si>
  <si>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</si>
  <si>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</si>
  <si>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</si>
  <si>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</si>
  <si>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</si>
  <si>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</si>
  <si>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</si>
  <si>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</si>
  <si>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</si>
  <si>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</si>
  <si>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</si>
  <si>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</si>
  <si>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</si>
  <si>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</si>
  <si>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</si>
  <si>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</si>
  <si>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</si>
  <si>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</si>
  <si>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</si>
  <si>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</si>
  <si>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</si>
  <si>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</si>
  <si>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</si>
  <si>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</si>
  <si>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</si>
  <si>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</si>
  <si>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</si>
  <si>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</si>
  <si>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</si>
  <si>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</si>
  <si>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</si>
  <si>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</si>
  <si>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</si>
  <si>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</si>
  <si>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</si>
  <si>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</si>
  <si>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</si>
  <si>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</si>
  <si>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</si>
  <si>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</si>
  <si>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</si>
  <si>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</si>
  <si>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</si>
  <si>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</si>
  <si>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</si>
  <si>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</si>
  <si>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</si>
  <si>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</si>
  <si>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</si>
  <si>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</si>
  <si>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</si>
  <si>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</si>
  <si>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</si>
  <si>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</si>
  <si>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</si>
  <si>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</si>
  <si>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</si>
  <si>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</si>
  <si>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</si>
  <si>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</si>
  <si>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</si>
  <si>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</si>
  <si>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</si>
  <si>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</si>
  <si>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</si>
  <si>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</si>
  <si>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</si>
  <si>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</si>
  <si>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</si>
  <si>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</si>
  <si>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</si>
  <si>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</si>
  <si>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</si>
  <si>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</si>
  <si>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</si>
  <si>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</si>
  <si>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</si>
  <si>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</si>
  <si>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</si>
  <si>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</si>
  <si>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</si>
  <si>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</si>
  <si>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</si>
  <si>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</si>
  <si>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</si>
  <si>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</si>
  <si>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</si>
  <si>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</si>
  <si>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</si>
  <si>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</si>
  <si>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</si>
  <si>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</si>
  <si>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</si>
  <si>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</si>
  <si>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</si>
  <si>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</si>
  <si>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</si>
  <si>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</si>
  <si>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</si>
  <si>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</si>
  <si>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</si>
  <si>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</si>
  <si>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</si>
  <si>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</si>
  <si>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</si>
  <si>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</si>
  <si>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</si>
  <si>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</si>
  <si>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</si>
  <si>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</si>
  <si>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</si>
  <si>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</si>
  <si>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</si>
  <si>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</si>
  <si>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</si>
  <si>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</si>
  <si>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</si>
  <si>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</si>
  <si>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</si>
  <si>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</si>
  <si>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</si>
  <si>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</si>
  <si>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</si>
  <si>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</si>
  <si>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</si>
  <si>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</si>
  <si>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</si>
  <si>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</si>
  <si>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</si>
  <si>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</si>
  <si>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</si>
  <si>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</si>
  <si>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</si>
  <si>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</si>
  <si>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</si>
  <si>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</si>
  <si>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</si>
  <si>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</si>
  <si>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</si>
  <si>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</si>
  <si>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</si>
  <si>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</si>
  <si>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</si>
  <si>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</si>
  <si>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</si>
  <si>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</si>
  <si>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</si>
  <si>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</si>
  <si>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</si>
  <si>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</si>
  <si>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</si>
  <si>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</si>
  <si>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</si>
  <si>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</si>
  <si>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</si>
  <si>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</si>
  <si>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</si>
  <si>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</si>
  <si>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</si>
  <si>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</si>
  <si>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</si>
  <si>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</si>
  <si>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</si>
  <si>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</si>
  <si>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</si>
  <si>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</si>
  <si>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</si>
  <si>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</si>
  <si>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</si>
  <si>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</si>
  <si>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</si>
  <si>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</si>
  <si>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</si>
  <si>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</si>
  <si>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</si>
  <si>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</si>
  <si>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</si>
  <si>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</si>
  <si>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</si>
  <si>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</si>
  <si>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</si>
  <si>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</si>
  <si>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</si>
  <si>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</si>
  <si>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</si>
  <si>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</si>
  <si>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</si>
  <si>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</si>
  <si>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</si>
  <si>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</si>
  <si>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</si>
  <si>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</si>
  <si>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</si>
  <si>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</si>
  <si>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</si>
  <si>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</si>
  <si>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</si>
  <si>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</si>
  <si>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</si>
  <si>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</si>
  <si>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</si>
  <si>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</si>
  <si>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</si>
  <si>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</si>
  <si>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</si>
  <si>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</si>
  <si>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</si>
  <si>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</si>
  <si>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</si>
  <si>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</si>
  <si>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</si>
  <si>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</si>
  <si>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</si>
  <si>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</si>
  <si>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</si>
  <si>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</si>
  <si>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</si>
  <si>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</si>
  <si>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</si>
  <si>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</si>
  <si>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</si>
  <si>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</si>
  <si>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</si>
  <si>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</si>
  <si>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</si>
  <si>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</si>
  <si>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</si>
  <si>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</si>
  <si>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</si>
  <si>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</si>
  <si>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</si>
  <si>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</si>
  <si>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</si>
  <si>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</si>
  <si>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</si>
  <si>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</si>
  <si>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</si>
  <si>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</si>
  <si>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</si>
  <si>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</si>
  <si>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</si>
  <si>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</si>
  <si>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</si>
  <si>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</si>
  <si>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</si>
  <si>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</si>
  <si>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</si>
  <si>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</si>
  <si>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</si>
  <si>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</si>
  <si>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</si>
  <si>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</si>
  <si>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</si>
  <si>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</si>
  <si>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</si>
  <si>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</si>
  <si>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</si>
  <si>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</si>
  <si>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</si>
  <si>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</si>
  <si>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</si>
  <si>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</si>
  <si>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</si>
  <si>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</si>
  <si>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</si>
  <si>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</si>
  <si>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</si>
  <si>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</si>
  <si>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</si>
  <si>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</si>
  <si>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</si>
  <si>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</si>
  <si>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</si>
  <si>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</si>
  <si>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</si>
  <si>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</si>
  <si>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</si>
  <si>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</si>
  <si>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</si>
  <si>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</si>
  <si>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</si>
  <si>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</si>
  <si>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</si>
  <si>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</si>
  <si>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</si>
  <si>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</si>
  <si>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</si>
  <si>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</si>
  <si>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</si>
  <si>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</si>
  <si>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</si>
  <si>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</si>
  <si>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</si>
  <si>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</si>
  <si>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</si>
  <si>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</si>
  <si>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</si>
  <si>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</si>
  <si>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</si>
  <si>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</si>
  <si>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</si>
  <si>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</si>
  <si>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</si>
  <si>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</si>
  <si>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</si>
  <si>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</si>
  <si>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</si>
  <si>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</si>
  <si>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</si>
  <si>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</si>
  <si>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</si>
  <si>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</si>
  <si>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</si>
  <si>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</si>
  <si>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</si>
  <si>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</si>
  <si>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</si>
  <si>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</si>
  <si>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</si>
  <si>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</si>
  <si>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</si>
  <si>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</si>
  <si>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</si>
  <si>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</si>
  <si>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</si>
  <si>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</si>
  <si>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</si>
  <si>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</si>
  <si>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</si>
  <si>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</si>
  <si>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</si>
  <si>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</si>
  <si>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</si>
  <si>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</si>
  <si>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</si>
  <si>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</si>
  <si>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</si>
  <si>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</si>
  <si>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</si>
  <si>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</si>
  <si>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</si>
  <si>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</si>
  <si>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</si>
  <si>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</si>
  <si>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</si>
  <si>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</si>
  <si>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</si>
  <si>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</si>
  <si>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</si>
  <si>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</si>
  <si>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</si>
  <si>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</si>
  <si>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</si>
  <si>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</si>
  <si>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</si>
  <si>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</si>
  <si>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</si>
  <si>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</si>
  <si>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</si>
  <si>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</si>
  <si>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</si>
  <si>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</si>
  <si>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</si>
  <si>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</si>
  <si>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</si>
  <si>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</si>
  <si>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</si>
  <si>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</si>
  <si>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</si>
  <si>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</si>
  <si>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</si>
  <si>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</si>
  <si>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</si>
  <si>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</si>
  <si>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</si>
  <si>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</si>
  <si>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</si>
  <si>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</si>
  <si>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</si>
  <si>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</si>
  <si>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</si>
  <si>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</si>
  <si>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</si>
  <si>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</si>
  <si>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</si>
  <si>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</si>
  <si>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</si>
  <si>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</si>
  <si>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</si>
  <si>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</si>
  <si>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</si>
  <si>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</si>
  <si>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</si>
  <si>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</si>
  <si>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</si>
  <si>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</si>
  <si>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</si>
  <si>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</si>
  <si>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</si>
  <si>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</si>
  <si>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</si>
  <si>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</si>
  <si>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</si>
  <si>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</si>
  <si>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</si>
  <si>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</si>
  <si>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</si>
  <si>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</si>
  <si>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</si>
  <si>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</si>
  <si>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</si>
  <si>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</si>
  <si>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</si>
  <si>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</si>
  <si>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</si>
  <si>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</si>
  <si>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</si>
  <si>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</si>
  <si>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</si>
  <si>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</si>
  <si>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</si>
  <si>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</si>
  <si>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</si>
  <si>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</si>
  <si>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</si>
  <si>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</si>
  <si>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</si>
  <si>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</si>
  <si>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</si>
  <si>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</si>
  <si>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</si>
  <si>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</si>
  <si>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</si>
  <si>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</si>
  <si>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</si>
  <si>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</si>
  <si>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</si>
  <si>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</si>
  <si>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</si>
  <si>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</si>
  <si>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</si>
  <si>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</si>
  <si>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</si>
  <si>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</si>
  <si>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</si>
  <si>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</si>
  <si>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</si>
  <si>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</si>
  <si>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</si>
  <si>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</si>
  <si>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</si>
  <si>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</si>
  <si>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</si>
  <si>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</si>
  <si>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</si>
  <si>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</si>
  <si>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</si>
  <si>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</si>
  <si>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</si>
  <si>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</si>
  <si>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</si>
  <si>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</si>
  <si>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</si>
  <si>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</si>
  <si>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</si>
  <si>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</si>
  <si>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</si>
  <si>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</si>
  <si>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</si>
  <si>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</si>
  <si>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</si>
  <si>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</si>
  <si>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</si>
  <si>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</si>
  <si>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</si>
  <si>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</si>
  <si>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</si>
  <si>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</si>
  <si>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</si>
  <si>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</si>
  <si>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</si>
  <si>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</si>
  <si>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</si>
  <si>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</si>
  <si>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</si>
  <si>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</si>
  <si>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</si>
  <si>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</si>
  <si>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</si>
  <si>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</si>
  <si>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</si>
  <si>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</si>
  <si>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</si>
  <si>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</si>
  <si>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</si>
  <si>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</si>
  <si>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</si>
  <si>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</si>
  <si>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</si>
  <si>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</si>
  <si>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</si>
  <si>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</si>
  <si>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</si>
  <si>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</si>
  <si>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</si>
  <si>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</si>
  <si>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</si>
  <si>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</si>
  <si>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</si>
  <si>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</si>
  <si>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</si>
  <si>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</si>
  <si>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</si>
  <si>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</si>
  <si>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</si>
  <si>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</si>
  <si>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</si>
  <si>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</si>
  <si>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</si>
  <si>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</si>
  <si>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</si>
  <si>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</si>
  <si>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</si>
  <si>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</si>
  <si>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</si>
  <si>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</si>
  <si>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</si>
  <si>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</si>
  <si>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</si>
  <si>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</si>
  <si>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</si>
  <si>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</si>
  <si>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</si>
  <si>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</si>
  <si>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</si>
  <si>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</si>
  <si>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</si>
  <si>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</si>
  <si>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</si>
  <si>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</si>
  <si>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</si>
  <si>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</si>
  <si>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</si>
  <si>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</si>
  <si>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</si>
  <si>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</si>
  <si>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</si>
  <si>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</si>
  <si>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</si>
  <si>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</si>
  <si>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</si>
  <si>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</si>
  <si>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</si>
  <si>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</si>
  <si>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</si>
  <si>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</si>
  <si>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</si>
  <si>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</si>
  <si>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</si>
  <si>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</si>
  <si>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</si>
  <si>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</si>
  <si>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</si>
  <si>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</si>
  <si>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</si>
  <si>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</si>
  <si>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</si>
  <si>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</si>
  <si>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</si>
  <si>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</si>
  <si>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</si>
  <si>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</si>
  <si>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</si>
  <si>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</si>
  <si>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</si>
  <si>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</si>
  <si>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</si>
  <si>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</si>
  <si>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</si>
  <si>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</si>
  <si>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</si>
  <si>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</si>
  <si>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</si>
  <si>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</si>
  <si>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</si>
  <si>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</si>
  <si>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</si>
  <si>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</si>
  <si>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</si>
  <si>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</si>
  <si>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</si>
  <si>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</si>
  <si>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</si>
  <si>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</si>
  <si>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</si>
  <si>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</si>
  <si>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</si>
  <si>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</si>
  <si>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</si>
  <si>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</si>
  <si>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</si>
  <si>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</si>
  <si>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</si>
  <si>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</si>
  <si>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</si>
  <si>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</si>
  <si>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</si>
  <si>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</si>
  <si>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</si>
  <si>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</si>
  <si>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</si>
  <si>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</si>
  <si>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</si>
  <si>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</si>
  <si>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</si>
  <si>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</si>
  <si>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</si>
  <si>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</si>
  <si>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</si>
  <si>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</si>
  <si>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</si>
  <si>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</si>
  <si>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</si>
  <si>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</si>
  <si>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</si>
  <si>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</si>
  <si>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</si>
  <si>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</si>
  <si>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</si>
  <si>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</si>
  <si>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</si>
  <si>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</si>
  <si>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</si>
  <si>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</si>
  <si>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</si>
  <si>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</si>
  <si>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</si>
  <si>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</si>
  <si>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</si>
  <si>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</si>
  <si>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</si>
  <si>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</si>
  <si>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</si>
  <si>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</si>
  <si>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</si>
  <si>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</si>
  <si>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</si>
  <si>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</si>
  <si>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</si>
  <si>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</si>
  <si>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</si>
  <si>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</si>
  <si>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</si>
  <si>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</si>
  <si>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</si>
  <si>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</si>
  <si>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</si>
  <si>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</si>
  <si>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</si>
  <si>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</si>
  <si>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</si>
  <si>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</si>
  <si>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</si>
  <si>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</si>
  <si>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</si>
  <si>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</si>
  <si>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</si>
  <si>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</si>
  <si>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</si>
  <si>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</si>
  <si>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</si>
  <si>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</si>
  <si>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</si>
  <si>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</si>
  <si>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</si>
  <si>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</si>
  <si>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</si>
  <si>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</si>
  <si>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</si>
  <si>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</si>
  <si>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</si>
  <si>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</si>
  <si>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</si>
  <si>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</si>
  <si>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</si>
  <si>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</si>
  <si>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</si>
  <si>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</si>
  <si>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</si>
  <si>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</si>
  <si>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</si>
  <si>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</si>
  <si>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</si>
  <si>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</si>
  <si>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</si>
  <si>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</si>
  <si>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</si>
  <si>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</si>
  <si>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</si>
  <si>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</si>
  <si>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</si>
  <si>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</si>
  <si>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</si>
  <si>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</si>
  <si>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</si>
  <si>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</si>
  <si>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</si>
  <si>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</si>
  <si>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</si>
  <si>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</si>
  <si>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</si>
  <si>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</si>
  <si>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</si>
  <si>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</si>
  <si>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</si>
  <si>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</si>
  <si>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</si>
  <si>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</si>
  <si>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</si>
  <si>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</si>
  <si>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</si>
  <si>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</si>
  <si>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</si>
  <si>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</si>
  <si>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</si>
  <si>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</si>
  <si>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</si>
  <si>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</si>
  <si>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</si>
  <si>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</si>
  <si>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</si>
  <si>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</si>
  <si>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</si>
  <si>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</si>
  <si>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</si>
  <si>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</si>
  <si>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</si>
  <si>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</si>
  <si>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</si>
  <si>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</si>
  <si>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</si>
  <si>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</si>
  <si>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</si>
  <si>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</si>
  <si>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</si>
  <si>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</si>
  <si>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</si>
  <si>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</si>
  <si>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</si>
  <si>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</si>
  <si>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</si>
  <si>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</si>
  <si>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</si>
  <si>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</si>
  <si>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</si>
  <si>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</si>
  <si>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</si>
  <si>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</si>
  <si>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</si>
  <si>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</si>
  <si>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</si>
  <si>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</si>
  <si>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</si>
  <si>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</si>
  <si>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</si>
  <si>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</si>
  <si>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</si>
  <si>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</si>
  <si>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</si>
  <si>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</si>
  <si>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</si>
  <si>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</si>
  <si>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</si>
  <si>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</si>
  <si>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</si>
  <si>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</si>
  <si>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</si>
  <si>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</si>
  <si>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</si>
  <si>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</si>
  <si>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</si>
  <si>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</si>
  <si>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</si>
  <si>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</si>
  <si>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</si>
  <si>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</si>
  <si>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</si>
  <si>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</si>
  <si>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</si>
  <si>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</si>
  <si>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</si>
  <si>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</si>
  <si>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</si>
  <si>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</si>
  <si>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</si>
  <si>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</si>
  <si>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</si>
  <si>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</si>
  <si>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</si>
  <si>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</si>
  <si>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</si>
  <si>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</si>
  <si>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</si>
  <si>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</si>
  <si>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</si>
  <si>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</si>
  <si>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</si>
  <si>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</si>
  <si>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</si>
  <si>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</si>
  <si>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</si>
  <si>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</si>
  <si>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</si>
  <si>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</si>
  <si>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</si>
  <si>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</si>
  <si>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</si>
  <si>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</si>
  <si>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</si>
  <si>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</si>
  <si>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</si>
  <si>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</si>
  <si>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</si>
  <si>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</si>
  <si>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</si>
  <si>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</si>
  <si>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</si>
  <si>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</si>
  <si>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</si>
  <si>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</si>
  <si>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</si>
  <si>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</si>
  <si>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</si>
  <si>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</si>
  <si>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</si>
  <si>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</si>
  <si>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</si>
  <si>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</si>
  <si>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</si>
  <si>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</si>
  <si>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</si>
  <si>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</si>
  <si>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</si>
  <si>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</si>
  <si>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</si>
  <si>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</si>
  <si>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</si>
  <si>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</si>
  <si>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</si>
  <si>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</si>
  <si>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</si>
  <si>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</si>
  <si>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</si>
  <si>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</si>
  <si>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</si>
  <si>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</si>
  <si>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</si>
  <si>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</si>
  <si>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</si>
  <si>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</si>
  <si>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</si>
  <si>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</si>
  <si>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</si>
  <si>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</si>
  <si>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</si>
  <si>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</si>
  <si>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</si>
  <si>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</si>
  <si>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</si>
  <si>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</si>
  <si>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</si>
  <si>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</si>
  <si>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</si>
  <si>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</si>
  <si>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</si>
  <si>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</si>
  <si>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</si>
  <si>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</si>
  <si>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</si>
  <si>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</si>
  <si>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</si>
  <si>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</si>
  <si>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</si>
  <si>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</si>
  <si>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</si>
  <si>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</si>
  <si>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</si>
  <si>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</si>
  <si>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</si>
  <si>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</si>
  <si>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</si>
  <si>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</si>
  <si>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</si>
  <si>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</si>
  <si>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</si>
  <si>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</si>
  <si>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</si>
  <si>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</si>
  <si>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</si>
  <si>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</si>
  <si>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</si>
  <si>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</si>
  <si>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</si>
  <si>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</si>
  <si>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</si>
  <si>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</si>
  <si>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</si>
  <si>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</si>
  <si>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</si>
  <si>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</si>
  <si>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</si>
  <si>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</si>
  <si>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</si>
  <si>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</si>
  <si>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</si>
  <si>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</si>
  <si>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</si>
  <si>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</si>
  <si>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</si>
  <si>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</si>
  <si>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</si>
  <si>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</si>
  <si>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</si>
  <si>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</si>
  <si>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</si>
  <si>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</si>
  <si>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</si>
  <si>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</si>
  <si>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</si>
  <si>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</si>
  <si>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</si>
  <si>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</si>
  <si>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</si>
  <si>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</si>
  <si>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</si>
  <si>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</si>
  <si>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</si>
  <si>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</si>
  <si>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</si>
  <si>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</si>
  <si>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</si>
  <si>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</si>
  <si>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</si>
  <si>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</si>
  <si>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</si>
  <si>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</si>
  <si>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</si>
  <si>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</si>
  <si>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</si>
  <si>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</si>
  <si>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</si>
  <si>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</si>
  <si>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</si>
  <si>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</si>
  <si>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</si>
  <si>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</si>
  <si>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</si>
  <si>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</si>
  <si>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</si>
  <si>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</si>
  <si>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</si>
  <si>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</si>
  <si>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</si>
  <si>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</si>
  <si>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</si>
  <si>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</si>
  <si>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</si>
  <si>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</si>
  <si>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</si>
  <si>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</si>
  <si>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</si>
  <si>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</si>
  <si>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</si>
  <si>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</si>
  <si>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</si>
  <si>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</si>
  <si>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</si>
  <si>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</si>
  <si>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</si>
  <si>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</si>
  <si>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</si>
  <si>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</si>
  <si>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</si>
  <si>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</si>
  <si>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</si>
  <si>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</si>
  <si>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</si>
  <si>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</si>
  <si>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</si>
  <si>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</si>
  <si>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</si>
  <si>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</si>
  <si>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</si>
  <si>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</si>
  <si>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</si>
  <si>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</si>
  <si>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</si>
  <si>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</si>
  <si>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</si>
  <si>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</si>
  <si>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</si>
  <si>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</si>
  <si>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</si>
  <si>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</si>
  <si>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</si>
  <si>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</si>
  <si>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</si>
  <si>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</si>
  <si>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</si>
  <si>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</si>
  <si>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</si>
  <si>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</si>
  <si>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</si>
  <si>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</si>
  <si>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</si>
  <si>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</si>
  <si>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</si>
  <si>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</si>
  <si>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</si>
  <si>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</si>
  <si>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</si>
  <si>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</si>
  <si>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</si>
  <si>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</si>
  <si>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</si>
  <si>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</si>
  <si>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</si>
  <si>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</si>
  <si>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</si>
  <si>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</si>
  <si>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</si>
  <si>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</si>
  <si>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</si>
  <si>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</si>
  <si>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</si>
  <si>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</si>
  <si>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</si>
  <si>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</si>
  <si>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</si>
  <si>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</si>
  <si>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</si>
  <si>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</si>
  <si>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</si>
  <si>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</si>
  <si>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</si>
  <si>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</si>
  <si>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</si>
  <si>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</si>
  <si>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</si>
  <si>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</si>
  <si>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</si>
  <si>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</si>
  <si>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</si>
  <si>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</si>
  <si>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</si>
  <si>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</si>
  <si>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</si>
  <si>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</si>
  <si>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</si>
  <si>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</si>
  <si>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</si>
  <si>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</si>
  <si>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</si>
  <si>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</si>
  <si>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</si>
  <si>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</si>
  <si>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</si>
  <si>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</si>
  <si>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</si>
  <si>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</si>
  <si>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</si>
  <si>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</si>
  <si>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</si>
  <si>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</si>
  <si>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</si>
  <si>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</si>
  <si>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</si>
  <si>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</si>
  <si>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</si>
  <si>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</si>
  <si>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</si>
  <si>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</si>
  <si>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</si>
  <si>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</si>
  <si>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</si>
  <si>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</si>
  <si>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</si>
  <si>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</si>
  <si>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</si>
  <si>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</si>
  <si>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</si>
  <si>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</si>
  <si>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</si>
  <si>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</si>
  <si>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</si>
  <si>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</si>
  <si>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</si>
  <si>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</si>
  <si>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</si>
  <si>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</si>
  <si>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</si>
  <si>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</si>
  <si>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</si>
  <si>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</si>
  <si>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</si>
  <si>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</si>
  <si>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</si>
  <si>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</si>
  <si>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</si>
  <si>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</si>
  <si>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</si>
  <si>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</si>
  <si>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</si>
  <si>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</si>
  <si>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</si>
  <si>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</si>
  <si>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</si>
  <si>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</si>
  <si>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</si>
  <si>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</si>
  <si>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</si>
  <si>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</si>
  <si>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</si>
  <si>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</si>
  <si>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</si>
  <si>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</si>
  <si>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</si>
  <si>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</si>
  <si>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</si>
  <si>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</si>
  <si>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</si>
  <si>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</si>
  <si>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</si>
  <si>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</si>
  <si>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</si>
  <si>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</si>
  <si>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</si>
  <si>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</si>
  <si>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</si>
  <si>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</si>
  <si>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</si>
  <si>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</si>
  <si>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</si>
  <si>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</si>
  <si>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</si>
  <si>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</si>
  <si>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</si>
  <si>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</si>
  <si>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</si>
  <si>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</si>
  <si>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</si>
  <si>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</si>
  <si>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</si>
  <si>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</si>
  <si>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</si>
  <si>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</si>
  <si>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</si>
  <si>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</si>
  <si>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</si>
  <si>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</si>
  <si>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</si>
  <si>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</si>
  <si>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</si>
  <si>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</si>
  <si>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</si>
  <si>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</si>
  <si>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</si>
  <si>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</si>
  <si>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</si>
  <si>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</si>
  <si>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</si>
  <si>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</si>
  <si>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</si>
  <si>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</si>
  <si>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</si>
  <si>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</si>
  <si>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</si>
  <si>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</si>
  <si>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</si>
  <si>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</si>
  <si>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</si>
  <si>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</si>
  <si>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</si>
  <si>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</si>
  <si>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</si>
  <si>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</si>
  <si>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</si>
  <si>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</si>
  <si>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</si>
  <si>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</si>
  <si>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</si>
  <si>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</si>
  <si>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</si>
  <si>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</si>
  <si>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</si>
  <si>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</si>
  <si>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</si>
  <si>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</si>
  <si>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</si>
  <si>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</si>
  <si>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</si>
  <si>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</si>
  <si>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</si>
  <si>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</si>
  <si>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</si>
  <si>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</si>
  <si>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</si>
  <si>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</si>
  <si>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</si>
  <si>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</si>
  <si>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</si>
  <si>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</si>
  <si>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</si>
  <si>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</si>
  <si>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</si>
  <si>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</si>
  <si>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</si>
  <si>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</si>
  <si>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</si>
  <si>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</si>
  <si>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</si>
  <si>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</si>
  <si>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</si>
  <si>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</si>
  <si>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</si>
  <si>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</si>
  <si>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</si>
  <si>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</si>
  <si>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</si>
  <si>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</si>
  <si>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</si>
  <si>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</si>
  <si>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</si>
  <si>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</si>
  <si>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</si>
  <si>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</si>
  <si>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</si>
  <si>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</si>
  <si>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</si>
  <si>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</si>
  <si>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</si>
  <si>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</si>
  <si>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</si>
  <si>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</si>
  <si>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</si>
  <si>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</si>
  <si>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</si>
  <si>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</si>
  <si>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</si>
  <si>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</si>
  <si>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</si>
  <si>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</si>
  <si>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</si>
  <si>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</si>
  <si>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</si>
  <si>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</si>
  <si>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</si>
  <si>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</si>
  <si>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</si>
  <si>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</si>
  <si>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</si>
  <si>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</si>
  <si>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</si>
  <si>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</si>
  <si>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</si>
  <si>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</si>
  <si>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</si>
  <si>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</si>
  <si>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</si>
  <si>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</si>
  <si>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</si>
  <si>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</si>
  <si>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</si>
  <si>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</si>
  <si>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</si>
  <si>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</si>
  <si>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</si>
  <si>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</si>
  <si>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</si>
  <si>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</si>
  <si>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</si>
  <si>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</si>
  <si>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</si>
  <si>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</si>
  <si>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</si>
  <si>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</si>
  <si>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</si>
  <si>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</si>
  <si>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</si>
  <si>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</si>
  <si>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</si>
  <si>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</si>
  <si>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</si>
  <si>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</si>
  <si>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</si>
  <si>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</si>
  <si>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</si>
  <si>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</si>
  <si>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</si>
  <si>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</si>
  <si>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</si>
  <si>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</si>
  <si>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</si>
  <si>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</si>
  <si>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</si>
  <si>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</si>
  <si>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</si>
  <si>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</si>
  <si>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</si>
  <si>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</si>
  <si>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</si>
  <si>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</si>
  <si>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</si>
  <si>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</si>
  <si>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</si>
  <si>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</si>
  <si>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</si>
  <si>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</si>
  <si>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</si>
  <si>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</si>
  <si>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</si>
  <si>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</si>
  <si>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</si>
  <si>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</si>
  <si>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</si>
  <si>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</si>
  <si>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</si>
  <si>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</si>
  <si>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</si>
  <si>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</si>
  <si>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</si>
  <si>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</si>
  <si>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</si>
  <si>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</si>
  <si>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</si>
  <si>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</si>
  <si>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</si>
  <si>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</si>
  <si>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</si>
  <si>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</si>
  <si>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</si>
  <si>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</si>
  <si>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</si>
  <si>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</si>
  <si>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</si>
  <si>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</si>
  <si>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</si>
  <si>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</si>
  <si>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</si>
  <si>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</si>
  <si>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</si>
  <si>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</si>
  <si>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</si>
  <si>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</si>
  <si>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</si>
  <si>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</si>
  <si>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</si>
  <si>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</si>
  <si>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</si>
  <si>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</si>
  <si>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</si>
  <si>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</si>
  <si>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</si>
  <si>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</si>
  <si>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</si>
  <si>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</si>
  <si>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</si>
  <si>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</si>
  <si>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</si>
  <si>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</si>
  <si>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</si>
  <si>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</si>
  <si>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</si>
  <si>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</si>
  <si>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</si>
  <si>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</si>
  <si>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</si>
  <si>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</si>
  <si>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</si>
  <si>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</si>
  <si>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</si>
  <si>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</si>
  <si>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</si>
  <si>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</si>
  <si>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</si>
  <si>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</si>
  <si>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</si>
  <si>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</si>
  <si>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</si>
  <si>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</si>
  <si>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</si>
  <si>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</si>
  <si>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</si>
  <si>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</si>
  <si>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</si>
  <si>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</si>
  <si>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</si>
  <si>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</si>
  <si>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</si>
  <si>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</si>
  <si>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</si>
  <si>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</si>
  <si>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</si>
  <si>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</si>
  <si>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</si>
  <si>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</si>
  <si>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</si>
  <si>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</si>
  <si>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</si>
  <si>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</si>
  <si>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</si>
  <si>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</si>
  <si>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</si>
  <si>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</si>
  <si>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</si>
  <si>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</si>
  <si>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</si>
  <si>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</si>
  <si>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</si>
  <si>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</si>
  <si>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</si>
  <si>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</si>
  <si>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</si>
  <si>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</si>
  <si>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</si>
  <si>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</si>
  <si>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</si>
  <si>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</si>
  <si>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</si>
  <si>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</si>
  <si>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</si>
  <si>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</si>
  <si>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</si>
  <si>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</si>
  <si>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</si>
  <si>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</si>
  <si>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</si>
  <si>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</si>
  <si>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</si>
  <si>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</si>
  <si>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</si>
  <si>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</si>
  <si>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</si>
  <si>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</si>
  <si>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</si>
  <si>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</si>
  <si>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</si>
  <si>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</si>
  <si>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</si>
  <si>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</si>
  <si>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</si>
  <si>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</si>
  <si>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</si>
  <si>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</si>
  <si>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</si>
  <si>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</si>
  <si>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</si>
  <si>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</si>
  <si>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</si>
  <si>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</si>
  <si>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</si>
  <si>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</si>
  <si>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</si>
  <si>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</si>
  <si>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</si>
  <si>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</si>
  <si>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</si>
  <si>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</si>
  <si>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</si>
  <si>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</si>
  <si>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</si>
  <si>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</si>
  <si>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</si>
  <si>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</si>
  <si>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</si>
  <si>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</si>
  <si>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</si>
  <si>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</si>
  <si>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</si>
  <si>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</si>
  <si>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</si>
  <si>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</si>
  <si>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</si>
  <si>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</si>
  <si>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</si>
  <si>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</si>
  <si>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</si>
  <si>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</si>
  <si>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</si>
  <si>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</si>
  <si>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</si>
  <si>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</si>
  <si>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</si>
  <si>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</si>
  <si>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</si>
  <si>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</si>
  <si>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</si>
  <si>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</si>
  <si>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</si>
  <si>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</si>
  <si>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</si>
  <si>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</si>
  <si>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</si>
  <si>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</si>
  <si>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</si>
  <si>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</si>
  <si>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</si>
  <si>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</si>
  <si>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</si>
  <si>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</si>
  <si>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</si>
  <si>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</si>
  <si>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</si>
  <si>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</si>
  <si>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</si>
  <si>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</si>
  <si>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</si>
  <si>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</si>
  <si>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</si>
  <si>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</si>
  <si>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</si>
  <si>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</si>
  <si>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</si>
  <si>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</si>
  <si>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</si>
  <si>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</si>
  <si>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</si>
  <si>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</si>
  <si>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</si>
  <si>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</si>
  <si>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</si>
  <si>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</si>
  <si>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</si>
  <si>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</si>
  <si>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</si>
  <si>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</si>
  <si>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</si>
  <si>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</si>
  <si>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</si>
  <si>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</si>
  <si>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</si>
  <si>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</si>
  <si>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</si>
  <si>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</si>
  <si>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</si>
  <si>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</si>
  <si>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</si>
  <si>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</si>
  <si>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</si>
  <si>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</si>
  <si>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</si>
  <si>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</si>
  <si>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</si>
  <si>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</si>
  <si>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</si>
  <si>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</si>
  <si>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</si>
  <si>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</si>
  <si>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</si>
  <si>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</si>
  <si>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</si>
  <si>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</si>
  <si>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</si>
  <si>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</si>
  <si>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</si>
  <si>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</si>
  <si>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</si>
  <si>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</si>
  <si>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</si>
  <si>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</si>
  <si>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</si>
  <si>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</si>
  <si>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</si>
  <si>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</si>
  <si>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</si>
  <si>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</si>
  <si>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</si>
  <si>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</si>
  <si>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</si>
  <si>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</si>
  <si>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</si>
  <si>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</si>
  <si>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</si>
  <si>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</si>
  <si>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</si>
  <si>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</si>
  <si>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</si>
  <si>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</si>
  <si>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</si>
  <si>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</si>
  <si>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</si>
  <si>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</si>
  <si>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</si>
  <si>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</si>
  <si>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</si>
  <si>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</si>
  <si>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</si>
  <si>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</si>
  <si>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</si>
  <si>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</si>
  <si>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</si>
  <si>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</si>
  <si>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</si>
  <si>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</si>
  <si>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</si>
  <si>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</si>
  <si>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</si>
  <si>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</si>
  <si>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</si>
  <si>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</si>
  <si>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</si>
  <si>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</si>
  <si>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</si>
  <si>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</si>
  <si>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</si>
  <si>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</si>
  <si>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</si>
  <si>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</si>
  <si>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</si>
  <si>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</si>
  <si>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</si>
  <si>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</si>
  <si>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</si>
  <si>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</si>
  <si>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</si>
  <si>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</si>
  <si>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</si>
  <si>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</si>
  <si>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</si>
  <si>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</si>
  <si>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</si>
  <si>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</si>
  <si>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</si>
  <si>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</si>
  <si>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</si>
  <si>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</si>
  <si>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</si>
  <si>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</si>
  <si>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</si>
  <si>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</si>
  <si>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</si>
  <si>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</si>
  <si>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</si>
  <si>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</si>
  <si>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</si>
  <si>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</si>
  <si>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</si>
  <si>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</si>
  <si>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</si>
  <si>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</si>
  <si>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</si>
  <si>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</si>
  <si>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</si>
  <si>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</si>
  <si>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</si>
  <si>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</si>
  <si>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</si>
  <si>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</si>
  <si>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</si>
  <si>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</si>
  <si>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</si>
  <si>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</si>
  <si>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</si>
  <si>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</si>
  <si>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</si>
  <si>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</si>
  <si>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</si>
  <si>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</si>
  <si>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</si>
  <si>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</si>
  <si>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</si>
  <si>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</si>
  <si>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</si>
  <si>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</si>
  <si>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</si>
  <si>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</si>
  <si>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</si>
  <si>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</si>
  <si>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</si>
  <si>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</si>
  <si>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</si>
  <si>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</si>
  <si>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</si>
  <si>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</si>
  <si>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</si>
  <si>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</si>
  <si>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</si>
  <si>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</si>
  <si>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</si>
  <si>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</si>
  <si>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</si>
  <si>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</si>
  <si>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</si>
  <si>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</si>
  <si>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</si>
  <si>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</si>
  <si>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</si>
  <si>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</si>
  <si>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</si>
  <si>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</si>
  <si>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</si>
  <si>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</si>
  <si>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</si>
  <si>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</si>
  <si>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</si>
  <si>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</si>
  <si>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</si>
  <si>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</si>
  <si>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</si>
  <si>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</si>
  <si>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</si>
  <si>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</si>
  <si>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</si>
  <si>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</si>
  <si>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</si>
  <si>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</si>
  <si>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</si>
  <si>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</si>
  <si>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</si>
  <si>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</si>
  <si>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</si>
  <si>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</si>
  <si>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</si>
  <si>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</si>
  <si>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</si>
  <si>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</si>
  <si>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</si>
  <si>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</si>
  <si>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</si>
  <si>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</si>
  <si>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</si>
  <si>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</si>
  <si>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</si>
  <si>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</si>
  <si>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</si>
  <si>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</si>
  <si>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</si>
  <si>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</si>
  <si>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</si>
  <si>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</si>
  <si>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</si>
  <si>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</si>
  <si>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</si>
  <si>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</si>
  <si>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</si>
  <si>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</si>
  <si>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</si>
  <si>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</si>
  <si>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</si>
  <si>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</si>
  <si>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</si>
  <si>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</si>
  <si>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</si>
  <si>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</si>
  <si>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</si>
  <si>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</si>
  <si>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</si>
  <si>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</si>
  <si>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</si>
  <si>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</si>
  <si>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</si>
  <si>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</si>
  <si>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</si>
  <si>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</si>
  <si>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</si>
  <si>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</si>
  <si>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</si>
  <si>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</si>
  <si>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</si>
  <si>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</si>
  <si>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</si>
  <si>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</si>
  <si>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</si>
  <si>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</si>
  <si>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</si>
  <si>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</si>
  <si>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</si>
  <si>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</si>
  <si>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</si>
  <si>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</si>
  <si>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</si>
  <si>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</si>
  <si>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</si>
  <si>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</si>
  <si>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</si>
  <si>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</si>
  <si>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</si>
  <si>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</si>
  <si>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</si>
  <si>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</si>
  <si>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</si>
  <si>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</si>
  <si>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</si>
  <si>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</si>
  <si>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</si>
  <si>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</si>
  <si>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</si>
  <si>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</si>
  <si>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</si>
  <si>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</si>
  <si>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</si>
  <si>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</si>
  <si>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</si>
  <si>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</si>
  <si>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</si>
  <si>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</si>
  <si>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</si>
  <si>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</si>
  <si>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</si>
  <si>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</si>
  <si>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</si>
  <si>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</si>
  <si>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</si>
  <si>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</si>
  <si>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</si>
  <si>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</si>
  <si>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</si>
  <si>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</si>
  <si>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</si>
  <si>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</si>
  <si>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</si>
  <si>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</si>
  <si>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</si>
  <si>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</si>
  <si>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</si>
  <si>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</si>
  <si>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</si>
  <si>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</si>
  <si>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</si>
  <si>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</si>
  <si>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</si>
  <si>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</si>
  <si>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</si>
  <si>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</si>
  <si>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</si>
  <si>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</si>
  <si>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</si>
  <si>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</si>
  <si>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</si>
  <si>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</si>
  <si>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</si>
  <si>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</si>
  <si>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</si>
  <si>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</si>
  <si>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</si>
  <si>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</si>
  <si>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</si>
  <si>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</si>
  <si>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</si>
  <si>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</si>
  <si>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</si>
  <si>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</si>
  <si>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</si>
  <si>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</si>
  <si>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</si>
  <si>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</si>
  <si>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</si>
  <si>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</si>
  <si>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</si>
  <si>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</si>
  <si>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</si>
  <si>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</si>
  <si>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</si>
  <si>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</si>
  <si>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</si>
  <si>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</si>
  <si>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</si>
  <si>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</si>
  <si>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</si>
  <si>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</si>
  <si>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</si>
  <si>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</si>
  <si>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</si>
  <si>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</si>
  <si>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</si>
  <si>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</si>
  <si>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</si>
  <si>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</si>
  <si>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</si>
  <si>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</si>
  <si>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</si>
  <si>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</si>
  <si>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</si>
  <si>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</si>
  <si>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</si>
  <si>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</si>
  <si>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</si>
  <si>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</si>
  <si>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</si>
  <si>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</si>
  <si>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</si>
  <si>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</si>
  <si>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</si>
  <si>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</si>
  <si>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</si>
  <si>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</si>
  <si>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</si>
  <si>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</si>
  <si>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</si>
  <si>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</si>
  <si>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</si>
  <si>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</si>
  <si>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</si>
  <si>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</si>
  <si>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</si>
  <si>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</si>
  <si>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</si>
  <si>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</si>
  <si>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</si>
  <si>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</si>
  <si>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</si>
  <si>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</si>
  <si>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</si>
  <si>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</si>
  <si>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</si>
  <si>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</si>
  <si>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</si>
  <si>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</si>
  <si>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</si>
  <si>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</si>
  <si>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</si>
  <si>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</si>
  <si>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</si>
  <si>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</si>
  <si>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</si>
  <si>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</si>
  <si>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</si>
  <si>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</si>
  <si>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</si>
  <si>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</si>
  <si>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</si>
  <si>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</si>
  <si>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</si>
  <si>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</si>
  <si>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</si>
  <si>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</si>
  <si>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</si>
  <si>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</si>
  <si>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</si>
  <si>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</si>
  <si>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</si>
  <si>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</si>
  <si>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</si>
  <si>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</si>
  <si>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</si>
  <si>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</si>
  <si>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</si>
  <si>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</si>
  <si>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</si>
  <si>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</si>
  <si>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</si>
  <si>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</si>
  <si>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</si>
  <si>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</si>
  <si>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</si>
  <si>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</si>
  <si>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</si>
  <si>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</si>
  <si>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</si>
  <si>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</si>
  <si>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</si>
  <si>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</si>
  <si>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</si>
  <si>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</si>
  <si>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</si>
  <si>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</si>
  <si>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</si>
  <si>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</si>
  <si>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</si>
  <si>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</si>
  <si>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</si>
  <si>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</si>
  <si>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</si>
  <si>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</si>
  <si>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</si>
  <si>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</si>
  <si>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</si>
  <si>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</si>
  <si>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</si>
  <si>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</si>
  <si>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</si>
  <si>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</si>
  <si>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</si>
  <si>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</si>
  <si>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</si>
  <si>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</si>
  <si>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</si>
  <si>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</si>
  <si>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</si>
  <si>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</si>
  <si>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</si>
  <si>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</si>
  <si>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</si>
  <si>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</si>
  <si>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</si>
  <si>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</si>
  <si>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</si>
  <si>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</si>
  <si>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</si>
  <si>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</si>
  <si>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</si>
  <si>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</si>
  <si>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</si>
  <si>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</si>
  <si>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</si>
  <si>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</si>
  <si>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</si>
  <si>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</si>
  <si>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</si>
  <si>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</si>
  <si>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</si>
  <si>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</si>
  <si>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</si>
  <si>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</si>
  <si>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</si>
  <si>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</si>
  <si>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</si>
  <si>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</si>
  <si>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</si>
  <si>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</si>
  <si>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</si>
  <si>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</si>
  <si>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</si>
  <si>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</si>
  <si>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</si>
  <si>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</si>
  <si>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</si>
  <si>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</si>
  <si>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</si>
  <si>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</si>
  <si>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</si>
  <si>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</si>
  <si>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</si>
  <si>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</si>
  <si>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</si>
  <si>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</si>
  <si>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</si>
  <si>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</si>
  <si>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</si>
  <si>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</si>
  <si>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</si>
  <si>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</si>
  <si>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</si>
  <si>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</si>
  <si>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</si>
  <si>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</si>
  <si>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</si>
  <si>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</si>
  <si>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</si>
  <si>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</si>
  <si>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</si>
  <si>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</si>
  <si>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</si>
  <si>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</si>
  <si>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</si>
  <si>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</si>
  <si>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</si>
  <si>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</si>
  <si>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</si>
  <si>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</si>
  <si>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</si>
  <si>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</si>
  <si>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</si>
  <si>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</si>
  <si>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</si>
  <si>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</si>
  <si>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</si>
  <si>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</si>
  <si>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</si>
  <si>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</si>
  <si>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</si>
  <si>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</si>
  <si>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</si>
  <si>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</si>
  <si>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</si>
  <si>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</si>
  <si>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</si>
  <si>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</si>
  <si>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</si>
  <si>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</si>
  <si>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</si>
  <si>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</si>
  <si>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</si>
  <si>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</si>
  <si>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</si>
  <si>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</si>
  <si>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</si>
  <si>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</si>
  <si>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</si>
  <si>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</si>
  <si>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</si>
  <si>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</si>
  <si>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</si>
  <si>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</si>
  <si>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</si>
  <si>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</si>
  <si>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</si>
  <si>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</si>
  <si>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</si>
  <si>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</si>
  <si>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</si>
  <si>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</si>
  <si>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</si>
  <si>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</si>
  <si>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</si>
  <si>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</si>
  <si>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</si>
  <si>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</si>
  <si>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</si>
  <si>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</si>
  <si>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</si>
  <si>
    <t>A</t>
    <phoneticPr fontId="3" type="noConversion"/>
  </si>
  <si>
    <t>B</t>
  </si>
  <si>
    <t>T</t>
  </si>
  <si>
    <t>28.00,28.00</t>
  </si>
  <si>
    <t>PWR_LED</t>
  </si>
  <si>
    <t xml:space="preserve">R11.1, R26.1, Q1.2, </t>
  </si>
  <si>
    <t>P5V_AUX</t>
  </si>
  <si>
    <t xml:space="preserve">C8.1, R10.1, R13.1, CN1.2, </t>
  </si>
  <si>
    <t>P3V3_AUX</t>
  </si>
  <si>
    <t xml:space="preserve">C4.1, C6.1, R24.1, R23.1, R30.1, R25.1, </t>
  </si>
  <si>
    <t>GND</t>
  </si>
  <si>
    <t xml:space="preserve">H2.1, H1.1, C3.2, C4.2, C8.2, C6.2, </t>
  </si>
  <si>
    <t>56.00,56.00</t>
  </si>
  <si>
    <t>AC_BTN_R_N</t>
  </si>
  <si>
    <t xml:space="preserve">R12.1, BTN1.2, </t>
  </si>
  <si>
    <t>40.00,40.00</t>
  </si>
  <si>
    <t>$NONE$3</t>
  </si>
  <si>
    <t xml:space="preserve">NO_REFDES+5.1, </t>
  </si>
  <si>
    <t>$NONE$2</t>
  </si>
  <si>
    <t xml:space="preserve">NO_REFDES+4.1, </t>
  </si>
  <si>
    <t>TMP75A2</t>
  </si>
  <si>
    <t xml:space="preserve">R22.1, R25.2, U1.5, </t>
  </si>
  <si>
    <t>TMP75A1</t>
  </si>
  <si>
    <t xml:space="preserve">R24.2, R20.1, U1.6, </t>
  </si>
  <si>
    <t>TMP75A0</t>
  </si>
  <si>
    <t xml:space="preserve">R18.1, R23.2, U1.7, </t>
  </si>
  <si>
    <t>TMP75_ALERT_N_R</t>
  </si>
  <si>
    <t xml:space="preserve">R29.2, R30.2, U1.3, </t>
  </si>
  <si>
    <t>TMP75_ALERT_N</t>
  </si>
  <si>
    <t xml:space="preserve">R29.1, CN1.14, </t>
  </si>
  <si>
    <t>SMB_SENSOR_TMP75_SDA_R</t>
  </si>
  <si>
    <t xml:space="preserve">R19.2, R32.2, U1.1, </t>
  </si>
  <si>
    <t>SMB_SENSOR_TMP75_SDA</t>
  </si>
  <si>
    <t xml:space="preserve">R19.1, CN1.10, </t>
  </si>
  <si>
    <t>SMB_SENSOR_TMP75_SCL_R</t>
  </si>
  <si>
    <t xml:space="preserve">R17.2, R31.2, U1.2, </t>
  </si>
  <si>
    <t>52.00,52.00</t>
  </si>
  <si>
    <t>SMB_SENSOR_TMP75_SCL</t>
  </si>
  <si>
    <t xml:space="preserve">R17.1, CN1.12, </t>
  </si>
  <si>
    <t>PWR_LED_R1</t>
  </si>
  <si>
    <t xml:space="preserve">R26.2, CN1.5, </t>
  </si>
  <si>
    <t>PWR_LED_MOS</t>
  </si>
  <si>
    <t xml:space="preserve">Q1.3, LED1.0, </t>
  </si>
  <si>
    <t>FAULT_LED_R1</t>
  </si>
  <si>
    <t xml:space="preserve">R27.2, CN1.7, </t>
  </si>
  <si>
    <t>FAULT_LED_MOS</t>
  </si>
  <si>
    <t xml:space="preserve">Q2.3, LED2.0, </t>
  </si>
  <si>
    <t>FAULT_LED</t>
  </si>
  <si>
    <t xml:space="preserve">R14.1, R27.1, R33.2, Q2.2, </t>
  </si>
  <si>
    <t>AC_BTN_N</t>
  </si>
  <si>
    <t xml:space="preserve">C3.1, R12.2, CN1.6, </t>
  </si>
  <si>
    <t>$NONE$1</t>
  </si>
  <si>
    <t xml:space="preserve">CN1.9, </t>
  </si>
  <si>
    <t>$NONE$8</t>
  </si>
  <si>
    <t xml:space="preserve">NO_REFDES+1.1, </t>
  </si>
  <si>
    <t>$NONE$9</t>
  </si>
  <si>
    <t xml:space="preserve">NO_REFDES+2.1, </t>
  </si>
  <si>
    <t>$NONE$10</t>
  </si>
  <si>
    <t xml:space="preserve">NO_REFDES+3.1,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</si>
</sst>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63">
    <xf numFmtId="0" fontId="0" fillId="0" borderId="0" xfId="0"/>
    <xf numFmtId="0" fontId="0" fillId="0" borderId="2" xfId="0" applyBorder="1"/>
    <xf numFmtId="0" fontId="45" fillId="0" borderId="2" xfId="16" applyFont="1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5" fillId="0" borderId="0" xfId="20" applyFont="1" applyFill="1" applyBorder="1"/>
    <xf numFmtId="0" fontId="47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/>
    <xf numFmtId="0" fontId="23" fillId="0" borderId="0" xfId="0" applyFont="1" applyBorder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Fill="1" applyBorder="1" applyAlignment="1" applyProtection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 applyProtection="1"/>
    <xf numFmtId="0" fontId="23" fillId="2" borderId="5" xfId="0" applyFont="1" applyFill="1" applyBorder="1" applyAlignment="1" applyProtection="1">
      <alignment horizontal="center" vertical="center"/>
    </xf>
    <xf numFmtId="0" fontId="23" fillId="2" borderId="0" xfId="0" applyFont="1" applyFill="1" applyBorder="1" applyAlignment="1" applyProtection="1">
      <alignment horizontal="center" vertical="center"/>
    </xf>
    <xf numFmtId="0" fontId="23" fillId="2" borderId="6" xfId="0" applyFont="1" applyFill="1" applyBorder="1" applyAlignment="1" applyProtection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Protection="1"/>
    <xf numFmtId="0" fontId="29" fillId="2" borderId="5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</xf>
    <xf numFmtId="0" fontId="30" fillId="0" borderId="5" xfId="0" applyFont="1" applyBorder="1" applyAlignment="1" applyProtection="1">
      <alignment horizontal="center" vertical="center" wrapText="1"/>
    </xf>
    <xf numFmtId="0" fontId="25" fillId="0" borderId="2" xfId="0" applyFont="1" applyBorder="1" applyAlignment="1" applyProtection="1">
      <alignment horizontal="center" vertical="center"/>
    </xf>
    <xf numFmtId="0" fontId="25" fillId="0" borderId="6" xfId="0" applyFont="1" applyFill="1" applyBorder="1" applyAlignment="1" applyProtection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</xf>
    <xf numFmtId="0" fontId="15" fillId="0" borderId="6" xfId="0" applyFont="1" applyBorder="1" applyAlignment="1" applyProtection="1">
      <alignment vertical="center"/>
    </xf>
    <xf numFmtId="0" fontId="25" fillId="0" borderId="0" xfId="0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0" xfId="0" applyFont="1" applyFill="1" applyProtection="1">
      <protection locked="0"/>
    </xf>
    <xf numFmtId="0" fontId="30" fillId="0" borderId="5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vertical="center"/>
    </xf>
    <xf numFmtId="0" fontId="30" fillId="0" borderId="0" xfId="0" applyFont="1" applyBorder="1" applyAlignment="1" applyProtection="1">
      <alignment horizontal="center" vertical="center"/>
    </xf>
    <xf numFmtId="0" fontId="23" fillId="3" borderId="5" xfId="0" applyFont="1" applyFill="1" applyBorder="1" applyAlignment="1" applyProtection="1">
      <alignment horizontal="left" vertical="center"/>
    </xf>
    <xf numFmtId="0" fontId="23" fillId="3" borderId="0" xfId="0" applyFont="1" applyFill="1" applyBorder="1" applyAlignment="1" applyProtection="1">
      <alignment horizontal="left" vertical="center"/>
    </xf>
    <xf numFmtId="10" fontId="25" fillId="3" borderId="6" xfId="0" applyNumberFormat="1" applyFont="1" applyFill="1" applyBorder="1" applyProtection="1"/>
    <xf numFmtId="0" fontId="28" fillId="0" borderId="0" xfId="0" applyFont="1" applyFill="1" applyProtection="1"/>
    <xf numFmtId="0" fontId="25" fillId="3" borderId="5" xfId="0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Fill="1" applyBorder="1" applyProtection="1"/>
    <xf numFmtId="0" fontId="23" fillId="0" borderId="6" xfId="0" applyFont="1" applyFill="1" applyBorder="1" applyAlignment="1" applyProtection="1">
      <alignment horizontal="center" vertical="center"/>
    </xf>
    <xf numFmtId="0" fontId="30" fillId="0" borderId="6" xfId="0" applyFont="1" applyFill="1" applyBorder="1" applyAlignment="1" applyProtection="1">
      <alignment vertical="center" wrapText="1"/>
    </xf>
    <xf numFmtId="0" fontId="28" fillId="0" borderId="0" xfId="0" applyFont="1" applyAlignment="1" applyProtection="1">
      <alignment vertical="center" wrapText="1"/>
    </xf>
    <xf numFmtId="49" fontId="15" fillId="0" borderId="6" xfId="0" applyNumberFormat="1" applyFont="1" applyFill="1" applyBorder="1" applyAlignment="1" applyProtection="1">
      <alignment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15" fillId="0" borderId="5" xfId="0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vertical="center"/>
    </xf>
    <xf numFmtId="0" fontId="25" fillId="7" borderId="2" xfId="0" applyFont="1" applyFill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 applyProtection="1">
      <alignment horizontal="left" vertical="center"/>
    </xf>
    <xf numFmtId="0" fontId="33" fillId="0" borderId="8" xfId="0" applyFont="1" applyBorder="1" applyAlignment="1" applyProtection="1">
      <alignment horizontal="left" vertical="center"/>
    </xf>
    <xf numFmtId="0" fontId="15" fillId="0" borderId="9" xfId="0" applyFont="1" applyBorder="1" applyAlignment="1" applyProtection="1">
      <alignment vertical="center"/>
    </xf>
    <xf numFmtId="0" fontId="34" fillId="0" borderId="0" xfId="0" applyFont="1" applyAlignment="1" applyProtection="1">
      <alignment horizontal="center"/>
    </xf>
    <xf numFmtId="0" fontId="35" fillId="0" borderId="0" xfId="0" applyFont="1" applyAlignment="1" applyProtection="1">
      <alignment horizontal="center"/>
    </xf>
    <xf numFmtId="0" fontId="25" fillId="3" borderId="10" xfId="0" applyFont="1" applyFill="1" applyBorder="1" applyAlignment="1" applyProtection="1">
      <alignment horizontal="left" vertical="center"/>
    </xf>
    <xf numFmtId="0" fontId="30" fillId="0" borderId="11" xfId="0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vertical="center" wrapText="1"/>
    </xf>
    <xf numFmtId="0" fontId="25" fillId="3" borderId="12" xfId="0" applyFont="1" applyFill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 wrapText="1"/>
    </xf>
    <xf numFmtId="0" fontId="25" fillId="3" borderId="13" xfId="0" applyFont="1" applyFill="1" applyBorder="1" applyAlignment="1" applyProtection="1">
      <alignment horizontal="left" vertical="center"/>
    </xf>
    <xf numFmtId="0" fontId="30" fillId="0" borderId="4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Fill="1" applyBorder="1" applyAlignment="1" applyProtection="1">
      <alignment horizontal="center"/>
      <protection locked="0"/>
    </xf>
    <xf numFmtId="0" fontId="36" fillId="0" borderId="2" xfId="20" applyFont="1" applyFill="1" applyBorder="1" applyProtection="1">
      <protection locked="0"/>
    </xf>
    <xf numFmtId="0" fontId="37" fillId="0" borderId="0" xfId="20" applyFont="1" applyFill="1" applyBorder="1" applyProtection="1"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Fill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 applyBorder="1">
      <alignment vertical="center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0" applyFont="1" applyBorder="1" applyProtection="1">
      <protection locked="0"/>
    </xf>
    <xf numFmtId="0" fontId="25" fillId="0" borderId="0" xfId="0" applyFont="1" applyFill="1" applyBorder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 applyProtection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 applyProtection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Fill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 applyProtection="1">
      <alignment horizontal="center" vertical="center"/>
    </xf>
    <xf numFmtId="0" fontId="20" fillId="4" borderId="2" xfId="20" applyFont="1" applyFill="1" applyBorder="1" applyAlignment="1" applyProtection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Fill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 applyBorder="1">
      <alignment vertical="center"/>
    </xf>
    <xf numFmtId="0" fontId="49" fillId="0" borderId="0" xfId="14" applyFont="1">
      <alignment vertical="center"/>
    </xf>
    <xf numFmtId="0" fontId="36" fillId="0" borderId="0" xfId="0" applyFont="1" applyBorder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 applyProtection="1">
      <alignment horizontal="center" vertical="center" wrapText="1"/>
    </xf>
    <xf numFmtId="0" fontId="37" fillId="0" borderId="2" xfId="0" applyFont="1" applyBorder="1" applyAlignment="1" applyProtection="1">
      <protection locked="0"/>
    </xf>
    <xf numFmtId="0" fontId="50" fillId="0" borderId="31" xfId="29" applyFont="1" applyBorder="1" applyAlignment="1">
      <alignment vertical="center" wrapText="1"/>
    </xf>
    <xf numFmtId="0" fontId="50" fillId="0" borderId="30" xfId="0" applyFont="1" applyBorder="1" applyAlignment="1">
      <alignment horizontal="left" vertical="center" wrapText="1"/>
    </xf>
    <xf numFmtId="0" fontId="39" fillId="0" borderId="2" xfId="30" applyFont="1" applyBorder="1">
      <alignment vertical="center"/>
    </xf>
    <xf numFmtId="0" fontId="25" fillId="0" borderId="3" xfId="0" applyFont="1" applyFill="1" applyBorder="1" applyAlignment="1">
      <alignment horizontal="left" vertical="center" wrapText="1"/>
    </xf>
    <xf numFmtId="0" fontId="25" fillId="0" borderId="15" xfId="0" applyFont="1" applyFill="1" applyBorder="1" applyAlignment="1">
      <alignment horizontal="left" vertical="center"/>
    </xf>
    <xf numFmtId="0" fontId="25" fillId="0" borderId="3" xfId="0" applyFont="1" applyFill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6" fillId="5" borderId="16" xfId="0" applyFont="1" applyFill="1" applyBorder="1" applyAlignment="1" applyProtection="1">
      <alignment horizontal="center" vertical="center"/>
    </xf>
    <xf numFmtId="0" fontId="26" fillId="5" borderId="17" xfId="0" applyFont="1" applyFill="1" applyBorder="1" applyAlignment="1" applyProtection="1">
      <alignment horizontal="center" vertical="center"/>
    </xf>
    <xf numFmtId="0" fontId="26" fillId="5" borderId="18" xfId="0" applyFont="1" applyFill="1" applyBorder="1" applyAlignment="1" applyProtection="1">
      <alignment horizontal="center" vertical="center"/>
    </xf>
    <xf numFmtId="0" fontId="25" fillId="2" borderId="11" xfId="0" applyFont="1" applyFill="1" applyBorder="1" applyAlignment="1" applyProtection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 applyProtection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  <xf numFmtId="0" fontId="25" fillId="0" borderId="2" xfId="0" applyFont="1" applyBorder="1" applyAlignment="1" applyProtection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2" xfId="0" applyFont="1" applyBorder="1" applyAlignment="1" applyProtection="1">
      <alignment horizontal="center" vertical="center"/>
      <protection locked="0"/>
    </xf>
    <xf numFmtId="0" fontId="48" fillId="0" borderId="0" xfId="0" applyFont="1" applyBorder="1" applyAlignment="1" applyProtection="1">
      <alignment horizontal="right" vertical="center"/>
    </xf>
    <xf numFmtId="0" fontId="25" fillId="0" borderId="3" xfId="0" applyFont="1" applyFill="1" applyBorder="1" applyAlignment="1" applyProtection="1">
      <alignment horizontal="left" vertical="center"/>
    </xf>
    <xf numFmtId="0" fontId="25" fillId="0" borderId="19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25" fillId="0" borderId="2" xfId="0" applyFont="1" applyFill="1" applyBorder="1" applyAlignment="1" applyProtection="1">
      <alignment horizontal="left" vertical="center"/>
    </xf>
    <xf numFmtId="0" fontId="25" fillId="0" borderId="3" xfId="0" applyFont="1" applyBorder="1" applyAlignment="1" applyProtection="1">
      <alignment horizontal="right" vertical="center"/>
    </xf>
    <xf numFmtId="0" fontId="25" fillId="0" borderId="19" xfId="0" applyFont="1" applyBorder="1" applyAlignment="1" applyProtection="1">
      <alignment horizontal="right" vertical="center"/>
    </xf>
    <xf numFmtId="0" fontId="25" fillId="0" borderId="15" xfId="0" applyFont="1" applyBorder="1" applyAlignment="1" applyProtection="1">
      <alignment horizontal="right" vertical="center"/>
    </xf>
    <xf numFmtId="0" fontId="51" fillId="3" borderId="3" xfId="0" applyFont="1" applyFill="1" applyBorder="1" applyAlignment="1" applyProtection="1">
      <alignment horizontal="right" vertical="center"/>
    </xf>
    <xf numFmtId="0" fontId="51" fillId="3" borderId="19" xfId="0" applyFont="1" applyFill="1" applyBorder="1" applyAlignment="1" applyProtection="1">
      <alignment horizontal="right" vertical="center"/>
    </xf>
    <xf numFmtId="0" fontId="51" fillId="3" borderId="15" xfId="0" applyFont="1" applyFill="1" applyBorder="1" applyAlignment="1" applyProtection="1">
      <alignment horizontal="right" vertical="center"/>
    </xf>
    <xf numFmtId="0" fontId="52" fillId="3" borderId="3" xfId="0" applyFont="1" applyFill="1" applyBorder="1" applyAlignment="1" applyProtection="1">
      <alignment horizontal="right" vertical="center"/>
    </xf>
    <xf numFmtId="0" fontId="52" fillId="3" borderId="19" xfId="0" applyFont="1" applyFill="1" applyBorder="1" applyAlignment="1" applyProtection="1">
      <alignment horizontal="right" vertical="center"/>
    </xf>
    <xf numFmtId="0" fontId="52" fillId="3" borderId="15" xfId="0" applyFont="1" applyFill="1" applyBorder="1" applyAlignment="1" applyProtection="1">
      <alignment horizontal="right" vertical="center"/>
    </xf>
    <xf numFmtId="0" fontId="25" fillId="6" borderId="10" xfId="0" applyFont="1" applyFill="1" applyBorder="1" applyAlignment="1" applyProtection="1">
      <alignment horizontal="center" vertical="center"/>
    </xf>
    <xf numFmtId="0" fontId="25" fillId="6" borderId="11" xfId="0" applyFont="1" applyFill="1" applyBorder="1" applyAlignment="1" applyProtection="1">
      <alignment horizontal="center" vertical="center"/>
    </xf>
    <xf numFmtId="0" fontId="25" fillId="6" borderId="20" xfId="0" applyFont="1" applyFill="1" applyBorder="1" applyAlignment="1" applyProtection="1">
      <alignment horizontal="center" vertical="center"/>
    </xf>
    <xf numFmtId="0" fontId="25" fillId="6" borderId="13" xfId="0" applyFont="1" applyFill="1" applyBorder="1" applyAlignment="1" applyProtection="1">
      <alignment horizontal="center" vertical="center"/>
    </xf>
    <xf numFmtId="0" fontId="25" fillId="6" borderId="4" xfId="0" applyFont="1" applyFill="1" applyBorder="1" applyAlignment="1" applyProtection="1">
      <alignment horizontal="center" vertical="center"/>
    </xf>
    <xf numFmtId="0" fontId="25" fillId="6" borderId="21" xfId="0" applyFont="1" applyFill="1" applyBorder="1" applyAlignment="1" applyProtection="1">
      <alignment horizontal="center" vertical="center"/>
    </xf>
    <xf numFmtId="0" fontId="25" fillId="8" borderId="3" xfId="0" applyFont="1" applyFill="1" applyBorder="1" applyAlignment="1" applyProtection="1">
      <alignment horizontal="center" vertical="center"/>
    </xf>
    <xf numFmtId="0" fontId="25" fillId="8" borderId="19" xfId="0" applyFont="1" applyFill="1" applyBorder="1" applyAlignment="1" applyProtection="1">
      <alignment horizontal="center" vertical="center"/>
    </xf>
    <xf numFmtId="0" fontId="25" fillId="8" borderId="15" xfId="0" applyFont="1" applyFill="1" applyBorder="1" applyAlignment="1" applyProtection="1">
      <alignment horizontal="center" vertical="center"/>
    </xf>
    <xf numFmtId="10" fontId="53" fillId="9" borderId="3" xfId="0" applyNumberFormat="1" applyFont="1" applyFill="1" applyBorder="1" applyAlignment="1" applyProtection="1">
      <alignment horizontal="right" vertical="center"/>
    </xf>
    <xf numFmtId="10" fontId="53" fillId="9" borderId="19" xfId="0" applyNumberFormat="1" applyFont="1" applyFill="1" applyBorder="1" applyAlignment="1" applyProtection="1">
      <alignment horizontal="right" vertical="center"/>
    </xf>
    <xf numFmtId="10" fontId="53" fillId="9" borderId="15" xfId="0" applyNumberFormat="1" applyFont="1" applyFill="1" applyBorder="1" applyAlignment="1" applyProtection="1">
      <alignment horizontal="right" vertical="center"/>
    </xf>
    <xf numFmtId="10" fontId="53" fillId="0" borderId="3" xfId="0" applyNumberFormat="1" applyFont="1" applyBorder="1" applyAlignment="1" applyProtection="1">
      <alignment horizontal="right" vertical="center"/>
    </xf>
    <xf numFmtId="10" fontId="53" fillId="0" borderId="19" xfId="0" applyNumberFormat="1" applyFont="1" applyBorder="1" applyAlignment="1" applyProtection="1">
      <alignment horizontal="right" vertical="center"/>
    </xf>
    <xf numFmtId="10" fontId="53" fillId="0" borderId="15" xfId="0" applyNumberFormat="1" applyFont="1" applyBorder="1" applyAlignment="1" applyProtection="1">
      <alignment horizontal="right" vertical="center"/>
    </xf>
    <xf numFmtId="0" fontId="25" fillId="4" borderId="3" xfId="0" applyFont="1" applyFill="1" applyBorder="1" applyAlignment="1" applyProtection="1">
      <alignment horizontal="center" vertical="center"/>
    </xf>
    <xf numFmtId="0" fontId="25" fillId="4" borderId="19" xfId="0" applyFont="1" applyFill="1" applyBorder="1" applyAlignment="1" applyProtection="1">
      <alignment horizontal="center" vertical="center"/>
    </xf>
    <xf numFmtId="0" fontId="25" fillId="4" borderId="15" xfId="0" applyFont="1" applyFill="1" applyBorder="1" applyAlignment="1" applyProtection="1">
      <alignment horizontal="center" vertical="center"/>
    </xf>
    <xf numFmtId="0" fontId="25" fillId="6" borderId="22" xfId="0" applyFont="1" applyFill="1" applyBorder="1" applyAlignment="1" applyProtection="1">
      <alignment horizontal="left" vertical="center" wrapText="1"/>
    </xf>
    <xf numFmtId="0" fontId="25" fillId="6" borderId="23" xfId="0" applyFont="1" applyFill="1" applyBorder="1" applyAlignment="1" applyProtection="1">
      <alignment horizontal="left" vertical="center"/>
    </xf>
    <xf numFmtId="0" fontId="25" fillId="6" borderId="24" xfId="0" applyFont="1" applyFill="1" applyBorder="1" applyAlignment="1" applyProtection="1">
      <alignment horizontal="left" vertical="center"/>
    </xf>
    <xf numFmtId="0" fontId="25" fillId="6" borderId="25" xfId="0" applyFont="1" applyFill="1" applyBorder="1" applyAlignment="1" applyProtection="1">
      <alignment horizontal="left" vertical="center"/>
    </xf>
    <xf numFmtId="0" fontId="25" fillId="6" borderId="26" xfId="0" applyFont="1" applyFill="1" applyBorder="1" applyAlignment="1" applyProtection="1">
      <alignment horizontal="left" vertical="center"/>
    </xf>
    <xf numFmtId="0" fontId="25" fillId="6" borderId="27" xfId="0" applyFont="1" applyFill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center" vertical="center"/>
    </xf>
    <xf numFmtId="0" fontId="25" fillId="3" borderId="3" xfId="0" applyFont="1" applyFill="1" applyBorder="1" applyAlignment="1" applyProtection="1">
      <alignment horizontal="center" vertical="center"/>
    </xf>
    <xf numFmtId="0" fontId="25" fillId="3" borderId="19" xfId="0" applyFont="1" applyFill="1" applyBorder="1" applyAlignment="1" applyProtection="1">
      <alignment horizontal="center" vertical="center"/>
    </xf>
    <xf numFmtId="0" fontId="25" fillId="3" borderId="15" xfId="0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5" fillId="0" borderId="19" xfId="0" applyFont="1" applyBorder="1" applyAlignment="1" applyProtection="1">
      <alignment horizontal="center" vertical="center"/>
    </xf>
    <xf numFmtId="0" fontId="25" fillId="0" borderId="15" xfId="0" applyFont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15" fillId="0" borderId="19" xfId="0" applyFont="1" applyFill="1" applyBorder="1" applyAlignment="1" applyProtection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</xf>
    <xf numFmtId="0" fontId="51" fillId="3" borderId="19" xfId="0" applyFont="1" applyFill="1" applyBorder="1" applyAlignment="1" applyProtection="1">
      <alignment horizontal="center" vertical="center"/>
    </xf>
    <xf numFmtId="0" fontId="51" fillId="3" borderId="15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</xf>
    <xf numFmtId="0" fontId="15" fillId="7" borderId="2" xfId="0" applyFont="1" applyFill="1" applyBorder="1" applyAlignment="1" applyProtection="1">
      <alignment horizontal="center" vertical="center"/>
    </xf>
    <xf numFmtId="0" fontId="25" fillId="0" borderId="14" xfId="0" applyFont="1" applyBorder="1" applyAlignment="1" applyProtection="1">
      <alignment horizontal="center" vertical="center"/>
    </xf>
    <xf numFmtId="0" fontId="25" fillId="0" borderId="28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/>
    </xf>
    <xf numFmtId="0" fontId="15" fillId="0" borderId="11" xfId="0" applyFont="1" applyFill="1" applyBorder="1" applyAlignment="1" applyProtection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</xf>
    <xf numFmtId="0" fontId="15" fillId="0" borderId="21" xfId="0" applyFont="1" applyFill="1" applyBorder="1" applyAlignment="1" applyProtection="1">
      <alignment horizontal="center" vertical="center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2" xfId="0" applyFont="1" applyFill="1" applyBorder="1" applyAlignment="1" applyProtection="1">
      <alignment horizontal="center" vertical="center"/>
      <protection locked="0"/>
    </xf>
    <xf numFmtId="0" fontId="25" fillId="0" borderId="3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 applyProtection="1">
      <alignment horizontal="center" vertical="center"/>
      <protection locked="0"/>
    </xf>
    <xf numFmtId="0" fontId="25" fillId="0" borderId="15" xfId="0" applyFont="1" applyFill="1" applyBorder="1" applyAlignment="1" applyProtection="1">
      <alignment horizontal="center" vertical="center"/>
      <protection locked="0"/>
    </xf>
    <xf numFmtId="0" fontId="15" fillId="0" borderId="10" xfId="0" applyFont="1" applyFill="1" applyBorder="1" applyAlignment="1" applyProtection="1">
      <alignment horizontal="center" vertical="center" wrapText="1"/>
    </xf>
    <xf numFmtId="0" fontId="15" fillId="7" borderId="3" xfId="0" applyFont="1" applyFill="1" applyBorder="1" applyAlignment="1" applyProtection="1">
      <alignment horizontal="center" vertical="center"/>
    </xf>
    <xf numFmtId="0" fontId="15" fillId="7" borderId="19" xfId="0" applyFont="1" applyFill="1" applyBorder="1" applyAlignment="1" applyProtection="1">
      <alignment horizontal="center" vertical="center"/>
    </xf>
    <xf numFmtId="0" fontId="15" fillId="7" borderId="15" xfId="0" applyFont="1" applyFill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 applyProtection="1">
      <alignment horizontal="center" vertical="center"/>
    </xf>
    <xf numFmtId="0" fontId="25" fillId="7" borderId="2" xfId="0" applyFont="1" applyFill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left" vertical="center"/>
    </xf>
    <xf numFmtId="0" fontId="23" fillId="0" borderId="2" xfId="0" applyFont="1" applyBorder="1" applyAlignment="1" applyProtection="1">
      <alignment horizontal="left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15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15" xfId="0" applyFont="1" applyBorder="1" applyAlignment="1" applyProtection="1">
      <alignment horizontal="center" vertical="center"/>
    </xf>
    <xf numFmtId="0" fontId="54" fillId="0" borderId="3" xfId="0" applyFont="1" applyBorder="1" applyAlignment="1" applyProtection="1">
      <alignment horizontal="center" vertical="center"/>
    </xf>
    <xf numFmtId="0" fontId="54" fillId="0" borderId="15" xfId="0" applyFont="1" applyBorder="1" applyAlignment="1" applyProtection="1">
      <alignment horizontal="center" vertical="center"/>
    </xf>
    <xf numFmtId="0" fontId="55" fillId="0" borderId="3" xfId="0" applyFont="1" applyBorder="1" applyAlignment="1" applyProtection="1">
      <alignment horizontal="center" vertical="center"/>
    </xf>
    <xf numFmtId="0" fontId="55" fillId="0" borderId="15" xfId="0" applyFont="1" applyBorder="1" applyAlignment="1" applyProtection="1">
      <alignment horizontal="center" vertical="center"/>
    </xf>
    <xf numFmtId="0" fontId="56" fillId="0" borderId="3" xfId="0" applyFont="1" applyBorder="1" applyAlignment="1" applyProtection="1">
      <alignment horizontal="center" vertical="center"/>
    </xf>
    <xf numFmtId="0" fontId="56" fillId="0" borderId="15" xfId="0" applyFont="1" applyBorder="1" applyAlignment="1" applyProtection="1">
      <alignment horizontal="center" vertical="center"/>
    </xf>
    <xf numFmtId="0" fontId="57" fillId="0" borderId="3" xfId="0" applyFont="1" applyBorder="1" applyAlignment="1" applyProtection="1">
      <alignment horizontal="center" vertical="center"/>
    </xf>
    <xf numFmtId="0" fontId="57" fillId="0" borderId="15" xfId="0" applyFont="1" applyBorder="1" applyAlignment="1" applyProtection="1">
      <alignment horizontal="center" vertical="center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9" customWidth="1"/>
    <col min="2" max="2" width="6.375" style="9" customWidth="1"/>
    <col min="3" max="3" width="33.5" style="9" customWidth="1"/>
    <col min="4" max="4" width="27" style="9" customWidth="1"/>
    <col min="5" max="5" width="89.25" style="9" customWidth="1"/>
    <col min="6" max="16384" width="9" style="9"/>
  </cols>
  <sheetData>
    <row r="1" spans="2:28" ht="25.5">
      <c r="B1" s="7" t="s">
        <v>2084</v>
      </c>
      <c r="C1" s="8"/>
    </row>
    <row r="2" spans="2:28">
      <c r="B2" s="142" t="s">
        <v>2092</v>
      </c>
      <c r="C2" s="143"/>
    </row>
    <row r="3" spans="2:28">
      <c r="B3" s="11" t="s">
        <v>2085</v>
      </c>
      <c r="C3" s="11" t="s">
        <v>2086</v>
      </c>
      <c r="D3" s="11" t="s">
        <v>2084</v>
      </c>
      <c r="E3" s="11" t="s">
        <v>2087</v>
      </c>
    </row>
    <row r="4" spans="2:28" ht="113.25" customHeight="1">
      <c r="B4" s="12">
        <v>1</v>
      </c>
      <c r="C4" s="119" t="s">
        <v>2164</v>
      </c>
      <c r="D4" s="14" t="s">
        <v>2165</v>
      </c>
      <c r="E4" s="15"/>
    </row>
    <row r="5" spans="2:28" ht="113.25" customHeight="1">
      <c r="B5" s="12">
        <v>2</v>
      </c>
      <c r="C5" s="14" t="s">
        <v>2159</v>
      </c>
      <c r="D5" s="14" t="s">
        <v>2126</v>
      </c>
      <c r="E5" s="15"/>
    </row>
    <row r="6" spans="2:28" ht="113.25" customHeight="1">
      <c r="B6" s="12">
        <v>3</v>
      </c>
      <c r="C6" s="14" t="s">
        <v>2160</v>
      </c>
      <c r="D6" s="14" t="s">
        <v>2127</v>
      </c>
      <c r="E6" s="15"/>
    </row>
    <row r="7" spans="2:28" ht="113.25" customHeight="1">
      <c r="B7" s="12">
        <v>4</v>
      </c>
      <c r="C7" s="119" t="s">
        <v>2162</v>
      </c>
      <c r="D7" s="14" t="s">
        <v>2124</v>
      </c>
      <c r="E7" s="15"/>
    </row>
    <row r="9" spans="2:28">
      <c r="B9" s="16" t="s">
        <v>2125</v>
      </c>
      <c r="C9" s="16"/>
      <c r="D9" s="16"/>
      <c r="E9" s="1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2:28" ht="22.5" customHeight="1">
      <c r="B10" s="11" t="s">
        <v>6</v>
      </c>
      <c r="C10" s="11" t="s">
        <v>2086</v>
      </c>
      <c r="D10" s="144" t="s">
        <v>2084</v>
      </c>
      <c r="E10" s="145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</row>
    <row r="11" spans="2:28" ht="42.75" customHeight="1">
      <c r="B11" s="15">
        <v>1</v>
      </c>
      <c r="C11" s="18" t="s">
        <v>2128</v>
      </c>
      <c r="D11" s="141" t="s">
        <v>2129</v>
      </c>
      <c r="E11" s="140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</row>
    <row r="12" spans="2:28" ht="42.75" customHeight="1">
      <c r="B12" s="15">
        <v>2</v>
      </c>
      <c r="C12" s="18" t="s">
        <v>2130</v>
      </c>
      <c r="D12" s="141" t="s">
        <v>2131</v>
      </c>
      <c r="E12" s="140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2:28" ht="42.75" customHeight="1">
      <c r="B13" s="15">
        <v>3</v>
      </c>
      <c r="C13" s="18" t="s">
        <v>2098</v>
      </c>
      <c r="D13" s="141" t="s">
        <v>2132</v>
      </c>
      <c r="E13" s="140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</row>
    <row r="14" spans="2:28" ht="42.75" customHeight="1">
      <c r="B14" s="15">
        <v>4</v>
      </c>
      <c r="C14" s="20" t="s">
        <v>2093</v>
      </c>
      <c r="D14" s="139" t="s">
        <v>2133</v>
      </c>
      <c r="E14" s="140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ht="37.5" customHeight="1">
      <c r="B15" s="15">
        <v>5</v>
      </c>
      <c r="C15" s="20" t="s">
        <v>2094</v>
      </c>
      <c r="D15" s="139" t="s">
        <v>2134</v>
      </c>
      <c r="E15" s="140"/>
    </row>
    <row r="17" spans="2:5">
      <c r="B17" s="10" t="s">
        <v>2091</v>
      </c>
    </row>
    <row r="18" spans="2:5">
      <c r="B18" s="15" t="s">
        <v>6</v>
      </c>
      <c r="C18" s="21" t="s">
        <v>7</v>
      </c>
      <c r="D18" s="13" t="s">
        <v>2080</v>
      </c>
      <c r="E18" s="13" t="s">
        <v>2079</v>
      </c>
    </row>
    <row r="19" spans="2:5" ht="36.75" customHeight="1">
      <c r="B19" s="15">
        <v>1</v>
      </c>
      <c r="C19" s="21" t="s">
        <v>25</v>
      </c>
      <c r="D19" s="128" t="s">
        <v>2169</v>
      </c>
      <c r="E19" s="14"/>
    </row>
    <row r="20" spans="2:5" ht="36.75" customHeight="1">
      <c r="B20" s="15">
        <v>2</v>
      </c>
      <c r="C20" s="4" t="s">
        <v>2163</v>
      </c>
      <c r="D20" s="129" t="s">
        <v>2170</v>
      </c>
      <c r="E20" s="13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topLeftCell="A7" zoomScale="85" zoomScaleNormal="85" workbookViewId="0">
      <selection activeCell="D12" sqref="D12:AC12"/>
    </sheetView>
  </sheetViews>
  <sheetFormatPr defaultColWidth="8.5" defaultRowHeight="15.75"/>
  <cols>
    <col min="1" max="1" width="2.625" style="23" customWidth="1"/>
    <col min="2" max="2" width="2.625" style="71" customWidth="1"/>
    <col min="3" max="3" width="3.625" style="71" customWidth="1"/>
    <col min="4" max="14" width="2.625" style="71" customWidth="1"/>
    <col min="15" max="17" width="3.75" style="71" customWidth="1"/>
    <col min="18" max="18" width="2.625" style="71" customWidth="1"/>
    <col min="19" max="21" width="2.875" style="71" customWidth="1"/>
    <col min="22" max="26" width="2.625" style="71" customWidth="1"/>
    <col min="27" max="29" width="3.625" style="71" customWidth="1"/>
    <col min="30" max="32" width="3.5" style="71" customWidth="1"/>
    <col min="33" max="35" width="4" style="71" customWidth="1"/>
    <col min="36" max="36" width="2.75" style="23" customWidth="1"/>
    <col min="37" max="37" width="10.625" style="23" customWidth="1"/>
    <col min="38" max="16384" width="8.5" style="23"/>
  </cols>
  <sheetData>
    <row r="1" spans="2:47" ht="22.5">
      <c r="B1" s="146" t="s">
        <v>2135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8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2:47" s="28" customFormat="1" ht="15.75" customHeight="1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149" t="s">
        <v>5</v>
      </c>
      <c r="AB2" s="149"/>
      <c r="AC2" s="149"/>
      <c r="AD2" s="150"/>
      <c r="AE2" s="150"/>
      <c r="AF2" s="150"/>
      <c r="AG2" s="150"/>
      <c r="AH2" s="150"/>
      <c r="AI2" s="150"/>
      <c r="AJ2" s="26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</row>
    <row r="3" spans="2:47" s="28" customFormat="1" ht="15.75" customHeight="1">
      <c r="B3" s="29"/>
      <c r="C3" s="30" t="s">
        <v>2089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151" t="s">
        <v>2100</v>
      </c>
      <c r="AB3" s="151"/>
      <c r="AC3" s="151"/>
      <c r="AD3" s="152"/>
      <c r="AE3" s="152"/>
      <c r="AF3" s="152"/>
      <c r="AG3" s="152"/>
      <c r="AH3" s="152"/>
      <c r="AI3" s="152"/>
      <c r="AJ3" s="32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2:47" s="37" customFormat="1" ht="15.75" customHeight="1">
      <c r="B4" s="33"/>
      <c r="C4" s="34">
        <v>1</v>
      </c>
      <c r="D4" s="153" t="s">
        <v>16</v>
      </c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4"/>
      <c r="AE4" s="154"/>
      <c r="AF4" s="154"/>
      <c r="AG4" s="154"/>
      <c r="AH4" s="154"/>
      <c r="AI4" s="154"/>
      <c r="AJ4" s="35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2:47" s="37" customFormat="1" ht="15.75" customHeight="1">
      <c r="B5" s="33"/>
      <c r="C5" s="34">
        <v>2</v>
      </c>
      <c r="D5" s="153" t="s">
        <v>17</v>
      </c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4"/>
      <c r="AE5" s="154"/>
      <c r="AF5" s="154"/>
      <c r="AG5" s="154"/>
      <c r="AH5" s="154"/>
      <c r="AI5" s="154"/>
      <c r="AJ5" s="38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</row>
    <row r="6" spans="2:47" s="37" customFormat="1" ht="15.75" customHeight="1">
      <c r="B6" s="33"/>
      <c r="C6" s="34">
        <v>3</v>
      </c>
      <c r="D6" s="153" t="s">
        <v>2077</v>
      </c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4"/>
      <c r="AE6" s="154"/>
      <c r="AF6" s="154"/>
      <c r="AG6" s="154"/>
      <c r="AH6" s="154"/>
      <c r="AI6" s="154"/>
      <c r="AJ6" s="35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</row>
    <row r="7" spans="2:47" s="37" customFormat="1" ht="15.75" customHeight="1">
      <c r="B7" s="33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/>
      <c r="AH7" s="41"/>
      <c r="AI7" s="41"/>
      <c r="AJ7" s="38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</row>
    <row r="8" spans="2:47" s="37" customFormat="1" ht="15.75" customHeight="1">
      <c r="B8" s="33"/>
      <c r="C8" s="242" t="s">
        <v>2088</v>
      </c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51" t="s">
        <v>2102</v>
      </c>
      <c r="AE8" s="252"/>
      <c r="AF8" s="253" t="s">
        <v>2121</v>
      </c>
      <c r="AG8" s="254"/>
      <c r="AH8" s="255" t="s">
        <v>2122</v>
      </c>
      <c r="AI8" s="256"/>
      <c r="AJ8" s="38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</row>
    <row r="9" spans="2:47" s="37" customFormat="1" ht="15.75" customHeight="1">
      <c r="B9" s="33"/>
      <c r="C9" s="34">
        <v>1</v>
      </c>
      <c r="D9" s="153" t="s">
        <v>2146</v>
      </c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251">
        <f>AF9+AH9</f>
        <v>40</v>
      </c>
      <c r="AE9" s="252"/>
      <c r="AF9" s="257">
        <f>COUNTA('Testable nets list'!B:B)-1-AF10-AF11</f>
        <v>30</v>
      </c>
      <c r="AG9" s="258"/>
      <c r="AH9" s="257">
        <f>COUNTA('Untestable nets list'!C:C)-1-AH10-AH11</f>
        <v>10</v>
      </c>
      <c r="AI9" s="258"/>
      <c r="AJ9" s="38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</row>
    <row r="10" spans="2:47" s="37" customFormat="1" ht="15.75" customHeight="1">
      <c r="B10" s="33"/>
      <c r="C10" s="34">
        <v>2</v>
      </c>
      <c r="D10" s="153" t="s">
        <v>2149</v>
      </c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251">
        <f>COUNTA('Nets not required'!B:B)-1</f>
        <v>0</v>
      </c>
      <c r="AE10" s="252"/>
      <c r="AF10" s="257">
        <f>COUNTIFS('Testable nets list'!H:H,"Y")</f>
        <v>0</v>
      </c>
      <c r="AG10" s="258"/>
      <c r="AH10" s="257">
        <f>COUNTIFS('Untestable nets list'!E:E,"Y")</f>
        <v>0</v>
      </c>
      <c r="AI10" s="258"/>
      <c r="AJ10" s="38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</row>
    <row r="11" spans="2:47" s="37" customFormat="1" ht="15.75" customHeight="1">
      <c r="B11" s="33"/>
      <c r="C11" s="34">
        <v>3</v>
      </c>
      <c r="D11" s="153" t="s">
        <v>2154</v>
      </c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251">
        <f>COUNTA('Nets not required'!E:E)-1</f>
        <v>0</v>
      </c>
      <c r="AE11" s="252"/>
      <c r="AF11" s="257">
        <f>COUNTIFS('Testable nets list'!I:I,"Y")</f>
        <v>0</v>
      </c>
      <c r="AG11" s="258"/>
      <c r="AH11" s="257">
        <f>COUNTIFS('Untestable nets list'!F:F,"Y")</f>
        <v>0</v>
      </c>
      <c r="AI11" s="258"/>
      <c r="AJ11" s="38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</row>
    <row r="12" spans="2:47" s="37" customFormat="1" ht="15.75" customHeight="1">
      <c r="B12" s="33"/>
      <c r="C12" s="34">
        <v>4</v>
      </c>
      <c r="D12" s="153" t="s">
        <v>2161</v>
      </c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251">
        <f>COUNTA('Nets not required'!K:K)-1</f>
        <v>0</v>
      </c>
      <c r="AE12" s="252"/>
      <c r="AF12" s="257" t="s">
        <v>2141</v>
      </c>
      <c r="AG12" s="258"/>
      <c r="AH12" s="261">
        <f>AD12</f>
        <v>0</v>
      </c>
      <c r="AI12" s="262"/>
      <c r="AJ12" s="38"/>
      <c r="AK12" s="36"/>
      <c r="AL12" s="36"/>
      <c r="AM12" s="36"/>
      <c r="AN12" s="36" t="s">
        <v>2118</v>
      </c>
      <c r="AO12" s="36"/>
      <c r="AP12" s="36"/>
      <c r="AQ12" s="36"/>
      <c r="AR12" s="36"/>
      <c r="AS12" s="36"/>
      <c r="AT12" s="36"/>
      <c r="AU12" s="36"/>
    </row>
    <row r="13" spans="2:47" s="37" customFormat="1" ht="15.75" customHeight="1">
      <c r="B13" s="33"/>
      <c r="C13" s="243" t="s">
        <v>2078</v>
      </c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  <c r="AA13" s="243"/>
      <c r="AB13" s="243"/>
      <c r="AC13" s="243"/>
      <c r="AD13" s="251">
        <f>AF13+AH13</f>
        <v>40</v>
      </c>
      <c r="AE13" s="252"/>
      <c r="AF13" s="259">
        <f>SUM(AF9:AF12)</f>
        <v>30</v>
      </c>
      <c r="AG13" s="260"/>
      <c r="AH13" s="259">
        <f>SUM(AH9:AH12)</f>
        <v>10</v>
      </c>
      <c r="AI13" s="260"/>
      <c r="AJ13" s="38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</row>
    <row r="14" spans="2:47" s="37" customFormat="1" ht="15.75" customHeight="1">
      <c r="B14" s="33"/>
      <c r="C14" s="39"/>
      <c r="D14" s="250"/>
      <c r="E14" s="250"/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156"/>
      <c r="AE14" s="156"/>
      <c r="AF14" s="156"/>
      <c r="AG14" s="156"/>
      <c r="AH14" s="156"/>
      <c r="AI14" s="156"/>
      <c r="AJ14" s="38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</row>
    <row r="15" spans="2:47" s="37" customFormat="1" ht="15.75" customHeight="1">
      <c r="B15" s="33"/>
      <c r="C15" s="231" t="s">
        <v>2147</v>
      </c>
      <c r="D15" s="231"/>
      <c r="E15" s="231"/>
      <c r="F15" s="231"/>
      <c r="G15" s="231"/>
      <c r="H15" s="231"/>
      <c r="I15" s="231"/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1"/>
      <c r="V15" s="231"/>
      <c r="W15" s="231"/>
      <c r="X15" s="231"/>
      <c r="Y15" s="231"/>
      <c r="Z15" s="231"/>
      <c r="AA15" s="231"/>
      <c r="AB15" s="231"/>
      <c r="AC15" s="231"/>
      <c r="AD15" s="156"/>
      <c r="AE15" s="156"/>
      <c r="AF15" s="156"/>
      <c r="AG15" s="156"/>
      <c r="AH15" s="156"/>
      <c r="AI15" s="156"/>
      <c r="AJ15" s="38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</row>
    <row r="16" spans="2:47" s="37" customFormat="1" ht="15.75" customHeight="1">
      <c r="B16" s="33"/>
      <c r="C16" s="34">
        <v>1</v>
      </c>
      <c r="D16" s="157" t="s">
        <v>2101</v>
      </c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9"/>
      <c r="AD16" s="167">
        <f>AD9</f>
        <v>40</v>
      </c>
      <c r="AE16" s="168"/>
      <c r="AF16" s="168"/>
      <c r="AG16" s="168"/>
      <c r="AH16" s="168"/>
      <c r="AI16" s="169"/>
      <c r="AJ16" s="38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</row>
    <row r="17" spans="2:47" s="37" customFormat="1" ht="15.75" customHeight="1">
      <c r="B17" s="33"/>
      <c r="C17" s="34">
        <v>2</v>
      </c>
      <c r="D17" s="157" t="s">
        <v>2148</v>
      </c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9"/>
      <c r="AD17" s="167">
        <f>AH9</f>
        <v>10</v>
      </c>
      <c r="AE17" s="168"/>
      <c r="AF17" s="168"/>
      <c r="AG17" s="168"/>
      <c r="AH17" s="168"/>
      <c r="AI17" s="169"/>
      <c r="AJ17" s="38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</row>
    <row r="18" spans="2:47" s="37" customFormat="1" ht="15.75" customHeight="1">
      <c r="B18" s="33"/>
      <c r="C18" s="34">
        <v>3</v>
      </c>
      <c r="D18" s="157" t="s">
        <v>2158</v>
      </c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9"/>
      <c r="AD18" s="164"/>
      <c r="AE18" s="165"/>
      <c r="AF18" s="165"/>
      <c r="AG18" s="165"/>
      <c r="AH18" s="165"/>
      <c r="AI18" s="166"/>
      <c r="AJ18" s="43"/>
      <c r="AK18" s="44"/>
      <c r="AL18" s="36"/>
      <c r="AM18" s="36"/>
      <c r="AN18" s="36"/>
      <c r="AO18" s="36"/>
      <c r="AP18" s="36"/>
      <c r="AQ18" s="36"/>
      <c r="AR18" s="36"/>
      <c r="AS18" s="36"/>
      <c r="AT18" s="36"/>
      <c r="AU18" s="36"/>
    </row>
    <row r="19" spans="2:47" s="37" customFormat="1" ht="15.75" customHeight="1">
      <c r="B19" s="33"/>
      <c r="C19" s="34">
        <v>4</v>
      </c>
      <c r="D19" s="160" t="s">
        <v>2123</v>
      </c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1">
        <v>0</v>
      </c>
      <c r="AE19" s="162"/>
      <c r="AF19" s="162"/>
      <c r="AG19" s="162"/>
      <c r="AH19" s="162"/>
      <c r="AI19" s="163"/>
      <c r="AJ19" s="43"/>
      <c r="AK19" s="44"/>
      <c r="AL19" s="36"/>
      <c r="AM19" s="36"/>
      <c r="AN19" s="36"/>
      <c r="AO19" s="36"/>
      <c r="AP19" s="36"/>
      <c r="AQ19" s="36"/>
      <c r="AR19" s="36"/>
      <c r="AS19" s="36"/>
      <c r="AT19" s="36"/>
    </row>
    <row r="20" spans="2:47" s="37" customFormat="1" ht="15.75" customHeight="1">
      <c r="B20" s="33"/>
      <c r="C20" s="34">
        <v>5</v>
      </c>
      <c r="D20" s="160" t="s">
        <v>2099</v>
      </c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1">
        <v>0</v>
      </c>
      <c r="AE20" s="162"/>
      <c r="AF20" s="162"/>
      <c r="AG20" s="162"/>
      <c r="AH20" s="162"/>
      <c r="AI20" s="163"/>
      <c r="AJ20" s="43"/>
      <c r="AK20" s="44"/>
      <c r="AL20" s="36"/>
      <c r="AM20" s="36"/>
      <c r="AN20" s="36"/>
      <c r="AO20" s="36"/>
      <c r="AP20" s="36"/>
      <c r="AQ20" s="36"/>
      <c r="AR20" s="36"/>
      <c r="AS20" s="36"/>
      <c r="AT20" s="36"/>
    </row>
    <row r="21" spans="2:47" s="37" customFormat="1" ht="15.75" customHeight="1">
      <c r="B21" s="33"/>
      <c r="C21" s="34">
        <v>6</v>
      </c>
      <c r="D21" s="153" t="s">
        <v>2119</v>
      </c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79">
        <f>(AD16-AD17-AD18)/AD16</f>
        <v>0.75</v>
      </c>
      <c r="AE21" s="180"/>
      <c r="AF21" s="180"/>
      <c r="AG21" s="180"/>
      <c r="AH21" s="180"/>
      <c r="AI21" s="181"/>
      <c r="AJ21" s="43"/>
      <c r="AK21" s="45"/>
      <c r="AL21" s="46"/>
      <c r="AM21" s="36"/>
      <c r="AN21" s="36"/>
      <c r="AO21" s="36"/>
      <c r="AP21" s="36"/>
      <c r="AQ21" s="36"/>
      <c r="AR21" s="36"/>
      <c r="AS21" s="36"/>
      <c r="AT21" s="36"/>
    </row>
    <row r="22" spans="2:47" s="37" customFormat="1" ht="15.75" customHeight="1">
      <c r="B22" s="33"/>
      <c r="C22" s="34">
        <v>7</v>
      </c>
      <c r="D22" s="153" t="s">
        <v>2120</v>
      </c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82" t="str">
        <f>IF(COUNTA('Nets not required'!H:H)&gt;1,(AD16-AD17-AD18-AD20)/(AD16-AD19)," ")</f>
        <v xml:space="preserve"> </v>
      </c>
      <c r="AE22" s="183"/>
      <c r="AF22" s="183"/>
      <c r="AG22" s="183"/>
      <c r="AH22" s="183"/>
      <c r="AI22" s="184"/>
      <c r="AJ22" s="43"/>
      <c r="AK22" s="45"/>
      <c r="AL22" s="46"/>
      <c r="AM22" s="36"/>
      <c r="AN22" s="36"/>
      <c r="AO22" s="36"/>
      <c r="AP22" s="36"/>
      <c r="AQ22" s="36"/>
      <c r="AR22" s="36"/>
      <c r="AS22" s="36"/>
      <c r="AT22" s="36"/>
    </row>
    <row r="23" spans="2:47" s="37" customFormat="1" ht="15.75" customHeight="1">
      <c r="B23" s="47"/>
      <c r="C23" s="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38"/>
      <c r="AK23" s="36"/>
      <c r="AL23" s="46"/>
      <c r="AM23" s="46"/>
      <c r="AN23" s="36"/>
      <c r="AO23" s="36"/>
      <c r="AP23" s="36"/>
      <c r="AQ23" s="36"/>
      <c r="AR23" s="36"/>
      <c r="AS23" s="36"/>
      <c r="AT23" s="36"/>
      <c r="AU23" s="36"/>
    </row>
    <row r="24" spans="2:47" s="53" customFormat="1" ht="15.75" customHeight="1">
      <c r="B24" s="50"/>
      <c r="C24" s="51" t="s">
        <v>2166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2"/>
      <c r="AK24" s="46"/>
      <c r="AL24" s="36"/>
      <c r="AM24" s="36"/>
      <c r="AN24" s="46"/>
      <c r="AO24" s="46"/>
      <c r="AP24" s="46"/>
      <c r="AQ24" s="46"/>
      <c r="AR24" s="46"/>
      <c r="AS24" s="46"/>
      <c r="AT24" s="46"/>
      <c r="AU24" s="46"/>
    </row>
    <row r="25" spans="2:47" s="53" customFormat="1" ht="15.75" customHeight="1">
      <c r="B25" s="54"/>
      <c r="C25" s="188" t="s">
        <v>2136</v>
      </c>
      <c r="D25" s="189"/>
      <c r="E25" s="190"/>
      <c r="F25" s="176" t="s">
        <v>13</v>
      </c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8"/>
      <c r="R25" s="185" t="s">
        <v>18</v>
      </c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7"/>
      <c r="AD25" s="170" t="s">
        <v>14</v>
      </c>
      <c r="AE25" s="171"/>
      <c r="AF25" s="172"/>
      <c r="AG25" s="170" t="s">
        <v>2096</v>
      </c>
      <c r="AH25" s="171"/>
      <c r="AI25" s="172"/>
      <c r="AJ25" s="52"/>
      <c r="AK25" s="46"/>
      <c r="AL25" s="55"/>
      <c r="AM25" s="55"/>
      <c r="AN25" s="46"/>
      <c r="AO25" s="46"/>
      <c r="AP25" s="46"/>
      <c r="AQ25" s="46"/>
      <c r="AR25" s="46"/>
      <c r="AS25" s="46"/>
      <c r="AT25" s="46"/>
      <c r="AU25" s="46"/>
    </row>
    <row r="26" spans="2:47" s="53" customFormat="1" ht="21.75" customHeight="1">
      <c r="B26" s="56"/>
      <c r="C26" s="191"/>
      <c r="D26" s="192"/>
      <c r="E26" s="193"/>
      <c r="F26" s="176" t="s">
        <v>9</v>
      </c>
      <c r="G26" s="177"/>
      <c r="H26" s="178"/>
      <c r="I26" s="176" t="s">
        <v>10</v>
      </c>
      <c r="J26" s="177"/>
      <c r="K26" s="178"/>
      <c r="L26" s="176" t="s">
        <v>11</v>
      </c>
      <c r="M26" s="177"/>
      <c r="N26" s="178"/>
      <c r="O26" s="176" t="s">
        <v>12</v>
      </c>
      <c r="P26" s="177"/>
      <c r="Q26" s="178"/>
      <c r="R26" s="185" t="s">
        <v>9</v>
      </c>
      <c r="S26" s="186"/>
      <c r="T26" s="187"/>
      <c r="U26" s="185" t="s">
        <v>10</v>
      </c>
      <c r="V26" s="186"/>
      <c r="W26" s="187"/>
      <c r="X26" s="185" t="s">
        <v>11</v>
      </c>
      <c r="Y26" s="186"/>
      <c r="Z26" s="187"/>
      <c r="AA26" s="185" t="s">
        <v>12</v>
      </c>
      <c r="AB26" s="186"/>
      <c r="AC26" s="187"/>
      <c r="AD26" s="173"/>
      <c r="AE26" s="174"/>
      <c r="AF26" s="175"/>
      <c r="AG26" s="173"/>
      <c r="AH26" s="174"/>
      <c r="AI26" s="175"/>
      <c r="AJ26" s="57"/>
      <c r="AK26" s="46"/>
      <c r="AL26" s="55"/>
      <c r="AM26" s="55"/>
      <c r="AN26" s="46"/>
      <c r="AO26" s="46"/>
      <c r="AP26" s="46"/>
      <c r="AQ26" s="46"/>
      <c r="AR26" s="46"/>
      <c r="AS26" s="46"/>
      <c r="AT26" s="46"/>
      <c r="AU26" s="46"/>
    </row>
    <row r="27" spans="2:47" s="37" customFormat="1" ht="15.75" customHeight="1">
      <c r="B27" s="56"/>
      <c r="C27" s="194" t="s">
        <v>0</v>
      </c>
      <c r="D27" s="194"/>
      <c r="E27" s="194"/>
      <c r="F27" s="195">
        <f>COUNTIFS('Testable nets list'!G:G,5,'Testable nets list'!F:F,1,'Testable nets list'!D:D,"T")</f>
        <v>0</v>
      </c>
      <c r="G27" s="196"/>
      <c r="H27" s="197"/>
      <c r="I27" s="195">
        <f>COUNTIFS('Testable nets list'!G:G,6,'Testable nets list'!F:F,1,'Testable nets list'!D:D,"T")</f>
        <v>0</v>
      </c>
      <c r="J27" s="196"/>
      <c r="K27" s="197"/>
      <c r="L27" s="195">
        <f>COUNTIFS('Testable nets list'!G:G,7,'Testable nets list'!F:F,1,'Testable nets list'!D:D,"T")</f>
        <v>0</v>
      </c>
      <c r="M27" s="196"/>
      <c r="N27" s="197"/>
      <c r="O27" s="195" t="s">
        <v>2142</v>
      </c>
      <c r="P27" s="196"/>
      <c r="Q27" s="197"/>
      <c r="R27" s="195">
        <f>COUNTIFS('Testable nets list'!G:G,5,'Testable nets list'!F:F,1,'Testable nets list'!D:D,"B")</f>
        <v>0</v>
      </c>
      <c r="S27" s="196"/>
      <c r="T27" s="197"/>
      <c r="U27" s="195">
        <f>COUNTIFS('Testable nets list'!G:G,6,'Testable nets list'!F:F,1,'Testable nets list'!D:D,"B")</f>
        <v>0</v>
      </c>
      <c r="V27" s="196"/>
      <c r="W27" s="197"/>
      <c r="X27" s="195">
        <f>COUNTIFS('Testable nets list'!G:G,7,'Testable nets list'!F:F,1,'Testable nets list'!D:D,"B")</f>
        <v>0</v>
      </c>
      <c r="Y27" s="196"/>
      <c r="Z27" s="197"/>
      <c r="AA27" s="195" t="s">
        <v>2143</v>
      </c>
      <c r="AB27" s="196"/>
      <c r="AC27" s="197"/>
      <c r="AD27" s="198">
        <f>SUM(F27:AC27)</f>
        <v>0</v>
      </c>
      <c r="AE27" s="199"/>
      <c r="AF27" s="200"/>
      <c r="AG27" s="235" t="e">
        <f>AD27/AD31</f>
        <v>#DIV/0!</v>
      </c>
      <c r="AH27" s="236"/>
      <c r="AI27" s="237"/>
      <c r="AJ27" s="38"/>
      <c r="AK27" s="36"/>
      <c r="AL27" s="55"/>
      <c r="AM27" s="55"/>
      <c r="AN27" s="36"/>
      <c r="AO27" s="36"/>
      <c r="AP27" s="36"/>
      <c r="AQ27" s="36"/>
      <c r="AR27" s="36"/>
      <c r="AS27" s="36"/>
      <c r="AT27" s="36"/>
      <c r="AU27" s="36"/>
    </row>
    <row r="28" spans="2:47" s="59" customFormat="1" ht="15.75" customHeight="1">
      <c r="B28" s="33"/>
      <c r="C28" s="194" t="s">
        <v>4</v>
      </c>
      <c r="D28" s="194"/>
      <c r="E28" s="194"/>
      <c r="F28" s="195">
        <f>COUNTIFS('Testable nets list'!G:G,5,'Testable nets list'!F:F,2,'Testable nets list'!D:D,"T")</f>
        <v>0</v>
      </c>
      <c r="G28" s="196"/>
      <c r="H28" s="197"/>
      <c r="I28" s="195">
        <f>COUNTIFS('Testable nets list'!G:G,6,'Testable nets list'!F:F,2,'Testable nets list'!D:D,"T")</f>
        <v>0</v>
      </c>
      <c r="J28" s="196"/>
      <c r="K28" s="197"/>
      <c r="L28" s="195">
        <f>COUNTIFS('Testable nets list'!G:G,7,'Testable nets list'!F:F,2,'Testable nets list'!D:D,"T")</f>
        <v>0</v>
      </c>
      <c r="M28" s="196"/>
      <c r="N28" s="197"/>
      <c r="O28" s="195" t="s">
        <v>2142</v>
      </c>
      <c r="P28" s="196"/>
      <c r="Q28" s="197"/>
      <c r="R28" s="195">
        <f>COUNTIFS('Testable nets list'!G:G,5,'Testable nets list'!F:F,2,'Testable nets list'!D:D,"B")</f>
        <v>0</v>
      </c>
      <c r="S28" s="196"/>
      <c r="T28" s="197"/>
      <c r="U28" s="195">
        <f>COUNTIFS('Testable nets list'!G:G,6,'Testable nets list'!F:F,2,'Testable nets list'!D:D,"B")</f>
        <v>0</v>
      </c>
      <c r="V28" s="196"/>
      <c r="W28" s="197"/>
      <c r="X28" s="195">
        <f>COUNTIFS('Testable nets list'!G:G,7,'Testable nets list'!F:F,2,'Testable nets list'!D:D,"B")</f>
        <v>0</v>
      </c>
      <c r="Y28" s="196"/>
      <c r="Z28" s="197"/>
      <c r="AA28" s="195" t="s">
        <v>2142</v>
      </c>
      <c r="AB28" s="196"/>
      <c r="AC28" s="197"/>
      <c r="AD28" s="198">
        <f>SUM(F28:AC28)</f>
        <v>0</v>
      </c>
      <c r="AE28" s="199"/>
      <c r="AF28" s="200"/>
      <c r="AG28" s="235" t="e">
        <f>AD28/AD31</f>
        <v>#DIV/0!</v>
      </c>
      <c r="AH28" s="236"/>
      <c r="AI28" s="237"/>
      <c r="AJ28" s="58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</row>
    <row r="29" spans="2:47" s="59" customFormat="1" ht="15.75" customHeight="1">
      <c r="B29" s="33"/>
      <c r="C29" s="194" t="s">
        <v>1</v>
      </c>
      <c r="D29" s="194"/>
      <c r="E29" s="194"/>
      <c r="F29" s="195">
        <f>COUNTIFS('Testable nets list'!G:G,5,'Testable nets list'!F:F,3,'Testable nets list'!D:D,"T")</f>
        <v>0</v>
      </c>
      <c r="G29" s="196"/>
      <c r="H29" s="197"/>
      <c r="I29" s="195">
        <f>COUNTIFS('Testable nets list'!G:G,6,'Testable nets list'!F:F,3,'Testable nets list'!D:D,"T")</f>
        <v>0</v>
      </c>
      <c r="J29" s="196"/>
      <c r="K29" s="197"/>
      <c r="L29" s="195">
        <f>COUNTIFS('Testable nets list'!G:G,7,'Testable nets list'!F:F,3,'Testable nets list'!D:D,"T")</f>
        <v>0</v>
      </c>
      <c r="M29" s="196"/>
      <c r="N29" s="197"/>
      <c r="O29" s="195" t="s">
        <v>2143</v>
      </c>
      <c r="P29" s="196"/>
      <c r="Q29" s="197"/>
      <c r="R29" s="195">
        <f>COUNTIFS('Testable nets list'!G:G,5,'Testable nets list'!F:F,3,'Testable nets list'!D:D,"B")</f>
        <v>0</v>
      </c>
      <c r="S29" s="196"/>
      <c r="T29" s="197"/>
      <c r="U29" s="195">
        <f>COUNTIFS('Testable nets list'!G:G,6,'Testable nets list'!F:F,3,'Testable nets list'!D:D,"B")</f>
        <v>0</v>
      </c>
      <c r="V29" s="196"/>
      <c r="W29" s="197"/>
      <c r="X29" s="195">
        <f>COUNTIFS('Testable nets list'!G:G,7,'Testable nets list'!F:F,3,'Testable nets list'!D:D,"B")</f>
        <v>0</v>
      </c>
      <c r="Y29" s="196"/>
      <c r="Z29" s="197"/>
      <c r="AA29" s="195" t="s">
        <v>2142</v>
      </c>
      <c r="AB29" s="196"/>
      <c r="AC29" s="197"/>
      <c r="AD29" s="198">
        <f>SUM(F29:AC29)</f>
        <v>0</v>
      </c>
      <c r="AE29" s="199"/>
      <c r="AF29" s="200"/>
      <c r="AG29" s="235" t="e">
        <f>AD29/AD31</f>
        <v>#DIV/0!</v>
      </c>
      <c r="AH29" s="236"/>
      <c r="AI29" s="237"/>
      <c r="AJ29" s="60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</row>
    <row r="30" spans="2:47" s="59" customFormat="1" ht="15.75" customHeight="1">
      <c r="B30" s="33"/>
      <c r="C30" s="194" t="s">
        <v>2</v>
      </c>
      <c r="D30" s="194" t="s">
        <v>2</v>
      </c>
      <c r="E30" s="194"/>
      <c r="F30" s="195">
        <f>COUNTIFS('Testable nets list'!G:G,5,'Testable nets list'!F:F,4,'Testable nets list'!D:D,"T")</f>
        <v>0</v>
      </c>
      <c r="G30" s="196"/>
      <c r="H30" s="197"/>
      <c r="I30" s="195">
        <f>COUNTIFS('Testable nets list'!G:G,6,'Testable nets list'!F:F,4,'Testable nets list'!D:D,"T")</f>
        <v>0</v>
      </c>
      <c r="J30" s="196"/>
      <c r="K30" s="197"/>
      <c r="L30" s="195">
        <f>COUNTIFS('Testable nets list'!G:G,7,'Testable nets list'!F:F,4,'Testable nets list'!D:D,"T")</f>
        <v>0</v>
      </c>
      <c r="M30" s="196"/>
      <c r="N30" s="197"/>
      <c r="O30" s="195" t="s">
        <v>2144</v>
      </c>
      <c r="P30" s="196"/>
      <c r="Q30" s="197"/>
      <c r="R30" s="195">
        <f>COUNTIFS('Testable nets list'!G:G,5,'Testable nets list'!F:F,4,'Testable nets list'!D:D,"B")</f>
        <v>0</v>
      </c>
      <c r="S30" s="196"/>
      <c r="T30" s="197"/>
      <c r="U30" s="195">
        <f>COUNTIFS('Testable nets list'!G:G,6,'Testable nets list'!F:F,4,'Testable nets list'!D:D,"B")</f>
        <v>0</v>
      </c>
      <c r="V30" s="196"/>
      <c r="W30" s="197"/>
      <c r="X30" s="195">
        <f>COUNTIFS('Testable nets list'!G:G,7,'Testable nets list'!F:F,4,'Testable nets list'!D:D,"B")</f>
        <v>0</v>
      </c>
      <c r="Y30" s="196"/>
      <c r="Z30" s="197"/>
      <c r="AA30" s="195" t="s">
        <v>2145</v>
      </c>
      <c r="AB30" s="196"/>
      <c r="AC30" s="197"/>
      <c r="AD30" s="198">
        <f>SUM(F30:AC30)</f>
        <v>0</v>
      </c>
      <c r="AE30" s="199"/>
      <c r="AF30" s="200"/>
      <c r="AG30" s="235" t="e">
        <f>AD30/AD31</f>
        <v>#DIV/0!</v>
      </c>
      <c r="AH30" s="236"/>
      <c r="AI30" s="237"/>
      <c r="AJ30" s="60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</row>
    <row r="31" spans="2:47" s="59" customFormat="1" ht="15.75" customHeight="1">
      <c r="B31" s="33"/>
      <c r="C31" s="194" t="s">
        <v>15</v>
      </c>
      <c r="D31" s="194" t="s">
        <v>3</v>
      </c>
      <c r="E31" s="194"/>
      <c r="F31" s="204">
        <f>SUM(F27:H30)</f>
        <v>0</v>
      </c>
      <c r="G31" s="205"/>
      <c r="H31" s="206"/>
      <c r="I31" s="204">
        <f>SUM(I27:K30)</f>
        <v>0</v>
      </c>
      <c r="J31" s="205"/>
      <c r="K31" s="206"/>
      <c r="L31" s="204">
        <f>SUM(L27:N30)</f>
        <v>0</v>
      </c>
      <c r="M31" s="205"/>
      <c r="N31" s="206"/>
      <c r="O31" s="204">
        <f>SUM(O27:Q30)</f>
        <v>0</v>
      </c>
      <c r="P31" s="205"/>
      <c r="Q31" s="206"/>
      <c r="R31" s="204">
        <f>SUM(R27:T30)</f>
        <v>0</v>
      </c>
      <c r="S31" s="205"/>
      <c r="T31" s="206"/>
      <c r="U31" s="204">
        <f>SUM(U27:W30)</f>
        <v>0</v>
      </c>
      <c r="V31" s="205"/>
      <c r="W31" s="206"/>
      <c r="X31" s="204">
        <f>SUM(X27:Z30)</f>
        <v>0</v>
      </c>
      <c r="Y31" s="205"/>
      <c r="Z31" s="206"/>
      <c r="AA31" s="204">
        <f>SUM(AA27:AC30)</f>
        <v>0</v>
      </c>
      <c r="AB31" s="205"/>
      <c r="AC31" s="206"/>
      <c r="AD31" s="198">
        <f>SUM(F31:AC31)</f>
        <v>0</v>
      </c>
      <c r="AE31" s="199"/>
      <c r="AF31" s="200"/>
      <c r="AG31" s="235">
        <f>1</f>
        <v>1</v>
      </c>
      <c r="AH31" s="236"/>
      <c r="AI31" s="237"/>
      <c r="AJ31" s="60"/>
      <c r="AK31" s="55"/>
      <c r="AL31" s="36"/>
      <c r="AM31" s="36"/>
      <c r="AN31" s="55"/>
      <c r="AO31" s="55"/>
      <c r="AP31" s="55"/>
      <c r="AQ31" s="55"/>
      <c r="AR31" s="55"/>
      <c r="AS31" s="55"/>
      <c r="AT31" s="55"/>
      <c r="AU31" s="55"/>
    </row>
    <row r="32" spans="2:47" s="59" customFormat="1" ht="15.75" customHeight="1">
      <c r="B32" s="33"/>
      <c r="C32" s="72" t="s">
        <v>2138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4"/>
      <c r="V32" s="74"/>
      <c r="W32" s="74"/>
      <c r="X32" s="73"/>
      <c r="Y32" s="73"/>
      <c r="Z32" s="73"/>
      <c r="AA32" s="73"/>
      <c r="AB32" s="73"/>
      <c r="AC32" s="73"/>
      <c r="AD32" s="73"/>
      <c r="AE32" s="73"/>
      <c r="AF32" s="73"/>
      <c r="AG32" s="240" t="e">
        <f>(AD27+AD28)/AD31</f>
        <v>#DIV/0!</v>
      </c>
      <c r="AH32" s="240"/>
      <c r="AI32" s="240"/>
      <c r="AJ32" s="60"/>
      <c r="AK32" s="55"/>
      <c r="AL32" s="36"/>
      <c r="AM32" s="36"/>
      <c r="AN32" s="55"/>
      <c r="AO32" s="55"/>
      <c r="AP32" s="55"/>
      <c r="AQ32" s="55"/>
      <c r="AR32" s="55"/>
      <c r="AS32" s="55"/>
      <c r="AT32" s="55"/>
      <c r="AU32" s="55"/>
    </row>
    <row r="33" spans="2:47" s="59" customFormat="1" ht="15.75" customHeight="1">
      <c r="B33" s="33"/>
      <c r="C33" s="75" t="s">
        <v>2081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76"/>
      <c r="V33" s="76"/>
      <c r="W33" s="76"/>
      <c r="X33" s="61"/>
      <c r="Y33" s="61"/>
      <c r="Z33" s="61"/>
      <c r="AA33" s="61"/>
      <c r="AB33" s="61"/>
      <c r="AC33" s="61"/>
      <c r="AD33" s="61"/>
      <c r="AE33" s="61"/>
      <c r="AF33" s="61"/>
      <c r="AG33" s="239" t="e">
        <f>(F31+I31+R31+U31)/AD31</f>
        <v>#DIV/0!</v>
      </c>
      <c r="AH33" s="239"/>
      <c r="AI33" s="239"/>
      <c r="AJ33" s="60"/>
      <c r="AK33" s="55"/>
      <c r="AL33" s="36"/>
      <c r="AM33" s="36"/>
      <c r="AN33" s="55"/>
      <c r="AO33" s="55"/>
      <c r="AP33" s="55"/>
      <c r="AQ33" s="55"/>
      <c r="AR33" s="55"/>
      <c r="AS33" s="55"/>
      <c r="AT33" s="55"/>
      <c r="AU33" s="55"/>
    </row>
    <row r="34" spans="2:47" s="37" customFormat="1" ht="15.75" customHeight="1">
      <c r="B34" s="47"/>
      <c r="C34" s="77" t="s">
        <v>2082</v>
      </c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9"/>
      <c r="V34" s="79"/>
      <c r="W34" s="79"/>
      <c r="X34" s="78"/>
      <c r="Y34" s="78"/>
      <c r="Z34" s="78"/>
      <c r="AA34" s="78"/>
      <c r="AB34" s="78"/>
      <c r="AC34" s="78"/>
      <c r="AD34" s="78"/>
      <c r="AE34" s="78"/>
      <c r="AF34" s="78"/>
      <c r="AG34" s="238" t="e">
        <f>(R31+U31+X31+AA31)/AD31</f>
        <v>#DIV/0!</v>
      </c>
      <c r="AH34" s="238"/>
      <c r="AI34" s="238"/>
      <c r="AJ34" s="38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</row>
    <row r="35" spans="2:47" s="37" customFormat="1" ht="15.75" customHeight="1"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38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</row>
    <row r="36" spans="2:47" s="37" customFormat="1" ht="15.75" customHeight="1">
      <c r="B36" s="62"/>
      <c r="C36" s="51" t="s">
        <v>2090</v>
      </c>
      <c r="D36" s="51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38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</row>
    <row r="37" spans="2:47" s="37" customFormat="1" ht="15.75" customHeight="1">
      <c r="B37" s="62"/>
      <c r="C37" s="64" t="s">
        <v>2083</v>
      </c>
      <c r="D37" s="208" t="s">
        <v>19</v>
      </c>
      <c r="E37" s="208"/>
      <c r="F37" s="208"/>
      <c r="G37" s="208"/>
      <c r="H37" s="208"/>
      <c r="I37" s="208"/>
      <c r="J37" s="208" t="s">
        <v>22</v>
      </c>
      <c r="K37" s="208"/>
      <c r="L37" s="208"/>
      <c r="M37" s="208"/>
      <c r="N37" s="208" t="s">
        <v>23</v>
      </c>
      <c r="O37" s="208"/>
      <c r="P37" s="208"/>
      <c r="Q37" s="208"/>
      <c r="R37" s="208" t="s">
        <v>11</v>
      </c>
      <c r="S37" s="208"/>
      <c r="T37" s="208"/>
      <c r="U37" s="208"/>
      <c r="V37" s="207" t="s">
        <v>2097</v>
      </c>
      <c r="W37" s="207"/>
      <c r="X37" s="207"/>
      <c r="Y37" s="207"/>
      <c r="Z37" s="207" t="s">
        <v>2096</v>
      </c>
      <c r="AA37" s="207"/>
      <c r="AB37" s="207"/>
      <c r="AC37" s="207"/>
      <c r="AD37" s="63"/>
      <c r="AE37" s="63"/>
      <c r="AF37" s="63"/>
      <c r="AG37" s="63"/>
      <c r="AH37" s="63"/>
      <c r="AI37" s="63"/>
      <c r="AJ37" s="38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</row>
    <row r="38" spans="2:47" s="37" customFormat="1" ht="15.75" customHeight="1">
      <c r="B38" s="62"/>
      <c r="C38" s="209">
        <v>1</v>
      </c>
      <c r="D38" s="211" t="s">
        <v>24</v>
      </c>
      <c r="E38" s="212"/>
      <c r="F38" s="212"/>
      <c r="G38" s="212"/>
      <c r="H38" s="212"/>
      <c r="I38" s="213"/>
      <c r="J38" s="65" t="s">
        <v>20</v>
      </c>
      <c r="K38" s="202">
        <f>COUNTIFS('Testable nets list'!D:D,"T",'Testable nets list'!E:E,"24.00,24.00",'Testable nets list'!G:G,"5")</f>
        <v>0</v>
      </c>
      <c r="L38" s="202"/>
      <c r="M38" s="203"/>
      <c r="N38" s="65" t="s">
        <v>20</v>
      </c>
      <c r="O38" s="202">
        <f>COUNTIFS('Testable nets list'!D:D,"T",'Testable nets list'!E:E,"24.00,24.00",'Testable nets list'!G:G,"6")</f>
        <v>0</v>
      </c>
      <c r="P38" s="202"/>
      <c r="Q38" s="203"/>
      <c r="R38" s="65" t="s">
        <v>20</v>
      </c>
      <c r="S38" s="202">
        <f>COUNTIFS('Testable nets list'!D:D,"T",'Testable nets list'!E:E,"24.00,24.00",'Testable nets list'!G:G,"7")</f>
        <v>0</v>
      </c>
      <c r="T38" s="202"/>
      <c r="U38" s="203"/>
      <c r="V38" s="201">
        <f>K38+O38+S38</f>
        <v>0</v>
      </c>
      <c r="W38" s="202"/>
      <c r="X38" s="202"/>
      <c r="Y38" s="203"/>
      <c r="Z38" s="217">
        <f>V38/($AD$13-$AF$13)</f>
        <v>0</v>
      </c>
      <c r="AA38" s="218"/>
      <c r="AB38" s="218"/>
      <c r="AC38" s="219"/>
      <c r="AD38" s="63"/>
      <c r="AE38" s="63"/>
      <c r="AF38" s="63"/>
      <c r="AG38" s="63"/>
      <c r="AH38" s="63"/>
      <c r="AI38" s="63"/>
      <c r="AJ38" s="38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</row>
    <row r="39" spans="2:47" s="37" customFormat="1" ht="15.75" customHeight="1">
      <c r="B39" s="62"/>
      <c r="C39" s="210"/>
      <c r="D39" s="214"/>
      <c r="E39" s="215"/>
      <c r="F39" s="215"/>
      <c r="G39" s="215"/>
      <c r="H39" s="215"/>
      <c r="I39" s="216"/>
      <c r="J39" s="65" t="s">
        <v>21</v>
      </c>
      <c r="K39" s="202">
        <f>COUNTIFS('Testable nets list'!D:D,"B",'Testable nets list'!E:E,"24.00,24.00",'Testable nets list'!G:G,"5")</f>
        <v>0</v>
      </c>
      <c r="L39" s="202"/>
      <c r="M39" s="203"/>
      <c r="N39" s="65" t="s">
        <v>21</v>
      </c>
      <c r="O39" s="202">
        <f>COUNTIFS('Testable nets list'!D:D,"B",'Testable nets list'!E:E,"24.00,24.00",'Testable nets list'!G:G,"6")</f>
        <v>0</v>
      </c>
      <c r="P39" s="202"/>
      <c r="Q39" s="203"/>
      <c r="R39" s="65" t="s">
        <v>21</v>
      </c>
      <c r="S39" s="202">
        <f>COUNTIFS('Testable nets list'!D:D,"B",'Testable nets list'!E:E,"24.00,24.00",'Testable nets list'!G:G,"7")</f>
        <v>0</v>
      </c>
      <c r="T39" s="202"/>
      <c r="U39" s="203"/>
      <c r="V39" s="201">
        <f>K39+O39+S39</f>
        <v>0</v>
      </c>
      <c r="W39" s="202"/>
      <c r="X39" s="202"/>
      <c r="Y39" s="203"/>
      <c r="Z39" s="217">
        <f>V39/($AD$13-$AF$13)</f>
        <v>0</v>
      </c>
      <c r="AA39" s="218"/>
      <c r="AB39" s="218"/>
      <c r="AC39" s="219"/>
      <c r="AD39" s="63"/>
      <c r="AE39" s="63"/>
      <c r="AF39" s="63"/>
      <c r="AG39" s="63"/>
      <c r="AH39" s="63"/>
      <c r="AI39" s="63"/>
      <c r="AJ39" s="38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</row>
    <row r="40" spans="2:47" s="37" customFormat="1" ht="15.75" customHeight="1">
      <c r="B40" s="62"/>
      <c r="C40" s="209">
        <v>2</v>
      </c>
      <c r="D40" s="224" t="s">
        <v>2137</v>
      </c>
      <c r="E40" s="212"/>
      <c r="F40" s="212"/>
      <c r="G40" s="212"/>
      <c r="H40" s="212"/>
      <c r="I40" s="213"/>
      <c r="J40" s="65" t="s">
        <v>20</v>
      </c>
      <c r="K40" s="202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</f>
        <v>0</v>
      </c>
      <c r="L40" s="202"/>
      <c r="M40" s="203"/>
      <c r="N40" s="65" t="s">
        <v>20</v>
      </c>
      <c r="O40" s="202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</f>
        <v>0</v>
      </c>
      <c r="P40" s="202"/>
      <c r="Q40" s="203"/>
      <c r="R40" s="65" t="s">
        <v>20</v>
      </c>
      <c r="S40" s="202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</f>
        <v>0</v>
      </c>
      <c r="T40" s="202"/>
      <c r="U40" s="203"/>
      <c r="V40" s="201">
        <f>K40+O40+S40</f>
        <v>0</v>
      </c>
      <c r="W40" s="202"/>
      <c r="X40" s="202"/>
      <c r="Y40" s="203"/>
      <c r="Z40" s="217">
        <f>V40/($AD$13-$AF$13)</f>
        <v>0</v>
      </c>
      <c r="AA40" s="218"/>
      <c r="AB40" s="218"/>
      <c r="AC40" s="219"/>
      <c r="AD40" s="63"/>
      <c r="AE40" s="63"/>
      <c r="AF40" s="63"/>
      <c r="AG40" s="63"/>
      <c r="AH40" s="63"/>
      <c r="AI40" s="63"/>
      <c r="AJ40" s="38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</row>
    <row r="41" spans="2:47" s="37" customFormat="1" ht="15.75" customHeight="1">
      <c r="B41" s="62"/>
      <c r="C41" s="210"/>
      <c r="D41" s="214"/>
      <c r="E41" s="215"/>
      <c r="F41" s="215"/>
      <c r="G41" s="215"/>
      <c r="H41" s="215"/>
      <c r="I41" s="216"/>
      <c r="J41" s="65" t="s">
        <v>21</v>
      </c>
      <c r="K41" s="202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</f>
        <v>0</v>
      </c>
      <c r="L41" s="202"/>
      <c r="M41" s="203"/>
      <c r="N41" s="65" t="s">
        <v>21</v>
      </c>
      <c r="O41" s="202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</f>
        <v>0</v>
      </c>
      <c r="P41" s="202"/>
      <c r="Q41" s="203"/>
      <c r="R41" s="65" t="s">
        <v>21</v>
      </c>
      <c r="S41" s="202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</f>
        <v>0</v>
      </c>
      <c r="T41" s="202"/>
      <c r="U41" s="203"/>
      <c r="V41" s="201">
        <f>K41+O41+S41</f>
        <v>0</v>
      </c>
      <c r="W41" s="202"/>
      <c r="X41" s="202"/>
      <c r="Y41" s="203"/>
      <c r="Z41" s="217">
        <f>V41/($AD$13-$AF$13)</f>
        <v>0</v>
      </c>
      <c r="AA41" s="218"/>
      <c r="AB41" s="218"/>
      <c r="AC41" s="219"/>
      <c r="AD41" s="63"/>
      <c r="AE41" s="63"/>
      <c r="AF41" s="63"/>
      <c r="AG41" s="63"/>
      <c r="AH41" s="63"/>
      <c r="AI41" s="63"/>
      <c r="AJ41" s="38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</row>
    <row r="42" spans="2:47" s="37" customFormat="1" ht="15.75" customHeight="1">
      <c r="B42" s="47"/>
      <c r="C42" s="66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38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</row>
    <row r="43" spans="2:47" s="37" customFormat="1" ht="15.75" customHeight="1">
      <c r="B43" s="62"/>
      <c r="C43" s="42" t="s">
        <v>2091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38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</row>
    <row r="44" spans="2:47" s="37" customFormat="1" ht="15.75" customHeight="1">
      <c r="B44" s="62"/>
      <c r="C44" s="64" t="s">
        <v>6</v>
      </c>
      <c r="D44" s="225" t="s">
        <v>7</v>
      </c>
      <c r="E44" s="226"/>
      <c r="F44" s="226"/>
      <c r="G44" s="226"/>
      <c r="H44" s="226"/>
      <c r="I44" s="226"/>
      <c r="J44" s="226"/>
      <c r="K44" s="226"/>
      <c r="L44" s="226"/>
      <c r="M44" s="226"/>
      <c r="N44" s="226"/>
      <c r="O44" s="227"/>
      <c r="P44" s="241" t="s">
        <v>2080</v>
      </c>
      <c r="Q44" s="241"/>
      <c r="R44" s="241"/>
      <c r="S44" s="241" t="s">
        <v>2095</v>
      </c>
      <c r="T44" s="241"/>
      <c r="U44" s="241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38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</row>
    <row r="45" spans="2:47" s="37" customFormat="1" ht="15.75" customHeight="1">
      <c r="B45" s="62"/>
      <c r="C45" s="34">
        <v>1</v>
      </c>
      <c r="D45" s="228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155"/>
      <c r="Q45" s="155"/>
      <c r="R45" s="155"/>
      <c r="S45" s="155"/>
      <c r="T45" s="155"/>
      <c r="U45" s="155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38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</row>
    <row r="46" spans="2:47" s="37" customFormat="1" ht="15.75" customHeight="1">
      <c r="B46" s="62"/>
      <c r="C46" s="34">
        <v>2</v>
      </c>
      <c r="D46" s="232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4"/>
      <c r="P46" s="155"/>
      <c r="Q46" s="155"/>
      <c r="R46" s="155"/>
      <c r="S46" s="155"/>
      <c r="T46" s="155"/>
      <c r="U46" s="155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38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</row>
    <row r="47" spans="2:47" s="37" customFormat="1" ht="15.75" customHeight="1">
      <c r="B47" s="62"/>
      <c r="C47" s="34">
        <v>3</v>
      </c>
      <c r="D47" s="232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4"/>
      <c r="P47" s="155"/>
      <c r="Q47" s="155"/>
      <c r="R47" s="155"/>
      <c r="S47" s="155"/>
      <c r="T47" s="155"/>
      <c r="U47" s="155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38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</row>
    <row r="48" spans="2:47" s="37" customFormat="1" ht="15.75" customHeight="1">
      <c r="B48" s="62"/>
      <c r="C48" s="34">
        <v>4</v>
      </c>
      <c r="D48" s="232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4"/>
      <c r="P48" s="220"/>
      <c r="Q48" s="220"/>
      <c r="R48" s="220"/>
      <c r="S48" s="155"/>
      <c r="T48" s="155"/>
      <c r="U48" s="155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38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</row>
    <row r="49" spans="2:47" s="37" customFormat="1" ht="15.75" customHeight="1">
      <c r="B49" s="62"/>
      <c r="C49" s="34">
        <v>5</v>
      </c>
      <c r="D49" s="232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4"/>
      <c r="P49" s="220"/>
      <c r="Q49" s="220"/>
      <c r="R49" s="220"/>
      <c r="S49" s="155"/>
      <c r="T49" s="155"/>
      <c r="U49" s="155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38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</row>
    <row r="50" spans="2:47" s="37" customFormat="1" ht="15.75" customHeight="1">
      <c r="B50" s="62"/>
      <c r="C50" s="34">
        <v>6</v>
      </c>
      <c r="D50" s="232"/>
      <c r="E50" s="233"/>
      <c r="F50" s="233"/>
      <c r="G50" s="233"/>
      <c r="H50" s="233"/>
      <c r="I50" s="233"/>
      <c r="J50" s="233"/>
      <c r="K50" s="233"/>
      <c r="L50" s="233"/>
      <c r="M50" s="233"/>
      <c r="N50" s="233"/>
      <c r="O50" s="234"/>
      <c r="P50" s="221"/>
      <c r="Q50" s="222"/>
      <c r="R50" s="223"/>
      <c r="S50" s="247"/>
      <c r="T50" s="248"/>
      <c r="U50" s="2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38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</row>
    <row r="51" spans="2:47" s="37" customFormat="1" ht="15.75" customHeight="1">
      <c r="B51" s="62"/>
      <c r="C51" s="34">
        <v>7</v>
      </c>
      <c r="D51" s="232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4"/>
      <c r="P51" s="220"/>
      <c r="Q51" s="220"/>
      <c r="R51" s="220"/>
      <c r="S51" s="155"/>
      <c r="T51" s="155"/>
      <c r="U51" s="155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38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</row>
    <row r="52" spans="2:47" s="37" customFormat="1" ht="15.75" customHeight="1">
      <c r="B52" s="62"/>
      <c r="C52" s="34">
        <v>8</v>
      </c>
      <c r="D52" s="232"/>
      <c r="E52" s="233"/>
      <c r="F52" s="233"/>
      <c r="G52" s="233"/>
      <c r="H52" s="233"/>
      <c r="I52" s="233"/>
      <c r="J52" s="233"/>
      <c r="K52" s="233"/>
      <c r="L52" s="233"/>
      <c r="M52" s="233"/>
      <c r="N52" s="233"/>
      <c r="O52" s="234"/>
      <c r="P52" s="220"/>
      <c r="Q52" s="220"/>
      <c r="R52" s="220"/>
      <c r="S52" s="155"/>
      <c r="T52" s="155"/>
      <c r="U52" s="155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38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</row>
    <row r="53" spans="2:47" s="37" customFormat="1" ht="15.75" customHeight="1">
      <c r="B53" s="62"/>
      <c r="C53" s="34">
        <v>9</v>
      </c>
      <c r="D53" s="232"/>
      <c r="E53" s="233"/>
      <c r="F53" s="233"/>
      <c r="G53" s="233"/>
      <c r="H53" s="233"/>
      <c r="I53" s="233"/>
      <c r="J53" s="233"/>
      <c r="K53" s="233"/>
      <c r="L53" s="233"/>
      <c r="M53" s="233"/>
      <c r="N53" s="233"/>
      <c r="O53" s="234"/>
      <c r="P53" s="220"/>
      <c r="Q53" s="220"/>
      <c r="R53" s="220"/>
      <c r="S53" s="155"/>
      <c r="T53" s="155"/>
      <c r="U53" s="155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38"/>
      <c r="AK53" s="36"/>
      <c r="AL53" s="27"/>
      <c r="AM53" s="27"/>
      <c r="AN53" s="36"/>
      <c r="AO53" s="36"/>
      <c r="AP53" s="36"/>
      <c r="AQ53" s="36"/>
      <c r="AR53" s="36"/>
      <c r="AS53" s="36"/>
      <c r="AT53" s="36"/>
      <c r="AU53" s="36"/>
    </row>
    <row r="54" spans="2:47" s="37" customFormat="1" ht="15.75" customHeight="1">
      <c r="B54" s="62"/>
      <c r="C54" s="34">
        <v>10</v>
      </c>
      <c r="D54" s="244"/>
      <c r="E54" s="245"/>
      <c r="F54" s="245"/>
      <c r="G54" s="245"/>
      <c r="H54" s="245"/>
      <c r="I54" s="245"/>
      <c r="J54" s="245"/>
      <c r="K54" s="245"/>
      <c r="L54" s="245"/>
      <c r="M54" s="245"/>
      <c r="N54" s="245"/>
      <c r="O54" s="246"/>
      <c r="P54" s="220"/>
      <c r="Q54" s="220"/>
      <c r="R54" s="220"/>
      <c r="S54" s="155"/>
      <c r="T54" s="155"/>
      <c r="U54" s="155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38"/>
      <c r="AK54" s="36"/>
      <c r="AL54" s="27"/>
      <c r="AM54" s="27"/>
      <c r="AN54" s="36"/>
      <c r="AO54" s="36"/>
      <c r="AP54" s="36"/>
      <c r="AQ54" s="36"/>
      <c r="AR54" s="36"/>
      <c r="AS54" s="36"/>
      <c r="AT54" s="36"/>
      <c r="AU54" s="36"/>
    </row>
    <row r="55" spans="2:47" s="37" customFormat="1" ht="15.75" customHeight="1" thickBot="1">
      <c r="B55" s="67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9"/>
      <c r="AK55" s="36"/>
      <c r="AL55" s="23"/>
      <c r="AM55" s="23"/>
      <c r="AN55" s="36"/>
      <c r="AO55" s="36"/>
      <c r="AP55" s="36"/>
      <c r="AQ55" s="36"/>
      <c r="AR55" s="36"/>
      <c r="AS55" s="36"/>
      <c r="AT55" s="36"/>
      <c r="AU55" s="36"/>
    </row>
    <row r="56" spans="2:47" s="28" customFormat="1"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K56" s="27"/>
      <c r="AL56" s="23"/>
      <c r="AM56" s="23"/>
      <c r="AN56" s="27"/>
      <c r="AO56" s="27"/>
      <c r="AP56" s="27"/>
      <c r="AQ56" s="27"/>
      <c r="AR56" s="27"/>
      <c r="AS56" s="27"/>
      <c r="AT56" s="27"/>
      <c r="AU56" s="27"/>
    </row>
    <row r="57" spans="2:47" s="28" customFormat="1"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K57" s="27"/>
      <c r="AL57" s="23"/>
      <c r="AM57" s="23"/>
      <c r="AN57" s="27"/>
      <c r="AO57" s="27"/>
      <c r="AP57" s="27"/>
      <c r="AQ57" s="27"/>
      <c r="AR57" s="27"/>
      <c r="AS57" s="27"/>
      <c r="AT57" s="27"/>
      <c r="AU57" s="27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K37"/>
  <sheetViews>
    <sheetView showGridLines="0" workbookViewId="0">
      <pane ySplit="1" topLeftCell="A2" activePane="bottomLeft" state="frozen"/>
      <selection activeCell="B1" sqref="B1"/>
      <selection pane="bottomLeft" activeCell="B19" sqref="B19"/>
    </sheetView>
  </sheetViews>
  <sheetFormatPr defaultRowHeight="12.75"/>
  <cols>
    <col min="1" max="1" width="6.125" style="114" customWidth="1"/>
    <col min="2" max="2" width="29.625" style="115" customWidth="1"/>
    <col min="3" max="3" width="56.625" style="115" customWidth="1"/>
    <col min="4" max="4" width="10.625" style="115" bestFit="1" customWidth="1"/>
    <col min="5" max="5" width="10" style="115" bestFit="1" customWidth="1"/>
    <col min="6" max="6" width="10.125" style="115" bestFit="1" customWidth="1"/>
    <col min="7" max="7" width="9.5" style="115" bestFit="1" customWidth="1"/>
    <col min="8" max="8" width="21.125" style="115" customWidth="1"/>
    <col min="9" max="9" width="16.5" style="115" bestFit="1" customWidth="1"/>
    <col min="10" max="10" width="10.125" style="114" customWidth="1"/>
    <col min="11" max="11" width="7.625" style="114" bestFit="1" customWidth="1"/>
    <col min="12" max="16384" width="9" style="114"/>
  </cols>
  <sheetData>
    <row r="1" spans="1:11" s="122" customFormat="1" ht="50.25" customHeight="1" thickBot="1">
      <c r="A1" s="120" t="s">
        <v>2103</v>
      </c>
      <c r="B1" s="120" t="s">
        <v>2104</v>
      </c>
      <c r="C1" s="120" t="s">
        <v>2105</v>
      </c>
      <c r="D1" s="120" t="s">
        <v>2106</v>
      </c>
      <c r="E1" s="120" t="s">
        <v>2107</v>
      </c>
      <c r="F1" s="120" t="s">
        <v>2140</v>
      </c>
      <c r="G1" s="120" t="s">
        <v>2108</v>
      </c>
      <c r="H1" s="121" t="s">
        <v>2150</v>
      </c>
      <c r="I1" s="121" t="s">
        <v>2151</v>
      </c>
      <c r="J1" s="120" t="s">
        <v>2109</v>
      </c>
      <c r="K1" s="120" t="s">
        <v>2110</v>
      </c>
    </row>
    <row r="2" spans="1:11" ht="13.5" thickBot="1">
      <c r="A2" s="125">
        <v>1</v>
      </c>
      <c r="B2" s="115" t="s">
        <v>2175</v>
      </c>
      <c r="C2" s="115" t="s">
        <v>2176</v>
      </c>
      <c r="D2" s="115" t="s">
        <v>2173</v>
      </c>
      <c r="E2" s="115" t="s">
        <v>2174</v>
      </c>
      <c r="F2" s="115">
        <v>1</v>
      </c>
      <c r="H2" s="113" t="e">
        <f>VLOOKUP(B:B,'Nets not required'!B:C,2,0)</f>
        <v>#N/A</v>
      </c>
      <c r="I2" s="113" t="e">
        <f>VLOOKUP(B:B,'Nets not required'!E:F,2,0)</f>
        <v>#N/A</v>
      </c>
      <c r="J2" s="82" t="e">
        <f>VLOOKUP(B:B,'Nets not required'!H:I,2,0)</f>
        <v>#N/A</v>
      </c>
      <c r="K2" s="82" t="e">
        <f>MID(#REF!,1,4)</f>
        <v>#REF!</v>
      </c>
    </row>
    <row r="3" spans="1:11" ht="13.5" thickBot="1">
      <c r="A3" s="126">
        <v>2</v>
      </c>
      <c r="B3" s="115" t="s">
        <v>2177</v>
      </c>
      <c r="C3" s="115" t="s">
        <v>2178</v>
      </c>
      <c r="D3" s="115" t="s">
        <v>2173</v>
      </c>
      <c r="E3" s="115" t="s">
        <v>2174</v>
      </c>
      <c r="F3" s="115">
        <v>1</v>
      </c>
      <c r="H3" s="113" t="e">
        <f>VLOOKUP(B:B,'Nets not required'!B:C,2,0)</f>
        <v>#N/A</v>
      </c>
      <c r="I3" s="113" t="e">
        <f>VLOOKUP(B:B,'Nets not required'!E:F,2,0)</f>
        <v>#N/A</v>
      </c>
      <c r="J3" s="82" t="e">
        <f>VLOOKUP(B:B,'Nets not required'!H:I,2,0)</f>
        <v>#N/A</v>
      </c>
      <c r="K3" s="82" t="e">
        <f>MID(#REF!,1,4)</f>
        <v>#REF!</v>
      </c>
    </row>
    <row r="4" spans="1:11">
      <c r="B4" s="115" t="s">
        <v>2179</v>
      </c>
      <c r="C4" s="115" t="s">
        <v>2180</v>
      </c>
      <c r="D4" s="115" t="s">
        <v>2173</v>
      </c>
      <c r="E4" s="115" t="s">
        <v>2174</v>
      </c>
      <c r="F4" s="115">
        <v>1</v>
      </c>
      <c r="H4" s="113" t="e">
        <f>VLOOKUP(B:B,'Nets not required'!B:C,2,0)</f>
        <v>#N/A</v>
      </c>
      <c r="I4" s="113" t="e">
        <f>VLOOKUP(B:B,'Nets not required'!E:F,2,0)</f>
        <v>#N/A</v>
      </c>
      <c r="J4" s="82" t="e">
        <f>VLOOKUP(B:B,'Nets not required'!H:I,2,0)</f>
        <v>#N/A</v>
      </c>
      <c r="K4" s="82" t="e">
        <f>MID(#REF!,1,4)</f>
        <v>#REF!</v>
      </c>
    </row>
    <row r="5" spans="1:11">
      <c r="B5" s="115" t="s">
        <v>2181</v>
      </c>
      <c r="C5" s="115" t="s">
        <v>2182</v>
      </c>
      <c r="D5" s="115" t="s">
        <v>2173</v>
      </c>
      <c r="E5" s="115" t="s">
        <v>2174</v>
      </c>
      <c r="F5" s="115">
        <v>1</v>
      </c>
      <c r="H5" s="113" t="e">
        <f>VLOOKUP(B:B,'Nets not required'!B:C,2,0)</f>
        <v>#N/A</v>
      </c>
      <c r="I5" s="113" t="e">
        <f>VLOOKUP(B:B,'Nets not required'!E:F,2,0)</f>
        <v>#N/A</v>
      </c>
      <c r="J5" s="82" t="e">
        <f>VLOOKUP(B:B,'Nets not required'!H:I,2,0)</f>
        <v>#N/A</v>
      </c>
      <c r="K5" s="82" t="e">
        <f>MID(#REF!,1,4)</f>
        <v>#REF!</v>
      </c>
    </row>
    <row r="6" spans="1:11">
      <c r="B6" s="115" t="s">
        <v>2181</v>
      </c>
      <c r="C6" s="115" t="s">
        <v>2182</v>
      </c>
      <c r="D6" s="115" t="s">
        <v>2173</v>
      </c>
      <c r="E6" s="115" t="s">
        <v>2183</v>
      </c>
      <c r="F6" s="115">
        <v>1</v>
      </c>
      <c r="H6" s="113" t="e">
        <f>VLOOKUP(B:B,'Nets not required'!B:C,2,0)</f>
        <v>#N/A</v>
      </c>
      <c r="I6" s="113" t="e">
        <f>VLOOKUP(B:B,'Nets not required'!E:F,2,0)</f>
        <v>#N/A</v>
      </c>
      <c r="J6" s="82" t="e">
        <f>VLOOKUP(B:B,'Nets not required'!H:I,2,0)</f>
        <v>#N/A</v>
      </c>
      <c r="K6" s="82" t="e">
        <f>MID(#REF!,1,4)</f>
        <v>#REF!</v>
      </c>
    </row>
    <row r="7" spans="1:11">
      <c r="B7" s="115" t="s">
        <v>2184</v>
      </c>
      <c r="C7" s="115" t="s">
        <v>2185</v>
      </c>
      <c r="D7" s="115" t="s">
        <v>2173</v>
      </c>
      <c r="E7" s="115" t="s">
        <v>2174</v>
      </c>
      <c r="F7" s="115">
        <v>1</v>
      </c>
      <c r="H7" s="113" t="e">
        <f>VLOOKUP(B:B,'Nets not required'!B:C,2,0)</f>
        <v>#N/A</v>
      </c>
      <c r="I7" s="113" t="e">
        <f>VLOOKUP(B:B,'Nets not required'!E:F,2,0)</f>
        <v>#N/A</v>
      </c>
      <c r="J7" s="82" t="e">
        <f>VLOOKUP(B:B,'Nets not required'!H:I,2,0)</f>
        <v>#N/A</v>
      </c>
      <c r="K7" s="82" t="e">
        <f>MID(#REF!,1,4)</f>
        <v>#REF!</v>
      </c>
    </row>
    <row r="8" spans="1:11">
      <c r="B8" s="115" t="s">
        <v>2187</v>
      </c>
      <c r="C8" s="115" t="s">
        <v>2188</v>
      </c>
      <c r="D8" s="115" t="s">
        <v>2173</v>
      </c>
      <c r="E8" s="115" t="s">
        <v>2186</v>
      </c>
      <c r="F8" s="115">
        <v>1</v>
      </c>
      <c r="H8" s="113" t="e">
        <f>VLOOKUP(B:B,'Nets not required'!B:C,2,0)</f>
        <v>#N/A</v>
      </c>
      <c r="I8" s="113" t="e">
        <f>VLOOKUP(B:B,'Nets not required'!E:F,2,0)</f>
        <v>#N/A</v>
      </c>
      <c r="J8" s="82" t="e">
        <f>VLOOKUP(B:B,'Nets not required'!H:I,2,0)</f>
        <v>#N/A</v>
      </c>
      <c r="K8" s="82" t="e">
        <f>MID(#REF!,1,4)</f>
        <v>#REF!</v>
      </c>
    </row>
    <row r="9" spans="1:11">
      <c r="B9" s="115" t="s">
        <v>2189</v>
      </c>
      <c r="C9" s="115" t="s">
        <v>2190</v>
      </c>
      <c r="D9" s="115" t="s">
        <v>2173</v>
      </c>
      <c r="E9" s="115" t="s">
        <v>2186</v>
      </c>
      <c r="F9" s="115">
        <v>1</v>
      </c>
      <c r="H9" s="113" t="e">
        <f>VLOOKUP(B:B,'Nets not required'!B:C,2,0)</f>
        <v>#N/A</v>
      </c>
      <c r="I9" s="113" t="e">
        <f>VLOOKUP(B:B,'Nets not required'!E:F,2,0)</f>
        <v>#N/A</v>
      </c>
      <c r="J9" s="82" t="e">
        <f>VLOOKUP(B:B,'Nets not required'!H:I,2,0)</f>
        <v>#N/A</v>
      </c>
      <c r="K9" s="82" t="e">
        <f>MID(#REF!,1,4)</f>
        <v>#REF!</v>
      </c>
    </row>
    <row r="10" spans="1:11">
      <c r="B10" s="115" t="s">
        <v>2191</v>
      </c>
      <c r="C10" s="115" t="s">
        <v>2192</v>
      </c>
      <c r="D10" s="115" t="s">
        <v>2172</v>
      </c>
      <c r="E10" s="115" t="s">
        <v>2174</v>
      </c>
      <c r="F10" s="115">
        <v>3</v>
      </c>
      <c r="H10" s="113" t="e">
        <f>VLOOKUP(B:B,'Nets not required'!B:C,2,0)</f>
        <v>#N/A</v>
      </c>
      <c r="I10" s="113" t="e">
        <f>VLOOKUP(B:B,'Nets not required'!E:F,2,0)</f>
        <v>#N/A</v>
      </c>
      <c r="J10" s="82" t="e">
        <f>VLOOKUP(B:B,'Nets not required'!H:I,2,0)</f>
        <v>#N/A</v>
      </c>
      <c r="K10" s="82" t="e">
        <f>MID(#REF!,1,4)</f>
        <v>#REF!</v>
      </c>
    </row>
    <row r="11" spans="1:11">
      <c r="B11" s="115" t="s">
        <v>2193</v>
      </c>
      <c r="C11" s="115" t="s">
        <v>2194</v>
      </c>
      <c r="D11" s="115" t="s">
        <v>2172</v>
      </c>
      <c r="E11" s="115" t="s">
        <v>2174</v>
      </c>
      <c r="F11" s="115">
        <v>3</v>
      </c>
      <c r="H11" s="113" t="e">
        <f>VLOOKUP(B:B,'Nets not required'!B:C,2,0)</f>
        <v>#N/A</v>
      </c>
      <c r="I11" s="113" t="e">
        <f>VLOOKUP(B:B,'Nets not required'!E:F,2,0)</f>
        <v>#N/A</v>
      </c>
      <c r="J11" s="82" t="e">
        <f>VLOOKUP(B:B,'Nets not required'!H:I,2,0)</f>
        <v>#N/A</v>
      </c>
      <c r="K11" s="82" t="e">
        <f>MID(#REF!,1,4)</f>
        <v>#REF!</v>
      </c>
    </row>
    <row r="12" spans="1:11">
      <c r="B12" s="115" t="s">
        <v>2195</v>
      </c>
      <c r="C12" s="115" t="s">
        <v>2196</v>
      </c>
      <c r="D12" s="115" t="s">
        <v>2172</v>
      </c>
      <c r="E12" s="115" t="s">
        <v>2174</v>
      </c>
      <c r="F12" s="115">
        <v>3</v>
      </c>
      <c r="H12" s="113" t="e">
        <f>VLOOKUP(B:B,'Nets not required'!B:C,2,0)</f>
        <v>#N/A</v>
      </c>
      <c r="I12" s="113" t="e">
        <f>VLOOKUP(B:B,'Nets not required'!E:F,2,0)</f>
        <v>#N/A</v>
      </c>
      <c r="J12" s="82" t="e">
        <f>VLOOKUP(B:B,'Nets not required'!H:I,2,0)</f>
        <v>#N/A</v>
      </c>
      <c r="K12" s="82" t="e">
        <f>MID(#REF!,1,4)</f>
        <v>#REF!</v>
      </c>
    </row>
    <row r="13" spans="1:11">
      <c r="B13" s="115" t="s">
        <v>2197</v>
      </c>
      <c r="C13" s="115" t="s">
        <v>2198</v>
      </c>
      <c r="D13" s="115" t="s">
        <v>2172</v>
      </c>
      <c r="E13" s="115" t="s">
        <v>2174</v>
      </c>
      <c r="F13" s="115">
        <v>3</v>
      </c>
      <c r="H13" s="113" t="e">
        <f>VLOOKUP(B:B,'Nets not required'!B:C,2,0)</f>
        <v>#N/A</v>
      </c>
      <c r="I13" s="113" t="e">
        <f>VLOOKUP(B:B,'Nets not required'!E:F,2,0)</f>
        <v>#N/A</v>
      </c>
      <c r="J13" s="82" t="e">
        <f>VLOOKUP(B:B,'Nets not required'!H:I,2,0)</f>
        <v>#N/A</v>
      </c>
      <c r="K13" s="82" t="e">
        <f>MID(#REF!,1,4)</f>
        <v>#REF!</v>
      </c>
    </row>
    <row r="14" spans="1:11">
      <c r="B14" s="115" t="s">
        <v>2199</v>
      </c>
      <c r="C14" s="115" t="s">
        <v>2200</v>
      </c>
      <c r="D14" s="115" t="s">
        <v>2172</v>
      </c>
      <c r="E14" s="115" t="s">
        <v>2174</v>
      </c>
      <c r="F14" s="115">
        <v>2</v>
      </c>
      <c r="H14" s="113" t="e">
        <f>VLOOKUP(B:B,'Nets not required'!B:C,2,0)</f>
        <v>#N/A</v>
      </c>
      <c r="I14" s="113" t="e">
        <f>VLOOKUP(B:B,'Nets not required'!E:F,2,0)</f>
        <v>#N/A</v>
      </c>
      <c r="J14" s="82" t="e">
        <f>VLOOKUP(B:B,'Nets not required'!H:I,2,0)</f>
        <v>#N/A</v>
      </c>
      <c r="K14" s="82" t="e">
        <f>MID(#REF!,1,4)</f>
        <v>#REF!</v>
      </c>
    </row>
    <row r="15" spans="1:11">
      <c r="B15" s="115" t="s">
        <v>2201</v>
      </c>
      <c r="C15" s="115" t="s">
        <v>2202</v>
      </c>
      <c r="D15" s="115" t="s">
        <v>2172</v>
      </c>
      <c r="E15" s="115" t="s">
        <v>2174</v>
      </c>
      <c r="F15" s="115">
        <v>2</v>
      </c>
      <c r="H15" s="113" t="e">
        <f>VLOOKUP(B:B,'Nets not required'!B:C,2,0)</f>
        <v>#N/A</v>
      </c>
      <c r="I15" s="113" t="e">
        <f>VLOOKUP(B:B,'Nets not required'!E:F,2,0)</f>
        <v>#N/A</v>
      </c>
      <c r="J15" s="82" t="e">
        <f>VLOOKUP(B:B,'Nets not required'!H:I,2,0)</f>
        <v>#N/A</v>
      </c>
      <c r="K15" s="82" t="e">
        <f>MID(#REF!,1,4)</f>
        <v>#REF!</v>
      </c>
    </row>
    <row r="16" spans="1:11">
      <c r="B16" s="115" t="s">
        <v>2203</v>
      </c>
      <c r="C16" s="115" t="s">
        <v>2204</v>
      </c>
      <c r="D16" s="115" t="s">
        <v>2172</v>
      </c>
      <c r="E16" s="115" t="s">
        <v>2174</v>
      </c>
      <c r="F16" s="115">
        <v>1</v>
      </c>
      <c r="H16" s="113" t="e">
        <f>VLOOKUP(B:B,'Nets not required'!B:C,2,0)</f>
        <v>#N/A</v>
      </c>
      <c r="I16" s="113" t="e">
        <f>VLOOKUP(B:B,'Nets not required'!E:F,2,0)</f>
        <v>#N/A</v>
      </c>
      <c r="J16" s="82" t="e">
        <f>VLOOKUP(B:B,'Nets not required'!H:I,2,0)</f>
        <v>#N/A</v>
      </c>
      <c r="K16" s="82" t="e">
        <f>MID(#REF!,1,4)</f>
        <v>#REF!</v>
      </c>
    </row>
    <row r="17" spans="2:11">
      <c r="B17" s="115" t="s">
        <v>2205</v>
      </c>
      <c r="C17" s="115" t="s">
        <v>2206</v>
      </c>
      <c r="D17" s="115" t="s">
        <v>2172</v>
      </c>
      <c r="E17" s="115" t="s">
        <v>2174</v>
      </c>
      <c r="F17" s="115">
        <v>2</v>
      </c>
      <c r="H17" s="113" t="e">
        <f>VLOOKUP(B:B,'Nets not required'!B:C,2,0)</f>
        <v>#N/A</v>
      </c>
      <c r="I17" s="113" t="e">
        <f>VLOOKUP(B:B,'Nets not required'!E:F,2,0)</f>
        <v>#N/A</v>
      </c>
      <c r="J17" s="82" t="e">
        <f>VLOOKUP(B:B,'Nets not required'!H:I,2,0)</f>
        <v>#N/A</v>
      </c>
      <c r="K17" s="82" t="e">
        <f>MID(#REF!,1,4)</f>
        <v>#REF!</v>
      </c>
    </row>
    <row r="18" spans="2:11">
      <c r="B18" s="115" t="s">
        <v>2208</v>
      </c>
      <c r="C18" s="115" t="s">
        <v>2209</v>
      </c>
      <c r="D18" s="115" t="s">
        <v>2172</v>
      </c>
      <c r="E18" s="115" t="s">
        <v>2207</v>
      </c>
      <c r="F18" s="115">
        <v>1</v>
      </c>
      <c r="H18" s="113" t="e">
        <f>VLOOKUP(B:B,'Nets not required'!B:C,2,0)</f>
        <v>#N/A</v>
      </c>
      <c r="I18" s="113" t="e">
        <f>VLOOKUP(B:B,'Nets not required'!E:F,2,0)</f>
        <v>#N/A</v>
      </c>
      <c r="J18" s="82" t="e">
        <f>VLOOKUP(B:B,'Nets not required'!H:I,2,0)</f>
        <v>#N/A</v>
      </c>
      <c r="K18" s="82" t="e">
        <f>MID(#REF!,1,4)</f>
        <v>#REF!</v>
      </c>
    </row>
    <row r="19" spans="2:11">
      <c r="B19" s="115" t="s">
        <v>2210</v>
      </c>
      <c r="C19" s="115" t="s">
        <v>2211</v>
      </c>
      <c r="D19" s="115" t="s">
        <v>2172</v>
      </c>
      <c r="E19" s="115" t="s">
        <v>2207</v>
      </c>
      <c r="F19" s="115">
        <v>1</v>
      </c>
      <c r="H19" s="113" t="e">
        <f>VLOOKUP(B:B,'Nets not required'!B:C,2,0)</f>
        <v>#N/A</v>
      </c>
      <c r="I19" s="113" t="e">
        <f>VLOOKUP(B:B,'Nets not required'!E:F,2,0)</f>
        <v>#N/A</v>
      </c>
      <c r="J19" s="82" t="e">
        <f>VLOOKUP(B:B,'Nets not required'!H:I,2,0)</f>
        <v>#N/A</v>
      </c>
      <c r="K19" s="82" t="e">
        <f>MID(#REF!,1,4)</f>
        <v>#REF!</v>
      </c>
    </row>
    <row r="20" spans="2:11">
      <c r="B20" s="115" t="s">
        <v>2212</v>
      </c>
      <c r="C20" s="115" t="s">
        <v>2213</v>
      </c>
      <c r="D20" s="115" t="s">
        <v>2172</v>
      </c>
      <c r="E20" s="115" t="s">
        <v>2174</v>
      </c>
      <c r="F20" s="115">
        <v>3</v>
      </c>
      <c r="H20" s="113" t="e">
        <f>VLOOKUP(B:B,'Nets not required'!B:C,2,0)</f>
        <v>#N/A</v>
      </c>
      <c r="I20" s="113" t="e">
        <f>VLOOKUP(B:B,'Nets not required'!E:F,2,0)</f>
        <v>#N/A</v>
      </c>
      <c r="J20" s="82" t="e">
        <f>VLOOKUP(B:B,'Nets not required'!H:I,2,0)</f>
        <v>#N/A</v>
      </c>
      <c r="K20" s="82" t="e">
        <f>MID(#REF!,1,4)</f>
        <v>#REF!</v>
      </c>
    </row>
    <row r="21" spans="2:11">
      <c r="B21" s="115" t="s">
        <v>2177</v>
      </c>
      <c r="C21" s="115" t="s">
        <v>2178</v>
      </c>
      <c r="D21" s="115" t="s">
        <v>2172</v>
      </c>
      <c r="E21" s="115" t="s">
        <v>2207</v>
      </c>
      <c r="F21" s="115">
        <v>2</v>
      </c>
      <c r="H21" s="113" t="e">
        <f>VLOOKUP(B:B,'Nets not required'!B:C,2,0)</f>
        <v>#N/A</v>
      </c>
      <c r="I21" s="113" t="e">
        <f>VLOOKUP(B:B,'Nets not required'!E:F,2,0)</f>
        <v>#N/A</v>
      </c>
      <c r="J21" s="82" t="e">
        <f>VLOOKUP(B:B,'Nets not required'!H:I,2,0)</f>
        <v>#N/A</v>
      </c>
      <c r="K21" s="82" t="e">
        <f>MID(#REF!,1,4)</f>
        <v>#REF!</v>
      </c>
    </row>
    <row r="22" spans="2:11">
      <c r="B22" s="115" t="s">
        <v>2179</v>
      </c>
      <c r="C22" s="115" t="s">
        <v>2180</v>
      </c>
      <c r="D22" s="115" t="s">
        <v>2172</v>
      </c>
      <c r="E22" s="115" t="s">
        <v>2207</v>
      </c>
      <c r="F22" s="115">
        <v>1</v>
      </c>
      <c r="H22" s="113" t="e">
        <f>VLOOKUP(B:B,'Nets not required'!B:C,2,0)</f>
        <v>#N/A</v>
      </c>
      <c r="I22" s="113" t="e">
        <f>VLOOKUP(B:B,'Nets not required'!E:F,2,0)</f>
        <v>#N/A</v>
      </c>
      <c r="J22" s="82" t="e">
        <f>VLOOKUP(B:B,'Nets not required'!H:I,2,0)</f>
        <v>#N/A</v>
      </c>
      <c r="K22" s="82" t="e">
        <f>MID(#REF!,1,4)</f>
        <v>#REF!</v>
      </c>
    </row>
    <row r="23" spans="2:11">
      <c r="B23" s="115" t="s">
        <v>2181</v>
      </c>
      <c r="C23" s="115" t="s">
        <v>2182</v>
      </c>
      <c r="D23" s="115" t="s">
        <v>2172</v>
      </c>
      <c r="E23" s="115" t="s">
        <v>2207</v>
      </c>
      <c r="F23" s="115">
        <v>1</v>
      </c>
      <c r="H23" s="113" t="e">
        <f>VLOOKUP(B:B,'Nets not required'!B:C,2,0)</f>
        <v>#N/A</v>
      </c>
      <c r="I23" s="113" t="e">
        <f>VLOOKUP(B:B,'Nets not required'!E:F,2,0)</f>
        <v>#N/A</v>
      </c>
      <c r="J23" s="82" t="e">
        <f>VLOOKUP(B:B,'Nets not required'!H:I,2,0)</f>
        <v>#N/A</v>
      </c>
      <c r="K23" s="82" t="e">
        <f>MID(#REF!,1,4)</f>
        <v>#REF!</v>
      </c>
    </row>
    <row r="24" spans="2:11">
      <c r="B24" s="115" t="s">
        <v>2214</v>
      </c>
      <c r="C24" s="115" t="s">
        <v>2215</v>
      </c>
      <c r="D24" s="115" t="s">
        <v>2172</v>
      </c>
      <c r="E24" s="115" t="s">
        <v>2207</v>
      </c>
      <c r="F24" s="115">
        <v>2</v>
      </c>
      <c r="H24" s="113" t="e">
        <f>VLOOKUP(B:B,'Nets not required'!B:C,2,0)</f>
        <v>#N/A</v>
      </c>
      <c r="I24" s="113" t="e">
        <f>VLOOKUP(B:B,'Nets not required'!E:F,2,0)</f>
        <v>#N/A</v>
      </c>
      <c r="J24" s="82" t="e">
        <f>VLOOKUP(B:B,'Nets not required'!H:I,2,0)</f>
        <v>#N/A</v>
      </c>
      <c r="K24" s="82" t="e">
        <f>MID(#REF!,1,4)</f>
        <v>#REF!</v>
      </c>
    </row>
    <row r="25" spans="2:11">
      <c r="B25" s="115" t="s">
        <v>2216</v>
      </c>
      <c r="C25" s="115" t="s">
        <v>2217</v>
      </c>
      <c r="D25" s="115" t="s">
        <v>2172</v>
      </c>
      <c r="E25" s="115" t="s">
        <v>2174</v>
      </c>
      <c r="F25" s="115">
        <v>2</v>
      </c>
      <c r="H25" s="113" t="e">
        <f>VLOOKUP(B:B,'Nets not required'!B:C,2,0)</f>
        <v>#N/A</v>
      </c>
      <c r="I25" s="113" t="e">
        <f>VLOOKUP(B:B,'Nets not required'!E:F,2,0)</f>
        <v>#N/A</v>
      </c>
      <c r="J25" s="82" t="e">
        <f>VLOOKUP(B:B,'Nets not required'!H:I,2,0)</f>
        <v>#N/A</v>
      </c>
      <c r="K25" s="82" t="e">
        <f>MID(#REF!,1,4)</f>
        <v>#REF!</v>
      </c>
    </row>
    <row r="26" spans="2:11" ht="16.5">
      <c r="B26" s="115" t="s">
        <v>2218</v>
      </c>
      <c r="C26" s="115" t="s">
        <v>2219</v>
      </c>
      <c r="D26" s="115" t="s">
        <v>2172</v>
      </c>
      <c r="E26" s="115" t="s">
        <v>2174</v>
      </c>
      <c r="F26" s="115">
        <v>1</v>
      </c>
      <c r="H26" s="113" t="e">
        <f>VLOOKUP(B:B,'Nets not required'!B:C,2,0)</f>
        <v>#N/A</v>
      </c>
      <c r="I26" s="113" t="e">
        <f>VLOOKUP(B:B,'Nets not required'!E:F,2,0)</f>
        <v>#N/A</v>
      </c>
      <c r="J26" s="82" t="e">
        <f>VLOOKUP(B:B,'Nets not required'!H:I,2,0)</f>
        <v>#N/A</v>
      </c>
      <c r="K26"/>
    </row>
    <row r="27" spans="2:11" ht="16.5">
      <c r="B27" s="115" t="s">
        <v>2220</v>
      </c>
      <c r="C27" s="115" t="s">
        <v>2221</v>
      </c>
      <c r="D27" s="115" t="s">
        <v>2172</v>
      </c>
      <c r="E27" s="115" t="s">
        <v>2174</v>
      </c>
      <c r="F27" s="115">
        <v>1</v>
      </c>
      <c r="H27" s="113" t="e">
        <f>VLOOKUP(B:B,'Nets not required'!B:C,2,0)</f>
        <v>#N/A</v>
      </c>
      <c r="I27" s="113" t="e">
        <f>VLOOKUP(B:B,'Nets not required'!E:F,2,0)</f>
        <v>#N/A</v>
      </c>
      <c r="J27" s="82" t="e">
        <f>VLOOKUP(B:B,'Nets not required'!H:I,2,0)</f>
        <v>#N/A</v>
      </c>
      <c r="K27"/>
    </row>
    <row r="28" spans="2:11" ht="16.5">
      <c r="B28" s="115" t="s">
        <v>2222</v>
      </c>
      <c r="C28" s="115" t="s">
        <v>2223</v>
      </c>
      <c r="D28" s="115" t="s">
        <v>2172</v>
      </c>
      <c r="E28" s="115" t="s">
        <v>2207</v>
      </c>
      <c r="F28" s="115">
        <v>1</v>
      </c>
      <c r="H28" s="113" t="e">
        <f>VLOOKUP(B:B,'Nets not required'!B:C,2,0)</f>
        <v>#N/A</v>
      </c>
      <c r="I28" s="113" t="e">
        <f>VLOOKUP(B:B,'Nets not required'!E:F,2,0)</f>
        <v>#N/A</v>
      </c>
      <c r="J28" s="82" t="e">
        <f>VLOOKUP(B:B,'Nets not required'!H:I,2,0)</f>
        <v>#N/A</v>
      </c>
      <c r="K28"/>
    </row>
    <row r="29" spans="2:11" ht="16.5">
      <c r="B29" s="115" t="s">
        <v>2224</v>
      </c>
      <c r="C29" s="115" t="s">
        <v>2225</v>
      </c>
      <c r="D29" s="115" t="s">
        <v>2172</v>
      </c>
      <c r="E29" s="115" t="s">
        <v>2186</v>
      </c>
      <c r="F29" s="115">
        <v>1</v>
      </c>
      <c r="H29" s="113" t="e">
        <f>VLOOKUP(B:B,'Nets not required'!B:C,2,0)</f>
        <v>#N/A</v>
      </c>
      <c r="I29" s="113" t="e">
        <f>VLOOKUP(B:B,'Nets not required'!E:F,2,0)</f>
        <v>#N/A</v>
      </c>
      <c r="J29" s="82" t="e">
        <f>VLOOKUP(B:B,'Nets not required'!H:I,2,0)</f>
        <v>#N/A</v>
      </c>
      <c r="K29"/>
    </row>
    <row r="30" spans="2:11" ht="16.5">
      <c r="B30" s="115" t="s">
        <v>2226</v>
      </c>
      <c r="C30" s="115" t="s">
        <v>2227</v>
      </c>
      <c r="D30" s="115" t="s">
        <v>2172</v>
      </c>
      <c r="E30" s="115" t="s">
        <v>2186</v>
      </c>
      <c r="F30" s="115">
        <v>1</v>
      </c>
      <c r="H30" s="113" t="e">
        <f>VLOOKUP(B:B,'Nets not required'!B:C,2,0)</f>
        <v>#N/A</v>
      </c>
      <c r="I30" s="113" t="e">
        <f>VLOOKUP(B:B,'Nets not required'!E:F,2,0)</f>
        <v>#N/A</v>
      </c>
      <c r="J30" s="82" t="e">
        <f>VLOOKUP(B:B,'Nets not required'!H:I,2,0)</f>
        <v>#N/A</v>
      </c>
      <c r="K30"/>
    </row>
    <row r="31" spans="2:11" ht="16.5">
      <c r="B31" s="115" t="s">
        <v>2228</v>
      </c>
      <c r="C31" s="115" t="s">
        <v>2229</v>
      </c>
      <c r="D31" s="115" t="s">
        <v>2172</v>
      </c>
      <c r="E31" s="115" t="s">
        <v>2186</v>
      </c>
      <c r="F31" s="115">
        <v>1</v>
      </c>
      <c r="H31" s="113" t="e">
        <f>VLOOKUP(B:B,'Nets not required'!B:C,2,0)</f>
        <v>#N/A</v>
      </c>
      <c r="I31" s="113" t="e">
        <f>VLOOKUP(B:B,'Nets not required'!E:F,2,0)</f>
        <v>#N/A</v>
      </c>
      <c r="J31" s="82" t="e">
        <f>VLOOKUP(B:B,'Nets not required'!H:I,2,0)</f>
        <v>#N/A</v>
      </c>
      <c r="K31"/>
    </row>
    <row r="32" spans="2:11" ht="16.5">
      <c r="H32" s="113" t="e">
        <f>VLOOKUP(B:B,'Nets not required'!B:C,2,0)</f>
        <v>#N/A</v>
      </c>
      <c r="I32" s="113" t="e">
        <f>VLOOKUP(B:B,'Nets not required'!E:F,2,0)</f>
        <v>#N/A</v>
      </c>
      <c r="J32" s="82" t="e">
        <f>VLOOKUP(B:B,'Nets not required'!H:I,2,0)</f>
        <v>#N/A</v>
      </c>
      <c r="K32"/>
    </row>
    <row r="33" spans="8:11" ht="16.5">
      <c r="H33" s="113" t="e">
        <f>VLOOKUP(B:B,'Nets not required'!B:C,2,0)</f>
        <v>#N/A</v>
      </c>
      <c r="I33" s="113" t="e">
        <f>VLOOKUP(B:B,'Nets not required'!E:F,2,0)</f>
        <v>#N/A</v>
      </c>
      <c r="J33" s="82" t="e">
        <f>VLOOKUP(B:B,'Nets not required'!H:I,2,0)</f>
        <v>#N/A</v>
      </c>
      <c r="K33"/>
    </row>
    <row r="34" spans="8:11" ht="16.5">
      <c r="H34" s="113" t="e">
        <f>VLOOKUP(B:B,'Nets not required'!B:C,2,0)</f>
        <v>#N/A</v>
      </c>
      <c r="I34" s="113" t="e">
        <f>VLOOKUP(B:B,'Nets not required'!E:F,2,0)</f>
        <v>#N/A</v>
      </c>
      <c r="J34" s="82" t="e">
        <f>VLOOKUP(B:B,'Nets not required'!H:I,2,0)</f>
        <v>#N/A</v>
      </c>
      <c r="K34"/>
    </row>
    <row r="35" spans="8:11">
      <c r="H35" s="113" t="e">
        <f>VLOOKUP(B:B,'Nets not required'!B:C,2,0)</f>
        <v>#N/A</v>
      </c>
      <c r="I35" s="113" t="e">
        <f>VLOOKUP(B:B,'Nets not required'!E:F,2,0)</f>
        <v>#N/A</v>
      </c>
      <c r="J35" s="82" t="e">
        <f>VLOOKUP(B:B,'Nets not required'!H:I,2,0)</f>
        <v>#N/A</v>
      </c>
    </row>
    <row r="36" spans="8:11">
      <c r="H36" s="113" t="e">
        <f>VLOOKUP(B:B,'Nets not required'!B:C,2,0)</f>
        <v>#N/A</v>
      </c>
      <c r="I36" s="113" t="e">
        <f>VLOOKUP(B:B,'Nets not required'!E:F,2,0)</f>
        <v>#N/A</v>
      </c>
      <c r="J36" s="82" t="e">
        <f>VLOOKUP(B:B,'Nets not required'!H:I,2,0)</f>
        <v>#N/A</v>
      </c>
    </row>
    <row r="37" spans="8:11">
      <c r="H37" s="113" t="e">
        <f>VLOOKUP(B:B,'Nets not required'!B:C,2,0)</f>
        <v>#N/A</v>
      </c>
      <c r="I37" s="113" t="e">
        <f>VLOOKUP(B:B,'Nets not required'!E:F,2,0)</f>
        <v>#N/A</v>
      </c>
      <c r="J37" s="82" t="e">
        <f>VLOOKUP(B:B,'Nets not required'!H:I,2,0)</f>
        <v>#N/A</v>
      </c>
    </row>
  </sheetData>
  <sheetProtection sort="0" autoFilter="0" pivotTables="0"/>
  <autoFilter ref="A1:K25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24864C2E-01AE-4E58-8E18-376C46F9A8DD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topLeftCell="D1" workbookViewId="0">
      <pane ySplit="1" topLeftCell="A2" activePane="bottomLeft" state="frozen"/>
      <selection pane="bottomLeft" activeCell="E5" sqref="E5"/>
    </sheetView>
  </sheetViews>
  <sheetFormatPr defaultRowHeight="12.75"/>
  <cols>
    <col min="1" max="1" width="6.5" style="100" bestFit="1" customWidth="1"/>
    <col min="2" max="2" width="24.375" style="96" customWidth="1"/>
    <col min="3" max="3" width="12.5" style="96" customWidth="1"/>
    <col min="4" max="4" width="4.125" style="100" customWidth="1"/>
    <col min="5" max="5" width="36.625" style="100" customWidth="1"/>
    <col min="6" max="6" width="7.625" style="96" customWidth="1"/>
    <col min="7" max="7" width="5" style="100" bestFit="1" customWidth="1"/>
    <col min="8" max="8" width="34" style="101" customWidth="1"/>
    <col min="9" max="9" width="7" style="97" customWidth="1"/>
    <col min="10" max="10" width="5" style="100" customWidth="1"/>
    <col min="11" max="11" width="22.75" style="101" bestFit="1" customWidth="1"/>
    <col min="12" max="12" width="9" style="97"/>
    <col min="13" max="16384" width="9" style="99"/>
  </cols>
  <sheetData>
    <row r="1" spans="1:12" ht="25.5">
      <c r="A1" s="133" t="s">
        <v>2103</v>
      </c>
      <c r="B1" s="134" t="s">
        <v>2152</v>
      </c>
      <c r="C1" s="95"/>
      <c r="D1" s="93" t="s">
        <v>2103</v>
      </c>
      <c r="E1" s="116" t="s">
        <v>2167</v>
      </c>
      <c r="G1" s="93" t="s">
        <v>2103</v>
      </c>
      <c r="H1" s="94" t="s">
        <v>2168</v>
      </c>
      <c r="J1" s="93" t="s">
        <v>6</v>
      </c>
      <c r="K1" s="98" t="s">
        <v>2153</v>
      </c>
    </row>
    <row r="2" spans="1:12" ht="16.5">
      <c r="A2" s="132">
        <v>1</v>
      </c>
      <c r="B2" s="130"/>
      <c r="C2" s="131"/>
      <c r="D2" s="83">
        <v>1</v>
      </c>
      <c r="E2" s="83"/>
      <c r="F2" s="95"/>
      <c r="G2" s="82">
        <v>1</v>
      </c>
      <c r="H2" s="100"/>
      <c r="I2"/>
      <c r="J2" s="82">
        <v>1</v>
      </c>
      <c r="K2" s="83"/>
      <c r="L2" s="95"/>
    </row>
    <row r="3" spans="1:12" ht="16.5">
      <c r="A3" s="132">
        <v>2</v>
      </c>
      <c r="B3" s="130"/>
      <c r="C3" s="131"/>
      <c r="D3" s="83">
        <v>2</v>
      </c>
      <c r="E3" s="83"/>
      <c r="F3" s="95"/>
      <c r="G3" s="82">
        <v>2</v>
      </c>
      <c r="H3" s="100"/>
      <c r="I3"/>
      <c r="J3" s="82">
        <v>2</v>
      </c>
      <c r="K3" s="123"/>
      <c r="L3" s="95"/>
    </row>
    <row r="4" spans="1:12">
      <c r="J4" s="82">
        <v>3</v>
      </c>
      <c r="L4" s="95"/>
    </row>
    <row r="5" spans="1:12">
      <c r="J5" s="82">
        <v>4</v>
      </c>
      <c r="L5" s="95"/>
    </row>
    <row r="6" spans="1:12">
      <c r="J6" s="82">
        <v>5</v>
      </c>
      <c r="L6" s="95"/>
    </row>
    <row r="7" spans="1:12">
      <c r="J7" s="82">
        <v>6</v>
      </c>
      <c r="L7" s="95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M804"/>
  <sheetViews>
    <sheetView showGridLines="0" tabSelected="1" zoomScaleNormal="100" workbookViewId="0">
      <pane ySplit="1" topLeftCell="A2" activePane="bottomLeft" state="frozen"/>
      <selection pane="bottomLeft" activeCell="C19" sqref="C19"/>
    </sheetView>
  </sheetViews>
  <sheetFormatPr defaultRowHeight="12"/>
  <cols>
    <col min="1" max="1" width="4.625" style="88" customWidth="1"/>
    <col min="2" max="2" width="5" style="89" bestFit="1" customWidth="1"/>
    <col min="3" max="3" width="30.5" style="90" customWidth="1"/>
    <col min="4" max="4" width="24.75" style="88" customWidth="1"/>
    <col min="5" max="5" width="24.875" style="91" bestFit="1" customWidth="1"/>
    <col min="6" max="6" width="16.375" style="92" bestFit="1" customWidth="1"/>
    <col min="7" max="7" width="16.75" style="88" customWidth="1"/>
    <col min="8" max="16384" width="9" style="88"/>
  </cols>
  <sheetData>
    <row r="1" spans="2:13" s="81" customFormat="1" ht="31.5" customHeight="1" thickBot="1">
      <c r="B1" s="93" t="s">
        <v>2112</v>
      </c>
      <c r="C1" s="112" t="s">
        <v>7</v>
      </c>
      <c r="D1" s="80" t="s">
        <v>8</v>
      </c>
      <c r="E1" s="116" t="s">
        <v>2152</v>
      </c>
      <c r="F1" s="116" t="s">
        <v>2155</v>
      </c>
      <c r="G1" s="80" t="s">
        <v>2156</v>
      </c>
      <c r="H1" s="93" t="s">
        <v>2111</v>
      </c>
    </row>
    <row r="2" spans="2:13" ht="12.75" thickBot="1">
      <c r="B2" s="82">
        <v>1</v>
      </c>
      <c r="C2" s="127" t="s">
        <v>2171</v>
      </c>
      <c r="D2" s="127" t="s">
        <v>21</v>
      </c>
      <c r="E2" s="85" t="e">
        <f>VLOOKUP(C:C,'Nets not required'!B:C,2,0)</f>
        <v>#N/A</v>
      </c>
      <c r="F2" s="85" t="e">
        <f>VLOOKUP(C:C,'Nets not required'!E:F,2,0)</f>
        <v>#N/A</v>
      </c>
      <c r="G2" s="86" t="e">
        <f>VLOOKUP(C:C,'Nets not required'!H:I,2,0)</f>
        <v>#N/A</v>
      </c>
      <c r="H2" s="84"/>
      <c r="I2" s="87"/>
      <c r="J2" s="87"/>
      <c r="K2" s="87"/>
      <c r="L2" s="87"/>
      <c r="M2" s="87"/>
    </row>
    <row r="3" spans="2:13" ht="12.75" thickBot="1">
      <c r="B3" s="82">
        <v>2</v>
      </c>
      <c r="C3" s="136" t="s">
        <v>2171</v>
      </c>
      <c r="D3" s="127" t="s">
        <v>21</v>
      </c>
      <c r="E3" s="85" t="e">
        <f>VLOOKUP(C:C,'Nets not required'!B:C,2,0)</f>
        <v>#N/A</v>
      </c>
      <c r="F3" s="85" t="e">
        <f>VLOOKUP(C:C,'Nets not required'!E:F,2,0)</f>
        <v>#N/A</v>
      </c>
      <c r="G3" s="86" t="e">
        <f>VLOOKUP(C:C,'Nets not required'!H:I,2,0)</f>
        <v>#N/A</v>
      </c>
      <c r="H3" s="84"/>
    </row>
    <row r="4" spans="2:13" ht="12.75" thickBot="1">
      <c r="C4" s="127" t="s">
        <v>2171</v>
      </c>
      <c r="D4" s="127" t="s">
        <v>21</v>
      </c>
    </row>
    <row r="5" spans="2:13" ht="12.75" thickBot="1">
      <c r="C5" s="136" t="s">
        <v>2171</v>
      </c>
      <c r="D5" s="127" t="s">
        <v>21</v>
      </c>
    </row>
    <row r="6" spans="2:13" ht="12.75" thickBot="1">
      <c r="C6" s="127" t="s">
        <v>2171</v>
      </c>
      <c r="D6" s="127" t="s">
        <v>21</v>
      </c>
    </row>
    <row r="7" spans="2:13" ht="12.75" thickBot="1">
      <c r="C7" s="136" t="s">
        <v>2171</v>
      </c>
      <c r="D7" s="127" t="s">
        <v>21</v>
      </c>
    </row>
    <row r="8" spans="2:13" ht="12.75" thickBot="1">
      <c r="C8" s="127" t="s">
        <v>2171</v>
      </c>
      <c r="D8" s="127" t="s">
        <v>21</v>
      </c>
    </row>
    <row r="9" spans="2:13" ht="12.75" thickBot="1">
      <c r="C9" s="136" t="s">
        <v>2171</v>
      </c>
      <c r="D9" s="127" t="s">
        <v>21</v>
      </c>
    </row>
    <row r="10" spans="2:13" ht="12.75" thickBot="1">
      <c r="C10" s="127" t="s">
        <v>2171</v>
      </c>
      <c r="D10" s="127" t="s">
        <v>21</v>
      </c>
    </row>
    <row r="11" spans="2:13" ht="12.75" thickBot="1">
      <c r="C11" s="136" t="s">
        <v>2171</v>
      </c>
      <c r="D11" s="127" t="s">
        <v>21</v>
      </c>
    </row>
    <row r="12" spans="2:13" ht="17.25" thickBot="1">
      <c r="C12"/>
      <c r="D12" s="127" t="s">
        <v>21</v>
      </c>
    </row>
    <row r="13" spans="2:13" ht="17.25" thickBot="1">
      <c r="C13"/>
      <c r="D13" s="127" t="s">
        <v>21</v>
      </c>
    </row>
    <row r="14" spans="2:13" ht="16.5">
      <c r="C14"/>
      <c r="D14" s="127" t="s">
        <v>21</v>
      </c>
    </row>
    <row r="15" spans="2:13" ht="16.5">
      <c r="C15"/>
    </row>
    <row r="16" spans="2:13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M3968" xr:uid="{00000000-0009-0000-0000-000005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workbookViewId="0">
      <pane ySplit="2" topLeftCell="A3" activePane="bottomLeft" state="frozen"/>
      <selection pane="bottomLeft" activeCell="H7" sqref="H7"/>
    </sheetView>
  </sheetViews>
  <sheetFormatPr defaultRowHeight="12.75"/>
  <cols>
    <col min="1" max="1" width="4.625" style="102" customWidth="1"/>
    <col min="2" max="2" width="4.125" style="104" bestFit="1" customWidth="1"/>
    <col min="3" max="3" width="25.25" style="102" customWidth="1"/>
    <col min="4" max="4" width="33.25" style="102" customWidth="1"/>
    <col min="5" max="5" width="20.75" style="97" customWidth="1"/>
    <col min="6" max="6" width="16.375" style="97" bestFit="1" customWidth="1"/>
    <col min="7" max="7" width="6.5" style="88" bestFit="1" customWidth="1"/>
    <col min="8" max="8" width="37.5" style="103" customWidth="1"/>
    <col min="9" max="9" width="9" style="104"/>
    <col min="10" max="16384" width="9" style="102"/>
  </cols>
  <sheetData>
    <row r="1" spans="2:9" ht="29.25" customHeight="1">
      <c r="B1" s="117" t="s">
        <v>2157</v>
      </c>
    </row>
    <row r="2" spans="2:9" s="108" customFormat="1" ht="25.5" customHeight="1" thickBot="1">
      <c r="B2" s="105" t="s">
        <v>6</v>
      </c>
      <c r="C2" s="105" t="s">
        <v>7</v>
      </c>
      <c r="D2" s="105" t="s">
        <v>8</v>
      </c>
      <c r="E2" s="116" t="s">
        <v>2152</v>
      </c>
      <c r="F2" s="116" t="s">
        <v>2155</v>
      </c>
      <c r="G2" s="106" t="s">
        <v>2109</v>
      </c>
      <c r="H2" s="107" t="s">
        <v>2110</v>
      </c>
      <c r="I2" s="107" t="s">
        <v>2139</v>
      </c>
    </row>
    <row r="3" spans="2:9" ht="13.5" thickBot="1">
      <c r="B3" s="83">
        <v>1</v>
      </c>
      <c r="C3" s="137"/>
      <c r="D3" s="137"/>
      <c r="E3" s="109" t="e">
        <f>VLOOKUP($C$3:$C$93,'Nets not required'!$B$2:$C$3,2,0)</f>
        <v>#N/A</v>
      </c>
      <c r="F3" s="109" t="e">
        <f>VLOOKUP($C$3:$C$93,'Nets not required'!$E$2:$F$3,2,0)</f>
        <v>#N/A</v>
      </c>
      <c r="G3" s="110" t="e">
        <f>VLOOKUP($C$3:$C$93,'Nets not required'!#REF!,2,0)</f>
        <v>#REF!</v>
      </c>
      <c r="H3" s="138"/>
      <c r="I3" s="111"/>
    </row>
    <row r="4" spans="2:9" ht="13.5" thickBot="1">
      <c r="B4" s="83">
        <v>2</v>
      </c>
      <c r="C4" s="137"/>
      <c r="D4" s="137"/>
      <c r="E4" s="109" t="e">
        <f>VLOOKUP($C$3:$C$93,'Nets not required'!$B$2:$C$3,2,0)</f>
        <v>#N/A</v>
      </c>
      <c r="F4" s="109" t="e">
        <f>VLOOKUP($C$3:$C$93,'Nets not required'!$E$2:$F$3,2,0)</f>
        <v>#N/A</v>
      </c>
      <c r="G4" s="110" t="e">
        <f>VLOOKUP($C$3:$C$93,'Nets not required'!#REF!,2,0)</f>
        <v>#REF!</v>
      </c>
      <c r="H4" s="138"/>
      <c r="I4" s="111"/>
    </row>
    <row r="5" spans="2:9" ht="13.5" thickBot="1">
      <c r="B5" s="83">
        <v>3</v>
      </c>
      <c r="C5" s="126"/>
      <c r="D5" s="126"/>
      <c r="E5" s="109" t="e">
        <f>VLOOKUP($C$3:$C$93,'Nets not required'!$B$2:$C$3,2,0)</f>
        <v>#N/A</v>
      </c>
      <c r="F5" s="135" t="e">
        <f>VLOOKUP($C$3:$C$93,'Nets not required'!$E$2:$F$3,2,0)</f>
        <v>#N/A</v>
      </c>
      <c r="G5" s="110" t="e">
        <f>VLOOKUP($C$3:$C$93,'Nets not required'!#REF!,2,0)</f>
        <v>#REF!</v>
      </c>
      <c r="H5" s="118"/>
      <c r="I5" s="111"/>
    </row>
    <row r="6" spans="2:9" ht="13.5" thickBot="1">
      <c r="B6" s="83">
        <v>4</v>
      </c>
      <c r="C6" s="126"/>
      <c r="D6" s="126"/>
      <c r="E6" s="109" t="e">
        <f>VLOOKUP($C$3:$C$93,'Nets not required'!$B$2:$C$3,2,0)</f>
        <v>#N/A</v>
      </c>
      <c r="F6" s="109" t="e">
        <f>VLOOKUP($C$3:$C$93,'Nets not required'!$E$2:$F$3,2,0)</f>
        <v>#N/A</v>
      </c>
      <c r="G6" s="110" t="e">
        <f>VLOOKUP($C$3:$C$93,'Nets not required'!#REF!,2,0)</f>
        <v>#REF!</v>
      </c>
      <c r="H6" s="118"/>
      <c r="I6" s="111"/>
    </row>
    <row r="7" spans="2:9">
      <c r="B7" s="83">
        <v>5</v>
      </c>
      <c r="C7" s="83"/>
      <c r="D7" s="83"/>
      <c r="E7" s="109" t="e">
        <f>VLOOKUP($C$3:$C$93,'Nets not required'!$B$2:$C$3,2,0)</f>
        <v>#N/A</v>
      </c>
      <c r="F7" s="109" t="e">
        <f>VLOOKUP($C$3:$C$93,'Nets not required'!$E$2:$F$3,2,0)</f>
        <v>#N/A</v>
      </c>
      <c r="G7" s="110" t="e">
        <f>VLOOKUP($C$3:$C$93,'Nets not required'!#REF!,2,0)</f>
        <v>#REF!</v>
      </c>
      <c r="H7" s="118"/>
      <c r="I7" s="111"/>
    </row>
    <row r="8" spans="2:9">
      <c r="B8" s="83">
        <v>6</v>
      </c>
      <c r="C8" s="83"/>
      <c r="D8" s="83"/>
      <c r="E8" s="109" t="e">
        <f>VLOOKUP($C$3:$C$93,'Nets not required'!$B$2:$C$3,2,0)</f>
        <v>#N/A</v>
      </c>
      <c r="F8" s="109" t="e">
        <f>VLOOKUP($C$3:$C$93,'Nets not required'!$E$2:$F$3,2,0)</f>
        <v>#N/A</v>
      </c>
      <c r="G8" s="110" t="e">
        <f>VLOOKUP($C$3:$C$93,'Nets not required'!#REF!,2,0)</f>
        <v>#REF!</v>
      </c>
      <c r="H8" s="118"/>
      <c r="I8" s="111"/>
    </row>
    <row r="9" spans="2:9">
      <c r="B9" s="83">
        <v>7</v>
      </c>
      <c r="C9" s="83"/>
      <c r="D9" s="124"/>
      <c r="E9" s="109" t="e">
        <f>VLOOKUP($C$3:$C$93,'Nets not required'!$B$2:$C$3,2,0)</f>
        <v>#N/A</v>
      </c>
      <c r="F9" s="109" t="e">
        <f>VLOOKUP($C$3:$C$93,'Nets not required'!$E$2:$F$3,2,0)</f>
        <v>#N/A</v>
      </c>
      <c r="G9" s="110" t="e">
        <f>VLOOKUP($C$3:$C$93,'Nets not required'!#REF!,2,0)</f>
        <v>#REF!</v>
      </c>
      <c r="H9" s="118"/>
      <c r="I9" s="111"/>
    </row>
    <row r="10" spans="2:9">
      <c r="B10" s="83">
        <v>8</v>
      </c>
      <c r="C10" s="83"/>
      <c r="D10" s="83"/>
      <c r="E10" s="109" t="e">
        <f>VLOOKUP($C$3:$C$93,'Nets not required'!$B$2:$C$3,2,0)</f>
        <v>#N/A</v>
      </c>
      <c r="F10" s="109" t="e">
        <f>VLOOKUP($C$3:$C$93,'Nets not required'!$E$2:$F$3,2,0)</f>
        <v>#N/A</v>
      </c>
      <c r="G10" s="110" t="e">
        <f>VLOOKUP($C$3:$C$93,'Nets not required'!#REF!,2,0)</f>
        <v>#REF!</v>
      </c>
      <c r="H10" s="118"/>
      <c r="I10" s="111"/>
    </row>
    <row r="11" spans="2:9">
      <c r="B11" s="83">
        <v>9</v>
      </c>
      <c r="C11" s="83"/>
      <c r="D11" s="83"/>
      <c r="E11" s="109" t="e">
        <f>VLOOKUP($C$3:$C$93,'Nets not required'!$B$2:$C$3,2,0)</f>
        <v>#N/A</v>
      </c>
      <c r="F11" s="109" t="e">
        <f>VLOOKUP($C$3:$C$93,'Nets not required'!$E$2:$F$3,2,0)</f>
        <v>#N/A</v>
      </c>
      <c r="G11" s="110" t="e">
        <f>VLOOKUP($C$3:$C$93,'Nets not required'!#REF!,2,0)</f>
        <v>#REF!</v>
      </c>
      <c r="H11" s="118"/>
      <c r="I11" s="111"/>
    </row>
    <row r="12" spans="2:9">
      <c r="B12" s="83">
        <v>10</v>
      </c>
      <c r="C12" s="83"/>
      <c r="D12" s="83"/>
      <c r="E12" s="109" t="e">
        <f>VLOOKUP($C$3:$C$93,'Nets not required'!$B$2:$C$3,2,0)</f>
        <v>#N/A</v>
      </c>
      <c r="F12" s="109" t="e">
        <f>VLOOKUP($C$3:$C$93,'Nets not required'!$E$2:$F$3,2,0)</f>
        <v>#N/A</v>
      </c>
      <c r="G12" s="110" t="e">
        <f>VLOOKUP($C$3:$C$93,'Nets not required'!#REF!,2,0)</f>
        <v>#REF!</v>
      </c>
      <c r="H12" s="118"/>
      <c r="I12" s="111"/>
    </row>
    <row r="13" spans="2:9">
      <c r="B13" s="83">
        <v>11</v>
      </c>
      <c r="C13" s="83"/>
      <c r="D13" s="83"/>
      <c r="E13" s="109" t="e">
        <f>VLOOKUP($C$3:$C$93,'Nets not required'!$B$2:$C$3,2,0)</f>
        <v>#N/A</v>
      </c>
      <c r="F13" s="109" t="e">
        <f>VLOOKUP($C$3:$C$93,'Nets not required'!$E$2:$F$3,2,0)</f>
        <v>#N/A</v>
      </c>
      <c r="G13" s="110" t="e">
        <f>VLOOKUP($C$3:$C$93,'Nets not required'!#REF!,2,0)</f>
        <v>#REF!</v>
      </c>
      <c r="H13" s="118"/>
      <c r="I13" s="111"/>
    </row>
    <row r="14" spans="2:9">
      <c r="B14" s="83">
        <v>12</v>
      </c>
      <c r="C14" s="83"/>
      <c r="D14" s="83"/>
      <c r="E14" s="109" t="e">
        <f>VLOOKUP($C$3:$C$93,'Nets not required'!$B$2:$C$3,2,0)</f>
        <v>#N/A</v>
      </c>
      <c r="F14" s="109" t="e">
        <f>VLOOKUP($C$3:$C$93,'Nets not required'!$E$2:$F$3,2,0)</f>
        <v>#N/A</v>
      </c>
      <c r="G14" s="110" t="e">
        <f>VLOOKUP($C$3:$C$93,'Nets not required'!#REF!,2,0)</f>
        <v>#REF!</v>
      </c>
      <c r="H14" s="118"/>
      <c r="I14" s="111"/>
    </row>
    <row r="15" spans="2:9">
      <c r="B15" s="83">
        <v>13</v>
      </c>
      <c r="C15" s="83"/>
      <c r="D15" s="83"/>
      <c r="E15" s="109" t="e">
        <f>VLOOKUP($C$3:$C$93,'Nets not required'!$B$2:$C$3,2,0)</f>
        <v>#N/A</v>
      </c>
      <c r="F15" s="109" t="e">
        <f>VLOOKUP($C$3:$C$93,'Nets not required'!$E$2:$F$3,2,0)</f>
        <v>#N/A</v>
      </c>
      <c r="G15" s="110" t="e">
        <f>VLOOKUP($C$3:$C$93,'Nets not required'!#REF!,2,0)</f>
        <v>#REF!</v>
      </c>
      <c r="H15" s="118"/>
      <c r="I15" s="111"/>
    </row>
    <row r="16" spans="2:9">
      <c r="B16" s="83">
        <v>14</v>
      </c>
      <c r="C16" s="83"/>
      <c r="D16" s="83"/>
      <c r="E16" s="109" t="e">
        <f>VLOOKUP($C$3:$C$93,'Nets not required'!$B$2:$C$3,2,0)</f>
        <v>#N/A</v>
      </c>
      <c r="F16" s="109" t="e">
        <f>VLOOKUP($C$3:$C$93,'Nets not required'!$E$2:$F$3,2,0)</f>
        <v>#N/A</v>
      </c>
      <c r="G16" s="110" t="e">
        <f>VLOOKUP($C$3:$C$93,'Nets not required'!#REF!,2,0)</f>
        <v>#REF!</v>
      </c>
      <c r="H16" s="118"/>
      <c r="I16" s="111"/>
    </row>
    <row r="17" spans="2:9">
      <c r="B17" s="83">
        <v>15</v>
      </c>
      <c r="C17" s="83"/>
      <c r="D17" s="83"/>
      <c r="E17" s="109" t="e">
        <f>VLOOKUP($C$3:$C$93,'Nets not required'!$B$2:$C$3,2,0)</f>
        <v>#N/A</v>
      </c>
      <c r="F17" s="109" t="e">
        <f>VLOOKUP($C$3:$C$93,'Nets not required'!$E$2:$F$3,2,0)</f>
        <v>#N/A</v>
      </c>
      <c r="G17" s="110" t="e">
        <f>VLOOKUP($C$3:$C$93,'Nets not required'!#REF!,2,0)</f>
        <v>#REF!</v>
      </c>
      <c r="H17" s="118"/>
      <c r="I17" s="111"/>
    </row>
    <row r="18" spans="2:9">
      <c r="B18" s="83">
        <v>16</v>
      </c>
      <c r="C18" s="83"/>
      <c r="D18" s="83"/>
      <c r="E18" s="109" t="e">
        <f>VLOOKUP($C$3:$C$93,'Nets not required'!$B$2:$C$3,2,0)</f>
        <v>#N/A</v>
      </c>
      <c r="F18" s="109" t="e">
        <f>VLOOKUP($C$3:$C$93,'Nets not required'!$E$2:$F$3,2,0)</f>
        <v>#N/A</v>
      </c>
      <c r="G18" s="110" t="e">
        <f>VLOOKUP($C$3:$C$93,'Nets not required'!#REF!,2,0)</f>
        <v>#REF!</v>
      </c>
      <c r="H18" s="118"/>
      <c r="I18" s="111"/>
    </row>
    <row r="19" spans="2:9">
      <c r="B19" s="83">
        <v>17</v>
      </c>
      <c r="C19" s="83"/>
      <c r="D19" s="83"/>
      <c r="E19" s="109" t="e">
        <f>VLOOKUP($C$3:$C$93,'Nets not required'!$B$2:$C$3,2,0)</f>
        <v>#N/A</v>
      </c>
      <c r="F19" s="109" t="e">
        <f>VLOOKUP($C$3:$C$93,'Nets not required'!$E$2:$F$3,2,0)</f>
        <v>#N/A</v>
      </c>
      <c r="G19" s="110" t="e">
        <f>VLOOKUP($C$3:$C$93,'Nets not required'!#REF!,2,0)</f>
        <v>#REF!</v>
      </c>
      <c r="H19" s="118"/>
      <c r="I19" s="111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6">
        <v>5</v>
      </c>
      <c r="B5" s="6" t="s">
        <v>2117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Nets not required</vt:lpstr>
      <vt:lpstr>Untestable nets list</vt:lpstr>
      <vt:lpstr>Don't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2021-09-12T14:39:51Z</dcterms:modified>
</cp:coreProperties>
</file>