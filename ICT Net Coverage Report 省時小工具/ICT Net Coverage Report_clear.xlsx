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1008632\Desktop\ICT Net Coverage Report 省時小工具\"/>
    </mc:Choice>
  </mc:AlternateContent>
  <xr:revisionPtr revIDLastSave="0" documentId="13_ncr:1_{C9EA9653-2E11-4DFD-A9C5-7326D7A0F70F}" xr6:coauthVersionLast="47" xr6:coauthVersionMax="47" xr10:uidLastSave="{00000000-0000-0000-0000-000000000000}"/>
  <bookViews>
    <workbookView xWindow="-120" yWindow="-120" windowWidth="20730" windowHeight="11160" tabRatio="698" firstSheet="3" activeTab="3" xr2:uid="{00000000-000D-0000-FFFF-FFFF00000000}"/>
  </bookViews>
  <sheets>
    <sheet name="NC testable" sheetId="1" state="hidden" r:id="rId1"/>
    <sheet name="NC untestable" sheetId="2" state="hidden" r:id="rId2"/>
    <sheet name="Definition" sheetId="3" r:id="rId3"/>
    <sheet name="Net coverage summary" sheetId="4" r:id="rId4"/>
    <sheet name="Testable nets list" sheetId="5" r:id="rId5"/>
    <sheet name="Nets not required" sheetId="7" r:id="rId6"/>
    <sheet name="Untestable nets list" sheetId="6" r:id="rId7"/>
    <sheet name="Don't need DFT net list" sheetId="8" r:id="rId8"/>
    <sheet name="工作表1" sheetId="9" state="hidden" r:id="rId9"/>
  </sheets>
  <definedNames>
    <definedName name="_xlnm._FilterDatabase" localSheetId="7" hidden="1">'Don''t need DFT net list'!$B$1:$L$2</definedName>
    <definedName name="_xlnm._FilterDatabase" localSheetId="4" hidden="1">'Testable nets list'!$A$1:$K$25</definedName>
    <definedName name="_xlnm._FilterDatabase" localSheetId="6" hidden="1">'Untestable nets list'!$B$1:$M$3968</definedName>
    <definedName name="Z_5693F48F_8FCA_4CC0_9286_11E7497B1810_.wvu.FilterData" localSheetId="7" hidden="1">'Don''t need DFT net list'!$B$2:$H$2</definedName>
    <definedName name="Z_5693F48F_8FCA_4CC0_9286_11E7497B1810_.wvu.FilterData" localSheetId="4" hidden="1">'Testable nets list'!$A$1:$K$1</definedName>
    <definedName name="Z_5693F48F_8FCA_4CC0_9286_11E7497B1810_.wvu.FilterData" localSheetId="6" hidden="1">'Untestable nets list'!$B$1:$H$2</definedName>
  </definedNames>
  <calcPr calcId="191029"/>
  <customWorkbookViews>
    <customWorkbookView name="Z - 個人檢視畫面" guid="{5693F48F-8FCA-4CC0-9286-11E7497B1810}" mergeInterval="0" personalView="1" maximized="1" windowWidth="1436" windowHeight="634" tabRatio="698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5" l="1"/>
  <c r="I4" i="5"/>
  <c r="J4" i="5"/>
  <c r="K4" i="5"/>
  <c r="H5" i="5"/>
  <c r="I5" i="5"/>
  <c r="J5" i="5"/>
  <c r="K5" i="5"/>
  <c r="H6" i="5"/>
  <c r="I6" i="5"/>
  <c r="J6" i="5"/>
  <c r="K6" i="5"/>
  <c r="H7" i="5"/>
  <c r="I7" i="5"/>
  <c r="J7" i="5"/>
  <c r="K7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S41" i="4"/>
  <c r="S40" i="4"/>
  <c r="S39" i="4"/>
  <c r="S38" i="4"/>
  <c r="O41" i="4"/>
  <c r="O40" i="4"/>
  <c r="O39" i="4"/>
  <c r="O38" i="4"/>
  <c r="K41" i="4"/>
  <c r="K40" i="4"/>
  <c r="K39" i="4"/>
  <c r="K38" i="4"/>
  <c r="E4" i="8"/>
  <c r="F4" i="8"/>
  <c r="E5" i="8"/>
  <c r="F5" i="8"/>
  <c r="E6" i="8"/>
  <c r="F6" i="8"/>
  <c r="E7" i="8"/>
  <c r="F7" i="8"/>
  <c r="E8" i="8"/>
  <c r="F8" i="8"/>
  <c r="E9" i="8"/>
  <c r="F9" i="8"/>
  <c r="E10" i="8"/>
  <c r="F10" i="8"/>
  <c r="E11" i="8"/>
  <c r="F11" i="8"/>
  <c r="E12" i="8"/>
  <c r="F12" i="8"/>
  <c r="E13" i="8"/>
  <c r="F13" i="8"/>
  <c r="E14" i="8"/>
  <c r="F14" i="8"/>
  <c r="E15" i="8"/>
  <c r="F15" i="8"/>
  <c r="E16" i="8"/>
  <c r="F16" i="8"/>
  <c r="E17" i="8"/>
  <c r="F17" i="8"/>
  <c r="E18" i="8"/>
  <c r="F18" i="8"/>
  <c r="E19" i="8"/>
  <c r="F19" i="8"/>
  <c r="F3" i="8"/>
  <c r="E3" i="8"/>
  <c r="G8" i="8"/>
  <c r="G9" i="8"/>
  <c r="G10" i="8"/>
  <c r="G11" i="8"/>
  <c r="G12" i="8"/>
  <c r="G13" i="8"/>
  <c r="G14" i="8"/>
  <c r="G15" i="8"/>
  <c r="G16" i="8"/>
  <c r="G17" i="8"/>
  <c r="G18" i="8"/>
  <c r="G19" i="8"/>
  <c r="E3" i="6"/>
  <c r="F3" i="6"/>
  <c r="G3" i="6"/>
  <c r="G7" i="8"/>
  <c r="G6" i="8"/>
  <c r="G5" i="8"/>
  <c r="G4" i="8"/>
  <c r="H2" i="5"/>
  <c r="H3" i="5"/>
  <c r="G3" i="8"/>
  <c r="L30" i="4"/>
  <c r="L29" i="4"/>
  <c r="L28" i="4"/>
  <c r="L27" i="4"/>
  <c r="G2" i="6"/>
  <c r="F2" i="6"/>
  <c r="E2" i="6"/>
  <c r="X30" i="4"/>
  <c r="X29" i="4"/>
  <c r="X28" i="4"/>
  <c r="X27" i="4"/>
  <c r="U30" i="4"/>
  <c r="I30" i="4"/>
  <c r="U29" i="4"/>
  <c r="I29" i="4"/>
  <c r="U28" i="4"/>
  <c r="I28" i="4"/>
  <c r="U27" i="4"/>
  <c r="I27" i="4"/>
  <c r="R30" i="4"/>
  <c r="F30" i="4"/>
  <c r="R29" i="4"/>
  <c r="F29" i="4"/>
  <c r="R28" i="4"/>
  <c r="F28" i="4"/>
  <c r="R27" i="4"/>
  <c r="F27" i="4"/>
  <c r="I2" i="5"/>
  <c r="J2" i="5"/>
  <c r="K2" i="5"/>
  <c r="I3" i="5"/>
  <c r="J3" i="5"/>
  <c r="K3" i="5"/>
  <c r="AD10" i="4"/>
  <c r="AD11" i="4"/>
  <c r="AD12" i="4"/>
  <c r="AH12" i="4" s="1"/>
  <c r="O31" i="4"/>
  <c r="AA31" i="4"/>
  <c r="AG31" i="4"/>
  <c r="R31" i="4" l="1"/>
  <c r="U31" i="4"/>
  <c r="AD28" i="4"/>
  <c r="I31" i="4"/>
  <c r="X31" i="4"/>
  <c r="AD30" i="4"/>
  <c r="V38" i="4"/>
  <c r="AD29" i="4"/>
  <c r="V41" i="4"/>
  <c r="V39" i="4"/>
  <c r="F31" i="4"/>
  <c r="L31" i="4"/>
  <c r="AD27" i="4"/>
  <c r="V40" i="4"/>
  <c r="AH11" i="4"/>
  <c r="AF11" i="4"/>
  <c r="AF10" i="4"/>
  <c r="AH10" i="4"/>
  <c r="AD31" i="4" l="1"/>
  <c r="AG34" i="4" s="1"/>
  <c r="AH9" i="4"/>
  <c r="AF9" i="4"/>
  <c r="AF13" i="4" s="1"/>
  <c r="AH13" i="4" l="1"/>
  <c r="AD13" i="4" s="1"/>
  <c r="Z41" i="4" s="1"/>
  <c r="AD17" i="4"/>
  <c r="AG32" i="4"/>
  <c r="AG27" i="4"/>
  <c r="AG28" i="4"/>
  <c r="AG30" i="4"/>
  <c r="AG33" i="4"/>
  <c r="AG29" i="4"/>
  <c r="AD9" i="4"/>
  <c r="AD16" i="4" s="1"/>
  <c r="AD22" i="4" s="1"/>
  <c r="AD21" i="4" l="1"/>
  <c r="Z38" i="4"/>
  <c r="Z39" i="4"/>
  <c r="Z4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wistron</author>
  </authors>
  <commentList>
    <comment ref="P4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Tahoma"/>
            <family val="2"/>
          </rPr>
          <t>每个</t>
        </r>
        <r>
          <rPr>
            <b/>
            <sz val="9"/>
            <color indexed="81"/>
            <rFont val="Tahoma"/>
            <family val="2"/>
          </rPr>
          <t xml:space="preserve">Power </t>
        </r>
        <r>
          <rPr>
            <b/>
            <sz val="9"/>
            <color indexed="81"/>
            <rFont val="Tahoma"/>
            <family val="2"/>
          </rPr>
          <t>信號</t>
        </r>
        <r>
          <rPr>
            <b/>
            <sz val="9"/>
            <color indexed="81"/>
            <rFont val="Tahoma"/>
            <family val="2"/>
          </rPr>
          <t xml:space="preserve"> : MB</t>
        </r>
        <r>
          <rPr>
            <b/>
            <sz val="9"/>
            <color indexed="81"/>
            <rFont val="Tahoma"/>
            <family val="2"/>
          </rPr>
          <t>至少有</t>
        </r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Tahoma"/>
            <family val="2"/>
          </rPr>
          <t>個測試點</t>
        </r>
        <r>
          <rPr>
            <b/>
            <sz val="9"/>
            <color indexed="81"/>
            <rFont val="Tahoma"/>
            <family val="2"/>
          </rPr>
          <t>, Small card:</t>
        </r>
        <r>
          <rPr>
            <b/>
            <sz val="9"/>
            <color indexed="81"/>
            <rFont val="Tahoma"/>
            <family val="2"/>
          </rPr>
          <t>至少有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Tahoma"/>
            <family val="2"/>
          </rPr>
          <t>個測試點</t>
        </r>
        <r>
          <rPr>
            <b/>
            <sz val="9"/>
            <color indexed="81"/>
            <rFont val="Tahoma"/>
            <family val="2"/>
          </rPr>
          <t xml:space="preserve">;
2.GND </t>
        </r>
        <r>
          <rPr>
            <b/>
            <sz val="9"/>
            <color indexed="81"/>
            <rFont val="Tahoma"/>
            <family val="2"/>
          </rPr>
          <t>信號</t>
        </r>
        <r>
          <rPr>
            <b/>
            <sz val="9"/>
            <color indexed="81"/>
            <rFont val="Tahoma"/>
            <family val="2"/>
          </rPr>
          <t xml:space="preserve"> : MB</t>
        </r>
        <r>
          <rPr>
            <b/>
            <sz val="9"/>
            <color indexed="81"/>
            <rFont val="Tahoma"/>
            <family val="2"/>
          </rPr>
          <t>需至少有</t>
        </r>
        <r>
          <rPr>
            <b/>
            <sz val="9"/>
            <color indexed="81"/>
            <rFont val="Tahoma"/>
            <family val="2"/>
          </rPr>
          <t>15</t>
        </r>
        <r>
          <rPr>
            <b/>
            <sz val="9"/>
            <color indexed="81"/>
            <rFont val="Tahoma"/>
            <family val="2"/>
          </rPr>
          <t>個測試點</t>
        </r>
        <r>
          <rPr>
            <b/>
            <sz val="9"/>
            <color indexed="81"/>
            <rFont val="Tahoma"/>
            <family val="2"/>
          </rPr>
          <t>, Small card:</t>
        </r>
        <r>
          <rPr>
            <b/>
            <sz val="9"/>
            <color indexed="81"/>
            <rFont val="Tahoma"/>
            <family val="2"/>
          </rPr>
          <t>至少有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Tahoma"/>
            <family val="2"/>
          </rPr>
          <t>個測試點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</author>
  </authors>
  <commentList>
    <comment ref="F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Z:</t>
        </r>
        <r>
          <rPr>
            <sz val="9"/>
            <color indexed="81"/>
            <rFont val="Tahoma"/>
            <family val="2"/>
          </rPr>
          <t xml:space="preserve">
1=100mil
2=75mil
3=50mil
4=39mil
</t>
        </r>
      </text>
    </comment>
    <comment ref="G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Z:</t>
        </r>
        <r>
          <rPr>
            <sz val="9"/>
            <color indexed="81"/>
            <rFont val="Tahoma"/>
            <family val="2"/>
          </rPr>
          <t xml:space="preserve">
5:pad
6:via
7:dip</t>
        </r>
      </text>
    </comment>
    <comment ref="H1" authorId="0" shapeId="0" xr:uid="{00000000-0006-0000-0400-000003000000}">
      <text>
        <r>
          <rPr>
            <b/>
            <sz val="9"/>
            <color indexed="81"/>
            <rFont val="標楷體"/>
            <family val="4"/>
            <charset val="136"/>
          </rPr>
          <t>Z:
Y标示為"是",其他標示均為“非”</t>
        </r>
      </text>
    </comment>
    <comment ref="I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Z:
Y</t>
        </r>
        <r>
          <rPr>
            <b/>
            <sz val="9"/>
            <color indexed="81"/>
            <rFont val="細明體"/>
            <family val="3"/>
            <charset val="136"/>
          </rPr>
          <t>标示為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是</t>
        </r>
        <r>
          <rPr>
            <b/>
            <sz val="9"/>
            <color indexed="81"/>
            <rFont val="Tahoma"/>
            <family val="2"/>
          </rPr>
          <t>",</t>
        </r>
        <r>
          <rPr>
            <b/>
            <sz val="9"/>
            <color indexed="81"/>
            <rFont val="細明體"/>
            <family val="3"/>
            <charset val="136"/>
          </rPr>
          <t>其他標示均為</t>
        </r>
        <r>
          <rPr>
            <b/>
            <sz val="9"/>
            <color indexed="81"/>
            <rFont val="Tahoma"/>
            <family val="2"/>
          </rPr>
          <t>“</t>
        </r>
        <r>
          <rPr>
            <b/>
            <sz val="9"/>
            <color indexed="81"/>
            <rFont val="細明體"/>
            <family val="3"/>
            <charset val="136"/>
          </rPr>
          <t>非</t>
        </r>
        <r>
          <rPr>
            <b/>
            <sz val="9"/>
            <color indexed="81"/>
            <rFont val="Tahoma"/>
            <family val="2"/>
          </rPr>
          <t>”</t>
        </r>
      </text>
    </comment>
    <comment ref="J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Z:</t>
        </r>
        <r>
          <rPr>
            <sz val="9"/>
            <color indexed="81"/>
            <rFont val="Tahoma"/>
            <family val="2"/>
          </rPr>
          <t xml:space="preserve">
High Speed Signal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</author>
  </authors>
  <commentList>
    <comment ref="B1" authorId="0" shapeId="0" xr:uid="{00000000-0006-0000-0600-000001000000}">
      <text>
        <r>
          <rPr>
            <b/>
            <sz val="9"/>
            <color indexed="81"/>
            <rFont val="標楷體"/>
            <family val="4"/>
            <charset val="136"/>
          </rPr>
          <t>Z:
Y标示為"是",其他標示均為“非”</t>
        </r>
      </text>
    </comment>
    <comment ref="E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Z:
Y</t>
        </r>
        <r>
          <rPr>
            <b/>
            <sz val="9"/>
            <color indexed="81"/>
            <rFont val="細明體"/>
            <family val="3"/>
            <charset val="136"/>
          </rPr>
          <t>标示為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是</t>
        </r>
        <r>
          <rPr>
            <b/>
            <sz val="9"/>
            <color indexed="81"/>
            <rFont val="Tahoma"/>
            <family val="2"/>
          </rPr>
          <t>",</t>
        </r>
        <r>
          <rPr>
            <b/>
            <sz val="9"/>
            <color indexed="81"/>
            <rFont val="細明體"/>
            <family val="3"/>
            <charset val="136"/>
          </rPr>
          <t>其他標示均為</t>
        </r>
        <r>
          <rPr>
            <b/>
            <sz val="9"/>
            <color indexed="81"/>
            <rFont val="Tahoma"/>
            <family val="2"/>
          </rPr>
          <t>“</t>
        </r>
        <r>
          <rPr>
            <b/>
            <sz val="9"/>
            <color indexed="81"/>
            <rFont val="細明體"/>
            <family val="3"/>
            <charset val="136"/>
          </rPr>
          <t>非</t>
        </r>
        <r>
          <rPr>
            <b/>
            <sz val="9"/>
            <color indexed="81"/>
            <rFont val="Tahoma"/>
            <family val="2"/>
          </rPr>
          <t>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</author>
  </authors>
  <commentList>
    <comment ref="E1" authorId="0" shapeId="0" xr:uid="{00000000-0006-0000-0500-000001000000}">
      <text>
        <r>
          <rPr>
            <b/>
            <sz val="9"/>
            <color indexed="81"/>
            <rFont val="標楷體"/>
            <family val="4"/>
            <charset val="136"/>
          </rPr>
          <t>Z:
Y标示為"是",其他標示均為“非”</t>
        </r>
      </text>
    </comment>
    <comment ref="F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Z:
Y</t>
        </r>
        <r>
          <rPr>
            <b/>
            <sz val="9"/>
            <color indexed="81"/>
            <rFont val="細明體"/>
            <family val="3"/>
            <charset val="136"/>
          </rPr>
          <t>标示為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是</t>
        </r>
        <r>
          <rPr>
            <b/>
            <sz val="9"/>
            <color indexed="81"/>
            <rFont val="Tahoma"/>
            <family val="2"/>
          </rPr>
          <t>",</t>
        </r>
        <r>
          <rPr>
            <b/>
            <sz val="9"/>
            <color indexed="81"/>
            <rFont val="細明體"/>
            <family val="3"/>
            <charset val="136"/>
          </rPr>
          <t>其他標示均為</t>
        </r>
        <r>
          <rPr>
            <b/>
            <sz val="9"/>
            <color indexed="81"/>
            <rFont val="Tahoma"/>
            <family val="2"/>
          </rPr>
          <t>“</t>
        </r>
        <r>
          <rPr>
            <b/>
            <sz val="9"/>
            <color indexed="81"/>
            <rFont val="細明體"/>
            <family val="3"/>
            <charset val="136"/>
          </rPr>
          <t>非</t>
        </r>
        <r>
          <rPr>
            <b/>
            <sz val="9"/>
            <color indexed="81"/>
            <rFont val="Tahoma"/>
            <family val="2"/>
          </rPr>
          <t>”</t>
        </r>
      </text>
    </comment>
    <comment ref="G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Z:</t>
        </r>
        <r>
          <rPr>
            <sz val="9"/>
            <color indexed="81"/>
            <rFont val="Tahoma"/>
            <family val="2"/>
          </rPr>
          <t xml:space="preserve">
High Speed Signal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</author>
  </authors>
  <commentList>
    <comment ref="E2" authorId="0" shapeId="0" xr:uid="{00000000-0006-0000-0700-000001000000}">
      <text>
        <r>
          <rPr>
            <b/>
            <sz val="9"/>
            <color indexed="81"/>
            <rFont val="標楷體"/>
            <family val="4"/>
            <charset val="136"/>
          </rPr>
          <t>Z:
Y标示為"是",其他標示均為“非”</t>
        </r>
      </text>
    </comment>
    <comment ref="F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Z:
Y</t>
        </r>
        <r>
          <rPr>
            <b/>
            <sz val="9"/>
            <color indexed="81"/>
            <rFont val="細明體"/>
            <family val="3"/>
            <charset val="136"/>
          </rPr>
          <t>标示為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是</t>
        </r>
        <r>
          <rPr>
            <b/>
            <sz val="9"/>
            <color indexed="81"/>
            <rFont val="Tahoma"/>
            <family val="2"/>
          </rPr>
          <t>",</t>
        </r>
        <r>
          <rPr>
            <b/>
            <sz val="9"/>
            <color indexed="81"/>
            <rFont val="細明體"/>
            <family val="3"/>
            <charset val="136"/>
          </rPr>
          <t>其他標示均為</t>
        </r>
        <r>
          <rPr>
            <b/>
            <sz val="9"/>
            <color indexed="81"/>
            <rFont val="Tahoma"/>
            <family val="2"/>
          </rPr>
          <t>“</t>
        </r>
        <r>
          <rPr>
            <b/>
            <sz val="9"/>
            <color indexed="81"/>
            <rFont val="細明體"/>
            <family val="3"/>
            <charset val="136"/>
          </rPr>
          <t>非</t>
        </r>
        <r>
          <rPr>
            <b/>
            <sz val="9"/>
            <color indexed="81"/>
            <rFont val="Tahoma"/>
            <family val="2"/>
          </rPr>
          <t>”</t>
        </r>
      </text>
    </comment>
    <comment ref="G2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Z:</t>
        </r>
        <r>
          <rPr>
            <sz val="9"/>
            <color indexed="81"/>
            <rFont val="Tahoma"/>
            <family val="2"/>
          </rPr>
          <t xml:space="preserve">
High Speed Signal</t>
        </r>
      </text>
    </comment>
  </commentList>
</comments>
</file>

<file path=xl/sharedStrings.xml><?xml version="1.0" encoding="utf-8"?>
<sst xmlns="http://schemas.openxmlformats.org/spreadsheetml/2006/main" count="4071" uniqueCount="2171">
  <si>
    <t>100mil</t>
    <phoneticPr fontId="3" type="noConversion"/>
  </si>
  <si>
    <t>50mil</t>
    <phoneticPr fontId="3" type="noConversion"/>
  </si>
  <si>
    <t>39mil</t>
    <phoneticPr fontId="3" type="noConversion"/>
  </si>
  <si>
    <t>Totoal</t>
    <phoneticPr fontId="3" type="noConversion"/>
  </si>
  <si>
    <t>75mil</t>
    <phoneticPr fontId="3" type="noConversion"/>
  </si>
  <si>
    <t>Analyzer:</t>
    <phoneticPr fontId="3" type="noConversion"/>
  </si>
  <si>
    <t>No.</t>
    <phoneticPr fontId="3" type="noConversion"/>
  </si>
  <si>
    <t>Net Name</t>
    <phoneticPr fontId="3" type="noConversion"/>
  </si>
  <si>
    <t>Connected Component List</t>
    <phoneticPr fontId="3" type="noConversion"/>
  </si>
  <si>
    <t>Test Pad</t>
    <phoneticPr fontId="3" type="noConversion"/>
  </si>
  <si>
    <t>VIA</t>
    <phoneticPr fontId="3" type="noConversion"/>
  </si>
  <si>
    <t>DIP</t>
    <phoneticPr fontId="3" type="noConversion"/>
  </si>
  <si>
    <t>Bead/MECA</t>
    <phoneticPr fontId="3" type="noConversion"/>
  </si>
  <si>
    <t>Top Side</t>
    <phoneticPr fontId="3" type="noConversion"/>
  </si>
  <si>
    <t>Summary</t>
    <phoneticPr fontId="3" type="noConversion"/>
  </si>
  <si>
    <t>Total</t>
    <phoneticPr fontId="3" type="noConversion"/>
  </si>
  <si>
    <t>Model Name</t>
    <phoneticPr fontId="3" type="noConversion"/>
  </si>
  <si>
    <t>PCB Version</t>
    <phoneticPr fontId="3" type="noConversion"/>
  </si>
  <si>
    <t>Bottom Side</t>
    <phoneticPr fontId="3" type="noConversion"/>
  </si>
  <si>
    <t>Testpoint Size</t>
    <phoneticPr fontId="3" type="noConversion"/>
  </si>
  <si>
    <t>T</t>
    <phoneticPr fontId="3" type="noConversion"/>
  </si>
  <si>
    <t>B</t>
    <phoneticPr fontId="3" type="noConversion"/>
  </si>
  <si>
    <t>Pad</t>
    <phoneticPr fontId="3" type="noConversion"/>
  </si>
  <si>
    <t>Via</t>
    <phoneticPr fontId="3" type="noConversion"/>
  </si>
  <si>
    <t>24mil x 24mil</t>
    <phoneticPr fontId="3" type="noConversion"/>
  </si>
  <si>
    <t>GND</t>
    <phoneticPr fontId="3" type="noConversion"/>
  </si>
  <si>
    <t>因可植針位置被元件覆蓋</t>
  </si>
  <si>
    <t>TP_BMC_GPIOA0</t>
  </si>
  <si>
    <t xml:space="preserve">U25W4.80, </t>
  </si>
  <si>
    <t>30.00,30.00</t>
  </si>
  <si>
    <t>50mil</t>
  </si>
  <si>
    <t>39mil</t>
  </si>
  <si>
    <t>NC_6177</t>
  </si>
  <si>
    <t xml:space="preserve">EU3P1.4, </t>
  </si>
  <si>
    <t>75mil</t>
  </si>
  <si>
    <t>26.00,26.00</t>
  </si>
  <si>
    <t>100 mil</t>
  </si>
  <si>
    <t>TP_SMB_PEHPCPU0_EN</t>
  </si>
  <si>
    <t xml:space="preserve">U1W2.5, </t>
  </si>
  <si>
    <t>20.00,20.00</t>
  </si>
  <si>
    <t>TP_CPU1_RSVD_6</t>
  </si>
  <si>
    <t xml:space="preserve">U2D1.3026, </t>
  </si>
  <si>
    <t>TP_CPU1_RSVD_21</t>
  </si>
  <si>
    <t xml:space="preserve">U2D1.2785, </t>
  </si>
  <si>
    <t>TP_CPU1_RSVD_20</t>
  </si>
  <si>
    <t xml:space="preserve">U2D1.2870, </t>
  </si>
  <si>
    <t>TP_CPU1_RSVD_17</t>
  </si>
  <si>
    <t xml:space="preserve">U2D1.2914, </t>
  </si>
  <si>
    <t>TP_CPU1_RSVD_14</t>
  </si>
  <si>
    <t xml:space="preserve">U2D1.2948, </t>
  </si>
  <si>
    <t>TP_SLG55021_P5V_8</t>
  </si>
  <si>
    <t xml:space="preserve">EU8B1.8, </t>
  </si>
  <si>
    <t>TP_PVDDQ_ABC_RESET_N</t>
  </si>
  <si>
    <t xml:space="preserve">EU7G1.8, </t>
  </si>
  <si>
    <t>TP_PVCCIN_CPU0_APWM6</t>
  </si>
  <si>
    <t xml:space="preserve">EU4D4.2, </t>
  </si>
  <si>
    <t>TP_PVCCIO_CPU0_RESET_N</t>
  </si>
  <si>
    <t xml:space="preserve">EU3P1.8, </t>
  </si>
  <si>
    <t>TP_PVCCIO_CPU0_BPWM1</t>
  </si>
  <si>
    <t xml:space="preserve">EU3P1.3, </t>
  </si>
  <si>
    <t>TP_P3E_CPU1_PE1_MP_TXP&lt;7&gt;</t>
  </si>
  <si>
    <t xml:space="preserve">U2D1.2536, </t>
  </si>
  <si>
    <t>TP_P3E_CPU1_PE1_MP_TXP&lt;6&gt;</t>
  </si>
  <si>
    <t xml:space="preserve">U2D1.2447, </t>
  </si>
  <si>
    <t>TP_P3E_CPU1_PE1_MP_TXP&lt;4&gt;</t>
  </si>
  <si>
    <t xml:space="preserve">U2D1.2245, </t>
  </si>
  <si>
    <t>TP_P3E_CPU1_PE1_MP_TXP&lt;2&gt;</t>
  </si>
  <si>
    <t xml:space="preserve">U2D1.2162, </t>
  </si>
  <si>
    <t>TP_P3E_CPU1_PE1_MP_TXN&lt;5&gt;</t>
  </si>
  <si>
    <t xml:space="preserve">U2D1.2411, </t>
  </si>
  <si>
    <t>TP_P3E_CPU1_PE1_MP_TXN&lt;1&gt;</t>
  </si>
  <si>
    <t xml:space="preserve">U2D1.2114, </t>
  </si>
  <si>
    <t>TP_P3E_CPU1_PE1_MP_TXN&lt;0&gt;</t>
  </si>
  <si>
    <t xml:space="preserve">U2D1.2029, </t>
  </si>
  <si>
    <t>NC_CLK_156M_CPU0_OSC</t>
  </si>
  <si>
    <t xml:space="preserve">Y6F1.2, </t>
  </si>
  <si>
    <t>TP_SPI_0_2</t>
  </si>
  <si>
    <t xml:space="preserve">U7F1.12, </t>
  </si>
  <si>
    <t>TP_SPI_0_3</t>
  </si>
  <si>
    <t xml:space="preserve">U7F1.11, </t>
  </si>
  <si>
    <t>TP_PVDDQ_ABC_PH3_IMON</t>
  </si>
  <si>
    <t xml:space="preserve">EU7G1.26, </t>
  </si>
  <si>
    <t>TP_PVDDQ_DEF_PINALRT_N</t>
  </si>
  <si>
    <t xml:space="preserve">EU7A5.12, </t>
  </si>
  <si>
    <t>TP_SMB_DDR_ABC_EN</t>
  </si>
  <si>
    <t xml:space="preserve">U6F1.5, </t>
  </si>
  <si>
    <t>TP_P3E_CPU1_PE2_RSR_TXP&lt;2&gt;</t>
  </si>
  <si>
    <t xml:space="preserve">U2D1.1770, </t>
  </si>
  <si>
    <t>TP_P3E_CPU1_PE2_RSR_TXN&lt;2&gt;</t>
  </si>
  <si>
    <t xml:space="preserve">U2D1.1797, </t>
  </si>
  <si>
    <t>TP_P3E_CPU1_PE1_RSR3_TXP&lt;15&gt;</t>
  </si>
  <si>
    <t xml:space="preserve">U2D1.2967, </t>
  </si>
  <si>
    <t>TP_P3E_CPU1_PE1_RSR3_TXP&lt;14&gt;</t>
  </si>
  <si>
    <t xml:space="preserve">U2D1.2925, </t>
  </si>
  <si>
    <t>TP_P3E_CPU1_PE1_RSR3_TXP&lt;11&gt;</t>
  </si>
  <si>
    <t xml:space="preserve">U2D1.2712, </t>
  </si>
  <si>
    <t>TP_P3E_CPU1_PE1_RSR3_TXP&lt;10&gt;</t>
  </si>
  <si>
    <t xml:space="preserve">U2D1.2666, </t>
  </si>
  <si>
    <t>TP_P3E_CPU1_PE1_RSR3_TXN&lt;9&gt;</t>
  </si>
  <si>
    <t xml:space="preserve">U2D1.2702, </t>
  </si>
  <si>
    <t>TP_P3E_CPU1_PE1_RSR3_TXN&lt;15&gt;</t>
  </si>
  <si>
    <t xml:space="preserve">U2D1.3004, </t>
  </si>
  <si>
    <t>TP_CLK_96M_CKMNG_N</t>
  </si>
  <si>
    <t xml:space="preserve">EU8F2.4, </t>
  </si>
  <si>
    <t>TP_CLK_125M</t>
  </si>
  <si>
    <t xml:space="preserve">EU8F2.36, </t>
  </si>
  <si>
    <t>TP_CLK_100M_R_DP</t>
  </si>
  <si>
    <t xml:space="preserve">EU8F2.7, </t>
  </si>
  <si>
    <t>TP_IOA5</t>
  </si>
  <si>
    <t xml:space="preserve">J1C1.5, </t>
  </si>
  <si>
    <t>TP_FM_WAKE_N</t>
  </si>
  <si>
    <t xml:space="preserve">J1C1.12, </t>
  </si>
  <si>
    <t>TP_IOE4</t>
  </si>
  <si>
    <t xml:space="preserve">J1C1.36, </t>
  </si>
  <si>
    <t>TP_IOF4</t>
  </si>
  <si>
    <t xml:space="preserve">J1C1.44, </t>
  </si>
  <si>
    <t>TP_IOG3</t>
  </si>
  <si>
    <t xml:space="preserve">J1C1.51, </t>
  </si>
  <si>
    <t>TP_IOH3</t>
  </si>
  <si>
    <t xml:space="preserve">J1C1.59, </t>
  </si>
  <si>
    <t>TP_IOH4</t>
  </si>
  <si>
    <t xml:space="preserve">J1C1.60, </t>
  </si>
  <si>
    <t>TP_IOI4</t>
  </si>
  <si>
    <t xml:space="preserve">J1C1.68, </t>
  </si>
  <si>
    <t>TP_ME_RCVR_BOOT</t>
  </si>
  <si>
    <t xml:space="preserve">J7G3.1, </t>
  </si>
  <si>
    <t>64.00,64.00</t>
  </si>
  <si>
    <t>TP_BIOS_USB_RECOVERY</t>
  </si>
  <si>
    <t xml:space="preserve">J7G3.2, </t>
  </si>
  <si>
    <t>TP_PASSWORD_CLEAR</t>
  </si>
  <si>
    <t xml:space="preserve">J7G3.7, </t>
  </si>
  <si>
    <t>TP_BIOS_RECOVER_BOOT</t>
  </si>
  <si>
    <t xml:space="preserve">J7G3.8, </t>
  </si>
  <si>
    <t>TP_JUMPER_BLOCK_1_1</t>
  </si>
  <si>
    <t xml:space="preserve">J8G2.1, </t>
  </si>
  <si>
    <t>TP_JUMPER_BLOCK_1_2</t>
  </si>
  <si>
    <t xml:space="preserve">J8G2.2, </t>
  </si>
  <si>
    <t>TP_JUMPER_BLOCK_1_7</t>
  </si>
  <si>
    <t xml:space="preserve">J8G2.7, </t>
  </si>
  <si>
    <t>TP_JUMPER_BLOCK_1_8</t>
  </si>
  <si>
    <t xml:space="preserve">J8G2.8, </t>
  </si>
  <si>
    <t>TP_RST_RTCRST_N</t>
  </si>
  <si>
    <t xml:space="preserve">J9G1.2, </t>
  </si>
  <si>
    <t>TP_IE_DEBUG_MODE</t>
  </si>
  <si>
    <t xml:space="preserve">J9G1.7, </t>
  </si>
  <si>
    <t>TP_FAN_1</t>
  </si>
  <si>
    <t xml:space="preserve">J1B2.6, </t>
  </si>
  <si>
    <t>TP_FAN_0</t>
  </si>
  <si>
    <t xml:space="preserve">J1F2.6, </t>
  </si>
  <si>
    <t>20.00,71.00</t>
  </si>
  <si>
    <t>TP_CH_A_DIMM_A1_RFU_2</t>
  </si>
  <si>
    <t xml:space="preserve">J6T1.144, </t>
  </si>
  <si>
    <t>TP_CH_B_DIMM_B1_RFU_2</t>
  </si>
  <si>
    <t xml:space="preserve">J6U1.144, </t>
  </si>
  <si>
    <t>TP_CH_B_DIMM_B1_RFU_0</t>
  </si>
  <si>
    <t xml:space="preserve">J6U1.205, </t>
  </si>
  <si>
    <t>TP_CH_B_DIMM_B1_RFU_1</t>
  </si>
  <si>
    <t xml:space="preserve">J6U1.227, </t>
  </si>
  <si>
    <t>TP_CH_C_DIMM_C1_RFU_2</t>
  </si>
  <si>
    <t xml:space="preserve">J6U2.144, </t>
  </si>
  <si>
    <t>TP_CH_C_DIMM_C1_RFU_0</t>
  </si>
  <si>
    <t xml:space="preserve">J6U2.205, </t>
  </si>
  <si>
    <t>TP_CH_C_DIMM_C1_RFU_1</t>
  </si>
  <si>
    <t xml:space="preserve">J6U2.227, </t>
  </si>
  <si>
    <t>TP_CH_E_DIMM_E1_RFU_2</t>
  </si>
  <si>
    <t xml:space="preserve">J6L2.144, </t>
  </si>
  <si>
    <t>TP_CH_E_DIMM_E1_RFU_0</t>
  </si>
  <si>
    <t xml:space="preserve">J6L2.205, </t>
  </si>
  <si>
    <t>TP_CH_E_DIMM_E1_RFU_1</t>
  </si>
  <si>
    <t xml:space="preserve">J6L2.227, </t>
  </si>
  <si>
    <t>TP_CH_F_DIMM_F1_RFU_0</t>
  </si>
  <si>
    <t xml:space="preserve">J6L1.205, </t>
  </si>
  <si>
    <t>TP_CH_F_DIMM_F1_RFU_1</t>
  </si>
  <si>
    <t xml:space="preserve">J6L1.227, </t>
  </si>
  <si>
    <t>TP_CH_G_DIMM0_RFU_2</t>
  </si>
  <si>
    <t xml:space="preserve">J9T1.144, </t>
  </si>
  <si>
    <t>TP_CH_G_DIMM0_RFU_0</t>
  </si>
  <si>
    <t xml:space="preserve">J9T1.205, </t>
  </si>
  <si>
    <t>TP_CH_G_DIMM0_RFU_1</t>
  </si>
  <si>
    <t xml:space="preserve">J9T1.227, </t>
  </si>
  <si>
    <t>TP_CH_H_DIMM0_RFU_2</t>
  </si>
  <si>
    <t xml:space="preserve">J9U1.144, </t>
  </si>
  <si>
    <t>TP_CH_H_DIMM0_RFU_0</t>
  </si>
  <si>
    <t xml:space="preserve">J9U1.205, </t>
  </si>
  <si>
    <t>TP_CH_H_DIMM0_RFU_1</t>
  </si>
  <si>
    <t xml:space="preserve">J9U1.227, </t>
  </si>
  <si>
    <t>TP_CH_J_DIMM_J1_RFU_2</t>
  </si>
  <si>
    <t xml:space="preserve">J9U2.144, </t>
  </si>
  <si>
    <t>TP_CH_J_DIMM_J1_RFU_0</t>
  </si>
  <si>
    <t xml:space="preserve">J9U2.205, </t>
  </si>
  <si>
    <t>TP_CH_J_DIMM_J1_RFU_1</t>
  </si>
  <si>
    <t xml:space="preserve">J9U2.227, </t>
  </si>
  <si>
    <t>TP_CH_K_DIMM0_RFU_2</t>
  </si>
  <si>
    <t xml:space="preserve">J9M1.144, </t>
  </si>
  <si>
    <t>TP_CH_K_DIMM0_RFU_0</t>
  </si>
  <si>
    <t xml:space="preserve">J9M1.205, </t>
  </si>
  <si>
    <t>TP_CH_K_DIMM0_RFU_1</t>
  </si>
  <si>
    <t xml:space="preserve">J9M1.227, </t>
  </si>
  <si>
    <t>TP_CH_L_DIMM0_RFU_2</t>
  </si>
  <si>
    <t xml:space="preserve">J9L2.144, </t>
  </si>
  <si>
    <t>TP_CH_L_DIMM0_RFU_0</t>
  </si>
  <si>
    <t xml:space="preserve">J9L2.205, </t>
  </si>
  <si>
    <t>TP_CH_M_DIMM_M1_RFU_2</t>
  </si>
  <si>
    <t xml:space="preserve">J9L1.144, </t>
  </si>
  <si>
    <t>TP_CH_M_DIMM_M1_RFU_0</t>
  </si>
  <si>
    <t xml:space="preserve">J9L1.205, </t>
  </si>
  <si>
    <t>TP_FM_QAT_CBL_PRSNT2_N</t>
  </si>
  <si>
    <t xml:space="preserve">J8A2.1, </t>
  </si>
  <si>
    <t>31.00,31.00</t>
  </si>
  <si>
    <t>TP_FM_QAT_CBL_PRSNT0_R_N</t>
  </si>
  <si>
    <t xml:space="preserve">J8A1.48, </t>
  </si>
  <si>
    <t>TP_SGPIO_SATA_CLOCK1_R</t>
  </si>
  <si>
    <t xml:space="preserve">J8A1.49, </t>
  </si>
  <si>
    <t>TP_SGPIO_SATA_LOAD1_R</t>
  </si>
  <si>
    <t xml:space="preserve">J8A1.50, </t>
  </si>
  <si>
    <t>TP_SGPIO_SATA_DATA1_R</t>
  </si>
  <si>
    <t xml:space="preserve">J8A1.53, </t>
  </si>
  <si>
    <t>TP_FM_QAT_CBL_PRSNT1_N_R</t>
  </si>
  <si>
    <t xml:space="preserve">J8A1.56, </t>
  </si>
  <si>
    <t>NC_6174</t>
  </si>
  <si>
    <t xml:space="preserve">EU1G2.3, </t>
  </si>
  <si>
    <t>24.00,24.00</t>
  </si>
  <si>
    <t>NC_6179</t>
  </si>
  <si>
    <t xml:space="preserve">EU3P1.28, </t>
  </si>
  <si>
    <t>NC_6180</t>
  </si>
  <si>
    <t xml:space="preserve">EU4D5.1, </t>
  </si>
  <si>
    <t>NC_6181</t>
  </si>
  <si>
    <t xml:space="preserve">EU4D2.3, </t>
  </si>
  <si>
    <t>NC_6184</t>
  </si>
  <si>
    <t xml:space="preserve">EU7A5.28, </t>
  </si>
  <si>
    <t>NC_6189</t>
  </si>
  <si>
    <t xml:space="preserve">U7C1.2616, </t>
  </si>
  <si>
    <t>NC_6192</t>
  </si>
  <si>
    <t xml:space="preserve">U7C1.2623, </t>
  </si>
  <si>
    <t>NC_6199</t>
  </si>
  <si>
    <t xml:space="preserve">U7C1.2123, </t>
  </si>
  <si>
    <t>NC_6203</t>
  </si>
  <si>
    <t xml:space="preserve">U7C1.1593, </t>
  </si>
  <si>
    <t>NC_6204</t>
  </si>
  <si>
    <t xml:space="preserve">U7C1.1447, </t>
  </si>
  <si>
    <t>NC_6207</t>
  </si>
  <si>
    <t xml:space="preserve">U7C1.1604, </t>
  </si>
  <si>
    <t>NC_6208</t>
  </si>
  <si>
    <t xml:space="preserve">U7C1.1883, </t>
  </si>
  <si>
    <t>TP_TPM_SPI_4</t>
  </si>
  <si>
    <t xml:space="preserve">UN8F2.6, </t>
  </si>
  <si>
    <t>TP_TPM_SPI_3</t>
  </si>
  <si>
    <t xml:space="preserve">UN8F2.11, </t>
  </si>
  <si>
    <t>TP_TPM_SPI_2</t>
  </si>
  <si>
    <t xml:space="preserve">UN8F2.12, </t>
  </si>
  <si>
    <t>TP_TPM_SPI_1</t>
  </si>
  <si>
    <t xml:space="preserve">UN8F2.13, </t>
  </si>
  <si>
    <t>TP_TPM_SPI_0</t>
  </si>
  <si>
    <t xml:space="preserve">UN8F2.14, </t>
  </si>
  <si>
    <t>TP_CPLD1_PL11A</t>
  </si>
  <si>
    <t xml:space="preserve">U8D7.163, </t>
  </si>
  <si>
    <t>TP_CPU1_RSVD_TEST_4</t>
  </si>
  <si>
    <t xml:space="preserve">U2D1.579, </t>
  </si>
  <si>
    <t>TP_CPU1_RSVD_TEST_3</t>
  </si>
  <si>
    <t xml:space="preserve">U2D1.549, </t>
  </si>
  <si>
    <t>TP_CPU0_RSVD_TEST_4</t>
  </si>
  <si>
    <t xml:space="preserve">U5D1.579, </t>
  </si>
  <si>
    <t>TP_CPU0_RSVD_TEST_3</t>
  </si>
  <si>
    <t xml:space="preserve">U5D1.549, </t>
  </si>
  <si>
    <t>TP_CPLD1_PT24B</t>
  </si>
  <si>
    <t xml:space="preserve">U8D7.15, </t>
  </si>
  <si>
    <t>TP_VR_PVCCIO_CPU0_MP3</t>
  </si>
  <si>
    <t xml:space="preserve">EU3P1.31, </t>
  </si>
  <si>
    <t>19.00,19.00</t>
  </si>
  <si>
    <t>TP_USB3_P06_TXP</t>
  </si>
  <si>
    <t xml:space="preserve">U7C1.2437, </t>
  </si>
  <si>
    <t>TP_USB3_P06_TXN</t>
  </si>
  <si>
    <t xml:space="preserve">U7C1.2363, </t>
  </si>
  <si>
    <t>TP_USB3_P05_TXP</t>
  </si>
  <si>
    <t xml:space="preserve">U7C1.2219, </t>
  </si>
  <si>
    <t>TP_USB3_P05_TXN</t>
  </si>
  <si>
    <t xml:space="preserve">U7C1.2290, </t>
  </si>
  <si>
    <t>NC_PVCCIN_CPU1_PH3_P31</t>
  </si>
  <si>
    <t xml:space="preserve">EU1D3.31, </t>
  </si>
  <si>
    <t>TP_CPU1_RSVD_304</t>
  </si>
  <si>
    <t xml:space="preserve">U2D1.96, </t>
  </si>
  <si>
    <t>TP_CPU1_RSVD_298</t>
  </si>
  <si>
    <t xml:space="preserve">U2D1.833, </t>
  </si>
  <si>
    <t>TP_CPU1_RSVD_287</t>
  </si>
  <si>
    <t xml:space="preserve">U2D1.2006, </t>
  </si>
  <si>
    <t>TP_CPU1_RSVD_283</t>
  </si>
  <si>
    <t xml:space="preserve">U2D1.2821, </t>
  </si>
  <si>
    <t>TP_CPU0_RSVD_303</t>
  </si>
  <si>
    <t xml:space="preserve">U5D1.99, </t>
  </si>
  <si>
    <t>TP_CPU0_RSVD_299</t>
  </si>
  <si>
    <t xml:space="preserve">U5D1.815, </t>
  </si>
  <si>
    <t>TP_CPU0_RSVD_282</t>
  </si>
  <si>
    <t xml:space="preserve">U5D1.2832, </t>
  </si>
  <si>
    <t>TP_CPU0_RSVD_275</t>
  </si>
  <si>
    <t xml:space="preserve">U5D1.3101, </t>
  </si>
  <si>
    <t>TP_CPU1_RSVD_64</t>
  </si>
  <si>
    <t xml:space="preserve">U2D1.1895, </t>
  </si>
  <si>
    <t>TP_CPU0_RSVD_64</t>
  </si>
  <si>
    <t xml:space="preserve">U5D1.1895, </t>
  </si>
  <si>
    <t>TP_CPU1_RSVD_9</t>
  </si>
  <si>
    <t xml:space="preserve">U2D1.3003, </t>
  </si>
  <si>
    <t>TP_CPU1_RSVD_8</t>
  </si>
  <si>
    <t xml:space="preserve">U2D1.3008, </t>
  </si>
  <si>
    <t>TP_CPU1_RSVD_73</t>
  </si>
  <si>
    <t xml:space="preserve">U2D1.1746, </t>
  </si>
  <si>
    <t>TP_CPU1_RSVD_72</t>
  </si>
  <si>
    <t xml:space="preserve">U2D1.1784, </t>
  </si>
  <si>
    <t>TP_CPU1_RSVD_70</t>
  </si>
  <si>
    <t xml:space="preserve">U2D1.1813, </t>
  </si>
  <si>
    <t>TP_CPU1_RSVD_7</t>
  </si>
  <si>
    <t xml:space="preserve">U2D1.3019, </t>
  </si>
  <si>
    <t>TP_CPU1_RSVD_69</t>
  </si>
  <si>
    <t xml:space="preserve">U2D1.1822, </t>
  </si>
  <si>
    <t>TP_CPU1_RSVD_67</t>
  </si>
  <si>
    <t xml:space="preserve">U2D1.1854, </t>
  </si>
  <si>
    <t>TP_CPU1_RSVD_66</t>
  </si>
  <si>
    <t xml:space="preserve">U2D1.1855, </t>
  </si>
  <si>
    <t>TP_CPU1_RSVD_61</t>
  </si>
  <si>
    <t xml:space="preserve">U2D1.1932, </t>
  </si>
  <si>
    <t>TP_CPU1_RSVD_5</t>
  </si>
  <si>
    <t xml:space="preserve">U2D1.3036, </t>
  </si>
  <si>
    <t>TP_CPU1_RSVD_46</t>
  </si>
  <si>
    <t xml:space="preserve">U2D1.2132, </t>
  </si>
  <si>
    <t>TP_CPU1_RSVD_45</t>
  </si>
  <si>
    <t xml:space="preserve">U2D1.2173, </t>
  </si>
  <si>
    <t>TP_CPU1_RSVD_44</t>
  </si>
  <si>
    <t xml:space="preserve">U2D1.2290, </t>
  </si>
  <si>
    <t>TP_CPU1_RSVD_43</t>
  </si>
  <si>
    <t xml:space="preserve">U2D1.2306, </t>
  </si>
  <si>
    <t>TP_CPU1_RSVD_42</t>
  </si>
  <si>
    <t xml:space="preserve">U2D1.2346, </t>
  </si>
  <si>
    <t>TP_CPU1_RSVD_41</t>
  </si>
  <si>
    <t xml:space="preserve">U2D1.2373, </t>
  </si>
  <si>
    <t>TP_CPU1_RSVD_40</t>
  </si>
  <si>
    <t xml:space="preserve">U2D1.2390, </t>
  </si>
  <si>
    <t>TP_CPU1_RSVD_4</t>
  </si>
  <si>
    <t xml:space="preserve">U2D1.3037, </t>
  </si>
  <si>
    <t>TP_CPU1_RSVD_39</t>
  </si>
  <si>
    <t xml:space="preserve">U2D1.2403, </t>
  </si>
  <si>
    <t>TP_CPU1_RSVD_38</t>
  </si>
  <si>
    <t xml:space="preserve">U2D1.2415, </t>
  </si>
  <si>
    <t>TP_CPU1_RSVD_37</t>
  </si>
  <si>
    <t xml:space="preserve">U2D1.2429, </t>
  </si>
  <si>
    <t>TP_CPU1_RSVD_36</t>
  </si>
  <si>
    <t xml:space="preserve">U2D1.2430, </t>
  </si>
  <si>
    <t>TP_CPU1_RSVD_35</t>
  </si>
  <si>
    <t xml:space="preserve">U2D1.2457, </t>
  </si>
  <si>
    <t>TP_CPU1_RSVD_34</t>
  </si>
  <si>
    <t xml:space="preserve">U2D1.2473, </t>
  </si>
  <si>
    <t>TP_CPU1_RSVD_33</t>
  </si>
  <si>
    <t xml:space="preserve">U2D1.30, </t>
  </si>
  <si>
    <t>TP_CPU1_RSVD_32</t>
  </si>
  <si>
    <t xml:space="preserve">U2D1.2513, </t>
  </si>
  <si>
    <t>TP_CPU1_RSVD_31</t>
  </si>
  <si>
    <t xml:space="preserve">U2D1.2515, </t>
  </si>
  <si>
    <t>TP_CPU1_RSVD_30</t>
  </si>
  <si>
    <t xml:space="preserve">U2D1.2529, </t>
  </si>
  <si>
    <t>TP_CPU1_RSVD_3</t>
  </si>
  <si>
    <t xml:space="preserve">U2D1.3039, </t>
  </si>
  <si>
    <t>TP_CPU1_RSVD_29</t>
  </si>
  <si>
    <t xml:space="preserve">U2D1.2554, </t>
  </si>
  <si>
    <t>TP_CPU1_RSVD_28</t>
  </si>
  <si>
    <t xml:space="preserve">U2D1.2586, </t>
  </si>
  <si>
    <t>TP_CPU1_RSVD_27</t>
  </si>
  <si>
    <t xml:space="preserve">U2D1.2641, </t>
  </si>
  <si>
    <t>TP_CPU1_RSVD_26</t>
  </si>
  <si>
    <t xml:space="preserve">U2D1.2669, </t>
  </si>
  <si>
    <t>TP_CPU1_RSVD_25</t>
  </si>
  <si>
    <t xml:space="preserve">U2D1.2718, </t>
  </si>
  <si>
    <t>TP_CPU1_RSVD_24</t>
  </si>
  <si>
    <t xml:space="preserve">U2D1.2724, </t>
  </si>
  <si>
    <t>TP_CPU1_RSVD_23</t>
  </si>
  <si>
    <t xml:space="preserve">U2D1.2752, </t>
  </si>
  <si>
    <t>TP_CPU1_RSVD_22</t>
  </si>
  <si>
    <t xml:space="preserve">U2D1.2753, </t>
  </si>
  <si>
    <t>TP_CPU1_RSVD_2</t>
  </si>
  <si>
    <t xml:space="preserve">U2D1.3051, </t>
  </si>
  <si>
    <t>TP_CPU1_RSVD_19</t>
  </si>
  <si>
    <t xml:space="preserve">U2D1.2873, </t>
  </si>
  <si>
    <t>TP_CPU1_RSVD_18</t>
  </si>
  <si>
    <t xml:space="preserve">U2D1.2904, </t>
  </si>
  <si>
    <t>TP_CPU1_RSVD_16</t>
  </si>
  <si>
    <t xml:space="preserve">U2D1.2933, </t>
  </si>
  <si>
    <t>TP_CPU1_RSVD_15</t>
  </si>
  <si>
    <t xml:space="preserve">U2D1.2938, </t>
  </si>
  <si>
    <t>TP_CPU1_RSVD_13</t>
  </si>
  <si>
    <t xml:space="preserve">U2D1.2951, </t>
  </si>
  <si>
    <t>TP_CPU1_RSVD_12</t>
  </si>
  <si>
    <t xml:space="preserve">U2D1.2970, </t>
  </si>
  <si>
    <t>TP_CPU1_RSVD_11</t>
  </si>
  <si>
    <t xml:space="preserve">U2D1.2984, </t>
  </si>
  <si>
    <t>TP_CPU1_RSVD_10</t>
  </si>
  <si>
    <t xml:space="preserve">U2D1.2987, </t>
  </si>
  <si>
    <t>TP_CPU1_RSVD_1</t>
  </si>
  <si>
    <t xml:space="preserve">U2D1.3053, </t>
  </si>
  <si>
    <t>TP_CPU1_RSVD_0</t>
  </si>
  <si>
    <t xml:space="preserve">U2D1.3054, </t>
  </si>
  <si>
    <t>TP_CPU1_KTI2_DFX_DN</t>
  </si>
  <si>
    <t xml:space="preserve">U2D1.1912, </t>
  </si>
  <si>
    <t>TP_CPU1_KTI2_AMONV</t>
  </si>
  <si>
    <t xml:space="preserve">U2D1.1712, </t>
  </si>
  <si>
    <t>TP_CPU0_RSVD_9</t>
  </si>
  <si>
    <t xml:space="preserve">U5D1.3003, </t>
  </si>
  <si>
    <t>TP_CPU0_RSVD_8</t>
  </si>
  <si>
    <t xml:space="preserve">U5D1.3008, </t>
  </si>
  <si>
    <t>TP_CPU0_RSVD_73</t>
  </si>
  <si>
    <t xml:space="preserve">U5D1.1746, </t>
  </si>
  <si>
    <t>TP_CPU0_RSVD_72</t>
  </si>
  <si>
    <t xml:space="preserve">U5D1.1784, </t>
  </si>
  <si>
    <t>TP_CPU0_RSVD_70</t>
  </si>
  <si>
    <t xml:space="preserve">U5D1.1813, </t>
  </si>
  <si>
    <t>TP_CPU0_RSVD_7</t>
  </si>
  <si>
    <t xml:space="preserve">U5D1.3019, </t>
  </si>
  <si>
    <t>TP_CPU0_RSVD_67</t>
  </si>
  <si>
    <t xml:space="preserve">U5D1.1854, </t>
  </si>
  <si>
    <t>TP_CPU0_RSVD_66</t>
  </si>
  <si>
    <t xml:space="preserve">U5D1.1855, </t>
  </si>
  <si>
    <t>TP_CPU0_RSVD_61</t>
  </si>
  <si>
    <t xml:space="preserve">U5D1.1932, </t>
  </si>
  <si>
    <t>TP_CPU0_RSVD_60</t>
  </si>
  <si>
    <t xml:space="preserve">U5D1.1933, </t>
  </si>
  <si>
    <t>TP_CPU0_RSVD_6</t>
  </si>
  <si>
    <t xml:space="preserve">U5D1.3026, </t>
  </si>
  <si>
    <t>TP_CPU0_RSVD_59</t>
  </si>
  <si>
    <t xml:space="preserve">U5D1.1953, </t>
  </si>
  <si>
    <t>TP_CPU0_RSVD_57</t>
  </si>
  <si>
    <t xml:space="preserve">U5D1.1962, </t>
  </si>
  <si>
    <t>TP_CPU0_RSVD_56</t>
  </si>
  <si>
    <t xml:space="preserve">U5D1.1969, </t>
  </si>
  <si>
    <t>TP_CPU0_RSVD_55</t>
  </si>
  <si>
    <t xml:space="preserve">U5D1.1971, </t>
  </si>
  <si>
    <t>TP_CPU0_RSVD_54</t>
  </si>
  <si>
    <t xml:space="preserve">U5D1.1974, </t>
  </si>
  <si>
    <t>TP_CPU0_RSVD_53</t>
  </si>
  <si>
    <t xml:space="preserve">U5D1.1980, </t>
  </si>
  <si>
    <t>TP_CPU0_RSVD_51</t>
  </si>
  <si>
    <t xml:space="preserve">U5D1.2041, </t>
  </si>
  <si>
    <t>TP_CPU0_RSVD_50</t>
  </si>
  <si>
    <t xml:space="preserve">U5D1.2047, </t>
  </si>
  <si>
    <t>TP_CPU0_RSVD_5</t>
  </si>
  <si>
    <t xml:space="preserve">U5D1.3036, </t>
  </si>
  <si>
    <t>TP_CPU0_RSVD_49</t>
  </si>
  <si>
    <t xml:space="preserve">U5D1.2048, </t>
  </si>
  <si>
    <t>TP_CPU0_RSVD_48</t>
  </si>
  <si>
    <t xml:space="preserve">U5D1.2049, </t>
  </si>
  <si>
    <t>TP_CPU0_RSVD_47</t>
  </si>
  <si>
    <t xml:space="preserve">U5D1.2129, </t>
  </si>
  <si>
    <t>TP_CPU0_RSVD_46</t>
  </si>
  <si>
    <t xml:space="preserve">U5D1.2132, </t>
  </si>
  <si>
    <t>TP_CPU0_RSVD_45</t>
  </si>
  <si>
    <t xml:space="preserve">U5D1.2173, </t>
  </si>
  <si>
    <t>TP_CPU0_RSVD_44</t>
  </si>
  <si>
    <t xml:space="preserve">U5D1.2290, </t>
  </si>
  <si>
    <t>TP_CPU0_RSVD_43</t>
  </si>
  <si>
    <t xml:space="preserve">U5D1.2306, </t>
  </si>
  <si>
    <t>TP_CPU0_RSVD_42</t>
  </si>
  <si>
    <t xml:space="preserve">U5D1.2346, </t>
  </si>
  <si>
    <t>TP_CPU0_RSVD_41</t>
  </si>
  <si>
    <t xml:space="preserve">U5D1.2373, </t>
  </si>
  <si>
    <t>TP_CPU0_RSVD_40</t>
  </si>
  <si>
    <t xml:space="preserve">U5D1.2390, </t>
  </si>
  <si>
    <t>TP_CPU0_RSVD_4</t>
  </si>
  <si>
    <t xml:space="preserve">U5D1.3037, </t>
  </si>
  <si>
    <t>TP_CPU0_RSVD_39</t>
  </si>
  <si>
    <t xml:space="preserve">U5D1.2403, </t>
  </si>
  <si>
    <t>TP_CPU0_RSVD_38</t>
  </si>
  <si>
    <t xml:space="preserve">U5D1.2415, </t>
  </si>
  <si>
    <t>TP_CPU0_RSVD_37</t>
  </si>
  <si>
    <t xml:space="preserve">U5D1.2429, </t>
  </si>
  <si>
    <t>TP_CPU0_RSVD_36</t>
  </si>
  <si>
    <t xml:space="preserve">U5D1.2430, </t>
  </si>
  <si>
    <t>TP_CPU0_RSVD_35</t>
  </si>
  <si>
    <t xml:space="preserve">U5D1.2457, </t>
  </si>
  <si>
    <t>TP_CPU0_RSVD_34</t>
  </si>
  <si>
    <t xml:space="preserve">U5D1.2473, </t>
  </si>
  <si>
    <t>TP_CPU0_RSVD_33</t>
  </si>
  <si>
    <t xml:space="preserve">U5D1.30, </t>
  </si>
  <si>
    <t>TP_CPU0_RSVD_32</t>
  </si>
  <si>
    <t xml:space="preserve">U5D1.2513, </t>
  </si>
  <si>
    <t>TP_CPU0_RSVD_31</t>
  </si>
  <si>
    <t xml:space="preserve">U5D1.2515, </t>
  </si>
  <si>
    <t>TP_CPU0_RSVD_30</t>
  </si>
  <si>
    <t xml:space="preserve">U5D1.2529, </t>
  </si>
  <si>
    <t>TP_CPU0_RSVD_3</t>
  </si>
  <si>
    <t xml:space="preserve">U5D1.3039, </t>
  </si>
  <si>
    <t>TP_CPU0_RSVD_29</t>
  </si>
  <si>
    <t xml:space="preserve">U5D1.2554, </t>
  </si>
  <si>
    <t>TP_CPU0_RSVD_28</t>
  </si>
  <si>
    <t xml:space="preserve">U5D1.2586, </t>
  </si>
  <si>
    <t>TP_CPU0_RSVD_27</t>
  </si>
  <si>
    <t xml:space="preserve">U5D1.2641, </t>
  </si>
  <si>
    <t>TP_CPU0_RSVD_26</t>
  </si>
  <si>
    <t xml:space="preserve">U5D1.2669, </t>
  </si>
  <si>
    <t>TP_CPU0_RSVD_25</t>
  </si>
  <si>
    <t xml:space="preserve">U5D1.2718, </t>
  </si>
  <si>
    <t>TP_CPU0_RSVD_24</t>
  </si>
  <si>
    <t xml:space="preserve">U5D1.2724, </t>
  </si>
  <si>
    <t>TP_CPU0_RSVD_23</t>
  </si>
  <si>
    <t xml:space="preserve">U5D1.2752, </t>
  </si>
  <si>
    <t>TP_CPU0_RSVD_22</t>
  </si>
  <si>
    <t xml:space="preserve">U5D1.2753, </t>
  </si>
  <si>
    <t>TP_CPU0_RSVD_2</t>
  </si>
  <si>
    <t xml:space="preserve">U5D1.3051, </t>
  </si>
  <si>
    <t>TP_CPU0_RSVD_19</t>
  </si>
  <si>
    <t xml:space="preserve">U5D1.2873, </t>
  </si>
  <si>
    <t>TP_CPU0_RSVD_16</t>
  </si>
  <si>
    <t xml:space="preserve">U5D1.2933, </t>
  </si>
  <si>
    <t>TP_CPU0_RSVD_15</t>
  </si>
  <si>
    <t xml:space="preserve">U5D1.2938, </t>
  </si>
  <si>
    <t>TP_CPU0_RSVD_13</t>
  </si>
  <si>
    <t xml:space="preserve">U5D1.2951, </t>
  </si>
  <si>
    <t>TP_CPU0_RSVD_12</t>
  </si>
  <si>
    <t xml:space="preserve">U5D1.2970, </t>
  </si>
  <si>
    <t>TP_CPU0_RSVD_11</t>
  </si>
  <si>
    <t xml:space="preserve">U5D1.2984, </t>
  </si>
  <si>
    <t>TP_CPU0_RSVD_10</t>
  </si>
  <si>
    <t xml:space="preserve">U5D1.2987, </t>
  </si>
  <si>
    <t>TP_CPU0_RSVD_1</t>
  </si>
  <si>
    <t xml:space="preserve">U5D1.3053, </t>
  </si>
  <si>
    <t>TP_CPU0_RSVD_0</t>
  </si>
  <si>
    <t xml:space="preserve">U5D1.3054, </t>
  </si>
  <si>
    <t>TP_CPU0_KTI2_DFX_DN</t>
  </si>
  <si>
    <t xml:space="preserve">U5D1.1912, </t>
  </si>
  <si>
    <t>TP_CPU0_KTI2_AMONV</t>
  </si>
  <si>
    <t xml:space="preserve">U5D1.1712, </t>
  </si>
  <si>
    <t>TP_CPU1_RSVD_60</t>
  </si>
  <si>
    <t xml:space="preserve">U2D1.1933, </t>
  </si>
  <si>
    <t>TP_CPU1_RSVD_59</t>
  </si>
  <si>
    <t xml:space="preserve">U2D1.1953, </t>
  </si>
  <si>
    <t>TP_CPU1_RSVD_57</t>
  </si>
  <si>
    <t xml:space="preserve">U2D1.1962, </t>
  </si>
  <si>
    <t>TP_CPU1_RSVD_56</t>
  </si>
  <si>
    <t xml:space="preserve">U2D1.1969, </t>
  </si>
  <si>
    <t>TP_CPU1_RSVD_55</t>
  </si>
  <si>
    <t xml:space="preserve">U2D1.1971, </t>
  </si>
  <si>
    <t>TP_CPU1_RSVD_54</t>
  </si>
  <si>
    <t xml:space="preserve">U2D1.1974, </t>
  </si>
  <si>
    <t>TP_CPU1_RSVD_53</t>
  </si>
  <si>
    <t xml:space="preserve">U2D1.1980, </t>
  </si>
  <si>
    <t>TP_CPU1_RSVD_51</t>
  </si>
  <si>
    <t xml:space="preserve">U2D1.2041, </t>
  </si>
  <si>
    <t>TP_CPU1_RSVD_50</t>
  </si>
  <si>
    <t xml:space="preserve">U2D1.2047, </t>
  </si>
  <si>
    <t>TP_CPU1_RSVD_49</t>
  </si>
  <si>
    <t xml:space="preserve">U2D1.2048, </t>
  </si>
  <si>
    <t>TP_CPU1_RSVD_48</t>
  </si>
  <si>
    <t xml:space="preserve">U2D1.2049, </t>
  </si>
  <si>
    <t>TP_CPU1_RSVD_47</t>
  </si>
  <si>
    <t xml:space="preserve">U2D1.2129, </t>
  </si>
  <si>
    <t>TP_PVCCIN_CPU1_FAULT1_20</t>
  </si>
  <si>
    <t xml:space="preserve">EU1C2.40, </t>
  </si>
  <si>
    <t>TP_CPU1_RSVD_199</t>
  </si>
  <si>
    <t xml:space="preserve">U2D1.595, </t>
  </si>
  <si>
    <t>TP_CPU1_RSVD_198</t>
  </si>
  <si>
    <t xml:space="preserve">U2D1.596, </t>
  </si>
  <si>
    <t>TP_CPU1_RSVD_194</t>
  </si>
  <si>
    <t xml:space="preserve">U2D1.624, </t>
  </si>
  <si>
    <t>TP_PVCCIN_CPU1_AISEN6</t>
  </si>
  <si>
    <t xml:space="preserve">EU1C2.34, </t>
  </si>
  <si>
    <t>TP_PVCCIN_CPU0_AISEN6</t>
  </si>
  <si>
    <t xml:space="preserve">EU4D4.34, </t>
  </si>
  <si>
    <t>TP_FET_Q56_3</t>
  </si>
  <si>
    <t xml:space="preserve">Q1L4.3, </t>
  </si>
  <si>
    <t>TP_PCH_GPP_F12</t>
  </si>
  <si>
    <t xml:space="preserve">U7C1.1015, </t>
  </si>
  <si>
    <t>TP_USB3_P03_TXP</t>
  </si>
  <si>
    <t xml:space="preserve">U7C1.2504, </t>
  </si>
  <si>
    <t>TP_USB3_P03_TXN</t>
  </si>
  <si>
    <t xml:space="preserve">U7C1.2430, </t>
  </si>
  <si>
    <t>TP_USB3_P02_TXP</t>
  </si>
  <si>
    <t xml:space="preserve">U7C1.2216, </t>
  </si>
  <si>
    <t>TP_USB3_P02_TXN</t>
  </si>
  <si>
    <t xml:space="preserve">U7C1.2360, </t>
  </si>
  <si>
    <t>TP_SLG55021_P3V3_8</t>
  </si>
  <si>
    <t xml:space="preserve">EU2T1.8, </t>
  </si>
  <si>
    <t>TP_PVNN_PCH_RESET_N</t>
  </si>
  <si>
    <t xml:space="preserve">EU8A1.8, </t>
  </si>
  <si>
    <t>TP_PVCCIO_CPU1_RESET_N</t>
  </si>
  <si>
    <t xml:space="preserve">EU4D5.8, </t>
  </si>
  <si>
    <t>TP_PVCCIN_CPU1_AIREF6</t>
  </si>
  <si>
    <t xml:space="preserve">EU1C2.33, </t>
  </si>
  <si>
    <t>TP_PVCCIN_CPU0_AIREF6</t>
  </si>
  <si>
    <t xml:space="preserve">EU4D4.33, </t>
  </si>
  <si>
    <t>NC_PVDDQ_KLM_DNC1</t>
  </si>
  <si>
    <t xml:space="preserve">EU1B1.28, </t>
  </si>
  <si>
    <t>TP_CPU0_RSVD_255</t>
  </si>
  <si>
    <t xml:space="preserve">U5D1.805, </t>
  </si>
  <si>
    <t>TP_PM_SYNC_GTL</t>
  </si>
  <si>
    <t xml:space="preserve">U7C1.4183, </t>
  </si>
  <si>
    <t>TP_CPU1_DMI_RX_DP3</t>
  </si>
  <si>
    <t xml:space="preserve">U2D1.1869, </t>
  </si>
  <si>
    <t>TP_CPU1_DMI_RX_DP2</t>
  </si>
  <si>
    <t xml:space="preserve">U2D1.1737, </t>
  </si>
  <si>
    <t>TP_CPU1_DMI_RX_DP1</t>
  </si>
  <si>
    <t xml:space="preserve">U2D1.1706, </t>
  </si>
  <si>
    <t>TP_CPU1_DMI_RX_DP0</t>
  </si>
  <si>
    <t xml:space="preserve">U2D1.1646, </t>
  </si>
  <si>
    <t>TP_CPU1_DMI_RX_DN3</t>
  </si>
  <si>
    <t xml:space="preserve">U2D1.1798, </t>
  </si>
  <si>
    <t>TP_CPU1_DMI_RX_DN2</t>
  </si>
  <si>
    <t xml:space="preserve">U2D1.1767, </t>
  </si>
  <si>
    <t>TP_CPU1_DMI_RX_DN1</t>
  </si>
  <si>
    <t xml:space="preserve">U2D1.1677, </t>
  </si>
  <si>
    <t>TP_CPU1_DMI_RX_DN0</t>
  </si>
  <si>
    <t xml:space="preserve">U2D1.1645, </t>
  </si>
  <si>
    <t>TP_HFI_IO_CONN0_RSVD_17</t>
  </si>
  <si>
    <t xml:space="preserve">J8B1.17, </t>
  </si>
  <si>
    <t>TP_XDP_OBSDATA_A3</t>
  </si>
  <si>
    <t xml:space="preserve">J9A3.17, </t>
  </si>
  <si>
    <t>TP_XDP_OBSDATA_A2</t>
  </si>
  <si>
    <t xml:space="preserve">J9A3.15, </t>
  </si>
  <si>
    <t>TP_XDP_OBSDATA_A1</t>
  </si>
  <si>
    <t xml:space="preserve">J9A3.11, </t>
  </si>
  <si>
    <t>TP_USB_ESD_OUT2</t>
  </si>
  <si>
    <t xml:space="preserve">CR1M2.7, </t>
  </si>
  <si>
    <t>TP_XDP_CPU1_OBSDATA_B3_MBP5_N</t>
  </si>
  <si>
    <t xml:space="preserve">U2D1.3606, </t>
  </si>
  <si>
    <t>TP_XDP_CPU1_OBSDATA_B2_MBP4_N</t>
  </si>
  <si>
    <t xml:space="preserve">U2D1.102, </t>
  </si>
  <si>
    <t>TP_XDP_CPU1_OBSDATA_B1_MBP3_N</t>
  </si>
  <si>
    <t xml:space="preserve">U2D1.314, </t>
  </si>
  <si>
    <t>TP_XDP_CPU1_OBSDATA_B0_MBP2_N</t>
  </si>
  <si>
    <t xml:space="preserve">U2D1.356, </t>
  </si>
  <si>
    <t>TP_XDP_CPU0_OBSDATA_A1_MBP3_N</t>
  </si>
  <si>
    <t xml:space="preserve">U5D1.314, </t>
  </si>
  <si>
    <t>TP_XDP_CPU0_OBSDATA_A0_MBP2_N</t>
  </si>
  <si>
    <t xml:space="preserve">U5D1.356, </t>
  </si>
  <si>
    <t>TP_P3E_CPU1_PE1_MP_TXP&lt;5&gt;</t>
  </si>
  <si>
    <t xml:space="preserve">U2D1.2328, </t>
  </si>
  <si>
    <t>TP_P3E_CPU1_PE1_MP_TXP&lt;3&gt;</t>
  </si>
  <si>
    <t xml:space="preserve">U2D1.2125, </t>
  </si>
  <si>
    <t>TP_P3E_CPU1_PE1_MP_TXP&lt;1&gt;</t>
  </si>
  <si>
    <t xml:space="preserve">U2D1.2067, </t>
  </si>
  <si>
    <t>TP_P3E_CPU1_PE1_MP_TXP&lt;0&gt;</t>
  </si>
  <si>
    <t xml:space="preserve">U2D1.1910, </t>
  </si>
  <si>
    <t>TP_P3E_CPU1_PE1_MP_TXN&lt;7&gt;</t>
  </si>
  <si>
    <t xml:space="preserve">U2D1.2500, </t>
  </si>
  <si>
    <t>TP_P3E_CPU1_PE1_MP_TXN&lt;6&gt;</t>
  </si>
  <si>
    <t xml:space="preserve">U2D1.11, </t>
  </si>
  <si>
    <t>TP_P3E_CPU1_PE1_MP_TXN&lt;4&gt;</t>
  </si>
  <si>
    <t xml:space="preserve">U2D1.2292, </t>
  </si>
  <si>
    <t>TP_P3E_CPU1_PE1_MP_TXN&lt;3&gt;</t>
  </si>
  <si>
    <t xml:space="preserve">U2D1.2209, </t>
  </si>
  <si>
    <t>TP_P3E_CPU1_PE1_MP_TXN&lt;2&gt;</t>
  </si>
  <si>
    <t xml:space="preserve">U2D1.2198, </t>
  </si>
  <si>
    <t>TP_P3E_CPU1_PE1_MP_RXP&lt;7&gt;</t>
  </si>
  <si>
    <t xml:space="preserve">U2D1.2442, </t>
  </si>
  <si>
    <t>TP_P3E_CPU1_PE1_MP_RXP&lt;6&gt;</t>
  </si>
  <si>
    <t xml:space="preserve">U2D1.2397, </t>
  </si>
  <si>
    <t>TP_P3E_CPU1_PE1_MP_RXP&lt;5&gt;</t>
  </si>
  <si>
    <t xml:space="preserve">U2D1.2275, </t>
  </si>
  <si>
    <t>TP_P3E_CPU1_PE1_MP_RXP&lt;4&gt;</t>
  </si>
  <si>
    <t xml:space="preserve">U2D1.2192, </t>
  </si>
  <si>
    <t>TP_P3E_CPU1_PE1_MP_RXP&lt;3&gt;</t>
  </si>
  <si>
    <t xml:space="preserve">U2D1.2024, </t>
  </si>
  <si>
    <t>TP_P3E_CPU1_PE1_MP_RXP&lt;2&gt;</t>
  </si>
  <si>
    <t xml:space="preserve">U2D1.2108, </t>
  </si>
  <si>
    <t>TP_P3E_CPU1_PE1_MP_RXP&lt;1&gt;</t>
  </si>
  <si>
    <t xml:space="preserve">U2D1.1978, </t>
  </si>
  <si>
    <t>TP_P3E_CPU1_PE1_MP_RXP&lt;0&gt;</t>
  </si>
  <si>
    <t xml:space="preserve">U2D1.1863, </t>
  </si>
  <si>
    <t>TP_P3E_CPU1_PE1_MP_RXN&lt;7&gt;</t>
  </si>
  <si>
    <t xml:space="preserve">U2D1.41, </t>
  </si>
  <si>
    <t>TP_P3E_CPU1_PE1_MP_RXN&lt;6&gt;</t>
  </si>
  <si>
    <t xml:space="preserve">U2D1.2441, </t>
  </si>
  <si>
    <t>TP_P3E_CPU1_PE1_MP_RXN&lt;5&gt;</t>
  </si>
  <si>
    <t xml:space="preserve">U2D1.2358, </t>
  </si>
  <si>
    <t>TP_P3E_CPU1_PE1_MP_RXN&lt;4&gt;</t>
  </si>
  <si>
    <t xml:space="preserve">U2D1.2193, </t>
  </si>
  <si>
    <t>TP_P3E_CPU1_PE1_MP_RXN&lt;3&gt;</t>
  </si>
  <si>
    <t xml:space="preserve">U2D1.2109, </t>
  </si>
  <si>
    <t>TP_P3E_CPU1_PE1_MP_RXN&lt;2&gt;</t>
  </si>
  <si>
    <t xml:space="preserve">U2D1.2147, </t>
  </si>
  <si>
    <t>TP_P3E_CPU1_PE1_MP_RXN&lt;1&gt;</t>
  </si>
  <si>
    <t xml:space="preserve">U2D1.2062, </t>
  </si>
  <si>
    <t>TP_P3E_CPU1_PE1_MP_RXN&lt;0&gt;</t>
  </si>
  <si>
    <t xml:space="preserve">U2D1.1941, </t>
  </si>
  <si>
    <t>TP_CPU1_SOCKET_ID_2</t>
  </si>
  <si>
    <t xml:space="preserve">U2D1.704, </t>
  </si>
  <si>
    <t>TP_CPU0_SOCKET_ID_2</t>
  </si>
  <si>
    <t xml:space="preserve">U5D1.704, </t>
  </si>
  <si>
    <t>TP_CPU0_PROCDIS_G_N</t>
  </si>
  <si>
    <t xml:space="preserve">U5D1.147, </t>
  </si>
  <si>
    <t>TP_PCH_RSVD25</t>
  </si>
  <si>
    <t xml:space="preserve">U7C1.3936, </t>
  </si>
  <si>
    <t>TP_PCH_RSVD24</t>
  </si>
  <si>
    <t xml:space="preserve">U7C1.3932, </t>
  </si>
  <si>
    <t>TP_CPLD1_PB16B_PCLKC2_1</t>
  </si>
  <si>
    <t xml:space="preserve">U8D7.217, </t>
  </si>
  <si>
    <t>TP_CPLD1_PL7D_PCLKT4_0</t>
  </si>
  <si>
    <t xml:space="preserve">U8D7.131, </t>
  </si>
  <si>
    <t>TP_CPLD1_PT22D</t>
  </si>
  <si>
    <t xml:space="preserve">U8D7.14, </t>
  </si>
  <si>
    <t>TP_CPLD1_PR7A_PCLKT1_0</t>
  </si>
  <si>
    <t xml:space="preserve">U8D7.126, </t>
  </si>
  <si>
    <t>TP_CPU1_RSVD_183</t>
  </si>
  <si>
    <t xml:space="preserve">U2D1.775, </t>
  </si>
  <si>
    <t>TP_CPU1_RSVD_181</t>
  </si>
  <si>
    <t xml:space="preserve">U2D1.796, </t>
  </si>
  <si>
    <t>TP_CPU1_RSVD_180</t>
  </si>
  <si>
    <t xml:space="preserve">U2D1.801, </t>
  </si>
  <si>
    <t>TP_CPU1_RSVD_177</t>
  </si>
  <si>
    <t xml:space="preserve">U2D1.844, </t>
  </si>
  <si>
    <t>TP_CPU1_RSVD_176</t>
  </si>
  <si>
    <t xml:space="preserve">U2D1.845, </t>
  </si>
  <si>
    <t>TP_CPU0_RSVD_177</t>
  </si>
  <si>
    <t xml:space="preserve">U5D1.844, </t>
  </si>
  <si>
    <t>TP_CPU0_RSVD_280</t>
  </si>
  <si>
    <t xml:space="preserve">U5D1.2854, </t>
  </si>
  <si>
    <t>TP_CPU0_RSVD_179</t>
  </si>
  <si>
    <t xml:space="preserve">U5D1.802, </t>
  </si>
  <si>
    <t>TP_PVNN_PCH_SVID_ALERT</t>
  </si>
  <si>
    <t xml:space="preserve">EU8A1.17, </t>
  </si>
  <si>
    <t>TP_SPI_1_4</t>
  </si>
  <si>
    <t xml:space="preserve">U3T1.6, </t>
  </si>
  <si>
    <t>TP_SPI_1_5</t>
  </si>
  <si>
    <t xml:space="preserve">U3T1.5, </t>
  </si>
  <si>
    <t>TP_SPI_1_6</t>
  </si>
  <si>
    <t xml:space="preserve">U3T1.4, </t>
  </si>
  <si>
    <t>TP_PVCCIO_CPU0_BVSEN</t>
  </si>
  <si>
    <t xml:space="preserve">EU3P1.29, </t>
  </si>
  <si>
    <t>TP_PVCCIO_CPU0_BVREF</t>
  </si>
  <si>
    <t xml:space="preserve">EU3P1.30, </t>
  </si>
  <si>
    <t>TP_PVCCIO_CPU0_BIREF1</t>
  </si>
  <si>
    <t xml:space="preserve">EU3P1.25, </t>
  </si>
  <si>
    <t>TP_PVDDQ_KLM_PH3_IMON_REF</t>
  </si>
  <si>
    <t xml:space="preserve">EU1B1.25, </t>
  </si>
  <si>
    <t>TP_PVDDQ_KLM_PH3_IMON</t>
  </si>
  <si>
    <t xml:space="preserve">EU1B1.26, </t>
  </si>
  <si>
    <t>TP_PVDDQ_DEF_PWM3</t>
  </si>
  <si>
    <t xml:space="preserve">EU7A5.3, </t>
  </si>
  <si>
    <t>TP_PVDDQ_DEF_PH3_IMON_REF</t>
  </si>
  <si>
    <t xml:space="preserve">EU7A5.25, </t>
  </si>
  <si>
    <t>TP_PVDDQ_KLM_BVSEN</t>
  </si>
  <si>
    <t xml:space="preserve">EU1B1.29, </t>
  </si>
  <si>
    <t>TP_PVDDQ_KLM_BVREF</t>
  </si>
  <si>
    <t xml:space="preserve">EU1B1.30, </t>
  </si>
  <si>
    <t>TP_PVDDQ_KLM_BREF1</t>
  </si>
  <si>
    <t xml:space="preserve">EU1B1.31, </t>
  </si>
  <si>
    <t>TP_PVDDQ_GHJ_BREF1</t>
  </si>
  <si>
    <t xml:space="preserve">EU1G2.31, </t>
  </si>
  <si>
    <t>TP_PVDDQ_DEF_BVSEN</t>
  </si>
  <si>
    <t xml:space="preserve">EU7A5.29, </t>
  </si>
  <si>
    <t>TP_PVDDQ_ABC_BVSEN</t>
  </si>
  <si>
    <t xml:space="preserve">EU7G1.29, </t>
  </si>
  <si>
    <t>TP_PVDDQ_ABC_BVREF</t>
  </si>
  <si>
    <t xml:space="preserve">EU7G1.30, </t>
  </si>
  <si>
    <t>TP_PVDDQ_ABC_BTSEN</t>
  </si>
  <si>
    <t xml:space="preserve">EU7G1.34, </t>
  </si>
  <si>
    <t>TP_PVDDQ_ABC_BREF1</t>
  </si>
  <si>
    <t xml:space="preserve">EU7G1.31, </t>
  </si>
  <si>
    <t>TP_PVDDQ_ABC_PINALRT_N</t>
  </si>
  <si>
    <t xml:space="preserve">EU7G1.12, </t>
  </si>
  <si>
    <t>TP_SMB_DDR_KLM_EN</t>
  </si>
  <si>
    <t xml:space="preserve">U3B1.5, </t>
  </si>
  <si>
    <t>TP_SMB_DDR_DEF_EN</t>
  </si>
  <si>
    <t xml:space="preserve">U7E1.5, </t>
  </si>
  <si>
    <t>TP_PCH_RSVD23</t>
  </si>
  <si>
    <t xml:space="preserve">U7C1.3928, </t>
  </si>
  <si>
    <t>TP_10GBE_KR1_MON_DN</t>
  </si>
  <si>
    <t xml:space="preserve">U7C1.2337, </t>
  </si>
  <si>
    <t>TP_PCH_RSVD42</t>
  </si>
  <si>
    <t xml:space="preserve">U7C1.2056, </t>
  </si>
  <si>
    <t>TP_PCH_RSVD41</t>
  </si>
  <si>
    <t xml:space="preserve">U7C1.2200, </t>
  </si>
  <si>
    <t>TP_PCH_RSVD3</t>
  </si>
  <si>
    <t xml:space="preserve">U7C1.4187, </t>
  </si>
  <si>
    <t>TP_10GBE_KR0_MON_DN</t>
  </si>
  <si>
    <t xml:space="preserve">U7C1.2330, </t>
  </si>
  <si>
    <t>TP_PCH_RSVD37</t>
  </si>
  <si>
    <t xml:space="preserve">U7C1.2477, </t>
  </si>
  <si>
    <t>TP_PCH_RSVD26</t>
  </si>
  <si>
    <t xml:space="preserve">U7C1.2112, </t>
  </si>
  <si>
    <t>TP_PCH_RSVD2</t>
  </si>
  <si>
    <t xml:space="preserve">U7C1.130, </t>
  </si>
  <si>
    <t>TP_PCH_RSVD1</t>
  </si>
  <si>
    <t xml:space="preserve">U7C1.272, </t>
  </si>
  <si>
    <t>TP_PCH_RSVD0</t>
  </si>
  <si>
    <t xml:space="preserve">U7C1.493, </t>
  </si>
  <si>
    <t>TP_PCH_HDA_SYNC</t>
  </si>
  <si>
    <t xml:space="preserve">U7C1.3476, </t>
  </si>
  <si>
    <t>TP_PCH_HDA_SDI_0</t>
  </si>
  <si>
    <t xml:space="preserve">U7C1.3620, </t>
  </si>
  <si>
    <t>TP_PCH_RSVD45</t>
  </si>
  <si>
    <t xml:space="preserve">U7C1.3910, </t>
  </si>
  <si>
    <t>TP_PCH_HDA_BCLK</t>
  </si>
  <si>
    <t xml:space="preserve">U7C1.3906, </t>
  </si>
  <si>
    <t>TP_PCH_HSA_RST_N</t>
  </si>
  <si>
    <t xml:space="preserve">U7C1.3762, </t>
  </si>
  <si>
    <t>TP_PCH_RSVD5</t>
  </si>
  <si>
    <t xml:space="preserve">U7C1.519, </t>
  </si>
  <si>
    <t>TP_PCH_DISPA_SDO</t>
  </si>
  <si>
    <t xml:space="preserve">U7C1.4198, </t>
  </si>
  <si>
    <t>TP_PCH_DISPA_SDI</t>
  </si>
  <si>
    <t xml:space="preserve">U7C1.3980, </t>
  </si>
  <si>
    <t>TP_PCH_DISPA_BCLK</t>
  </si>
  <si>
    <t xml:space="preserve">U7C1.4124, </t>
  </si>
  <si>
    <t>TP_P3E_CPU1_PE2_RSR_TXP&lt;8&gt;</t>
  </si>
  <si>
    <t xml:space="preserve">U2D1.1467, </t>
  </si>
  <si>
    <t>TP_P3E_CPU1_PE2_RSR_TXP&lt;7&gt;</t>
  </si>
  <si>
    <t xml:space="preserve">U2D1.1494, </t>
  </si>
  <si>
    <t>TP_P3E_CPU1_PE2_RSR_TXP&lt;6&gt;</t>
  </si>
  <si>
    <t xml:space="preserve">U2D1.1489, </t>
  </si>
  <si>
    <t>TP_P3E_CPU1_PE2_RSR_TXP&lt;5&gt;</t>
  </si>
  <si>
    <t xml:space="preserve">U2D1.1628, </t>
  </si>
  <si>
    <t>TP_P3E_CPU1_PE2_RSR_TXP&lt;4&gt;</t>
  </si>
  <si>
    <t xml:space="preserve">U2D1.1617, </t>
  </si>
  <si>
    <t>TP_P3E_CPU1_PE2_RSR_TXP&lt;3&gt;</t>
  </si>
  <si>
    <t xml:space="preserve">U2D1.1745, </t>
  </si>
  <si>
    <t>TP_P3E_CPU1_PE2_RSR_TXP&lt;1&gt;</t>
  </si>
  <si>
    <t xml:space="preserve">U2D1.1836, </t>
  </si>
  <si>
    <t>TP_P3E_CPU1_PE2_RSR_TXP&lt;15&gt;</t>
  </si>
  <si>
    <t xml:space="preserve">U2D1.1082, </t>
  </si>
  <si>
    <t>TP_P3E_CPU1_PE2_RSR_TXP&lt;14&gt;</t>
  </si>
  <si>
    <t xml:space="preserve">U2D1.1131, </t>
  </si>
  <si>
    <t>TP_P3E_CPU1_PE2_RSR_TXP&lt;13&gt;</t>
  </si>
  <si>
    <t xml:space="preserve">U2D1.1156, </t>
  </si>
  <si>
    <t>TP_P3E_CPU1_PE2_RSR_TXP&lt;12&gt;</t>
  </si>
  <si>
    <t xml:space="preserve">U2D1.1206, </t>
  </si>
  <si>
    <t>TP_P3E_CPU1_PE2_RSR_TXP&lt;11&gt;</t>
  </si>
  <si>
    <t xml:space="preserve">U2D1.1281, </t>
  </si>
  <si>
    <t>TP_P3E_CPU1_PE2_RSR_TXP&lt;10&gt;</t>
  </si>
  <si>
    <t xml:space="preserve">U2D1.1332, </t>
  </si>
  <si>
    <t>TP_P3E_CPU1_PE2_RSR_TXP&lt;0&gt;</t>
  </si>
  <si>
    <t xml:space="preserve">U2D1.1921, </t>
  </si>
  <si>
    <t>TP_P3E_CPU1_PE2_RSR_TXN&lt;9&gt;</t>
  </si>
  <si>
    <t xml:space="preserve">U2D1.1416, </t>
  </si>
  <si>
    <t>TP_P3E_CPU1_PE2_RSR_TXN&lt;8&gt;</t>
  </si>
  <si>
    <t xml:space="preserve">U2D1.1437, </t>
  </si>
  <si>
    <t>TP_P3E_CPU1_PE2_RSR_TXN&lt;7&gt;</t>
  </si>
  <si>
    <t xml:space="preserve">U2D1.1519, </t>
  </si>
  <si>
    <t>TP_P3E_CPU1_PE2_RSR_TXN&lt;5&gt;</t>
  </si>
  <si>
    <t xml:space="preserve">U2D1.1651, </t>
  </si>
  <si>
    <t>TP_P3E_CPU1_PE2_RSR_TXN&lt;4&gt;</t>
  </si>
  <si>
    <t xml:space="preserve">U2D1.1676, </t>
  </si>
  <si>
    <t>TP_P3E_CPU1_PE2_RSR_TXN&lt;3&gt;</t>
  </si>
  <si>
    <t xml:space="preserve">U2D1.1806, </t>
  </si>
  <si>
    <t>TP_P3E_CPU1_PE2_RSR_TXN&lt;1&gt;</t>
  </si>
  <si>
    <t xml:space="preserve">U2D1.1878, </t>
  </si>
  <si>
    <t>TP_P3E_CPU1_PE2_RSR_TXN&lt;15&gt;</t>
  </si>
  <si>
    <t xml:space="preserve">U2D1.1132, </t>
  </si>
  <si>
    <t>TP_P3E_CPU1_PE2_RSR_TXN&lt;14&gt;</t>
  </si>
  <si>
    <t xml:space="preserve">U2D1.1106, </t>
  </si>
  <si>
    <t>TP_P3E_CPU1_PE2_RSR_TXN&lt;13&gt;</t>
  </si>
  <si>
    <t xml:space="preserve">U2D1.1182, </t>
  </si>
  <si>
    <t>TP_P3E_CPU1_PE2_RSR_TXN&lt;12&gt;</t>
  </si>
  <si>
    <t xml:space="preserve">U2D1.1256, </t>
  </si>
  <si>
    <t>TP_P3E_CPU1_PE2_RSR_TXN&lt;11&gt;</t>
  </si>
  <si>
    <t xml:space="preserve">U2D1.1306, </t>
  </si>
  <si>
    <t>TP_P3E_CPU1_PE2_RSR_TXN&lt;10&gt;</t>
  </si>
  <si>
    <t xml:space="preserve">U2D1.1391, </t>
  </si>
  <si>
    <t>TP_P3E_CPU1_PE2_RSR_RXP&lt;9&gt;</t>
  </si>
  <si>
    <t xml:space="preserve">U2D1.1318, </t>
  </si>
  <si>
    <t>TP_P3E_CPU1_PE2_RSR_RXP&lt;8&gt;</t>
  </si>
  <si>
    <t xml:space="preserve">U2D1.1296, </t>
  </si>
  <si>
    <t>TP_P3E_CPU1_PE2_RSR_RXP&lt;7&gt;</t>
  </si>
  <si>
    <t xml:space="preserve">U2D1.1454, </t>
  </si>
  <si>
    <t>TP_P3E_CPU1_PE2_RSR_RXP&lt;6&gt;</t>
  </si>
  <si>
    <t xml:space="preserve">U2D1.1474, </t>
  </si>
  <si>
    <t>TP_P3E_CPU1_PE2_RSR_RXP&lt;5&gt;</t>
  </si>
  <si>
    <t xml:space="preserve">U2D1.1526, </t>
  </si>
  <si>
    <t>TP_P3E_CPU1_PE2_RSR_RXP&lt;4&gt;</t>
  </si>
  <si>
    <t xml:space="preserve">U2D1.1579, </t>
  </si>
  <si>
    <t>TP_P3E_CPU1_PE2_RSR_RXP&lt;3&gt;</t>
  </si>
  <si>
    <t xml:space="preserve">U2D1.1660, </t>
  </si>
  <si>
    <t>TP_P3E_CPU1_PE2_RSR_RXP&lt;2&gt;</t>
  </si>
  <si>
    <t xml:space="preserve">U2D1.1731, </t>
  </si>
  <si>
    <t>TP_P3E_CPU1_PE2_RSR_RXP&lt;1&gt;</t>
  </si>
  <si>
    <t xml:space="preserve">U2D1.1705, </t>
  </si>
  <si>
    <t>TP_P3E_CPU1_PE2_RSR_RXP&lt;15&gt;</t>
  </si>
  <si>
    <t xml:space="preserve">U2D1.1047, </t>
  </si>
  <si>
    <t>TP_P3E_CPU1_PE2_RSR_RXP&lt;14&gt;</t>
  </si>
  <si>
    <t xml:space="preserve">U2D1.1068, </t>
  </si>
  <si>
    <t>TP_P3E_CPU1_PE2_RSR_RXP&lt;13&gt;</t>
  </si>
  <si>
    <t xml:space="preserve">U2D1.1138, </t>
  </si>
  <si>
    <t>TP_P3E_CPU1_PE2_RSR_RXP&lt;12&gt;</t>
  </si>
  <si>
    <t xml:space="preserve">U2D1.1196, </t>
  </si>
  <si>
    <t>TP_P3E_CPU1_PE2_RSR_RXP&lt;11&gt;</t>
  </si>
  <si>
    <t xml:space="preserve">U2D1.1188, </t>
  </si>
  <si>
    <t>TP_P3E_CPU1_PE2_RSR_RXP&lt;10&gt;</t>
  </si>
  <si>
    <t xml:space="preserve">U2D1.1257, </t>
  </si>
  <si>
    <t>TP_P3E_CPU1_PE2_RSR_RXP&lt;0&gt;</t>
  </si>
  <si>
    <t xml:space="preserve">U2D1.1792, </t>
  </si>
  <si>
    <t>TP_P3E_CPU1_PE2_RSR_RXN&lt;9&gt;</t>
  </si>
  <si>
    <t xml:space="preserve">U2D1.1338, </t>
  </si>
  <si>
    <t>TP_P3E_CPU1_PE2_RSR_RXN&lt;8&gt;</t>
  </si>
  <si>
    <t xml:space="preserve">U2D1.1346, </t>
  </si>
  <si>
    <t>TP_P3E_CPU1_PE2_RSR_RXN&lt;7&gt;</t>
  </si>
  <si>
    <t xml:space="preserve">U2D1.1506, </t>
  </si>
  <si>
    <t>TP_P3E_CPU1_PE2_RSR_RXN&lt;6&gt;</t>
  </si>
  <si>
    <t xml:space="preserve">U2D1.1495, </t>
  </si>
  <si>
    <t>TP_P3E_CPU1_PE2_RSR_RXN&lt;5&gt;</t>
  </si>
  <si>
    <t xml:space="preserve">U2D1.1558, </t>
  </si>
  <si>
    <t>TP_P3E_CPU1_PE2_RSR_RXN&lt;4&gt;</t>
  </si>
  <si>
    <t xml:space="preserve">U2D1.1636, </t>
  </si>
  <si>
    <t>TP_P3E_CPU1_PE2_RSR_RXN&lt;3&gt;</t>
  </si>
  <si>
    <t xml:space="preserve">U2D1.1696, </t>
  </si>
  <si>
    <t>TP_P3E_CPU1_PE2_RSR_RXN&lt;2&gt;</t>
  </si>
  <si>
    <t xml:space="preserve">U2D1.1757, </t>
  </si>
  <si>
    <t>TP_P3E_CPU1_PE2_RSR_RXN&lt;1&gt;</t>
  </si>
  <si>
    <t xml:space="preserve">U2D1.1765, </t>
  </si>
  <si>
    <t>TP_P3E_CPU1_PE2_RSR_RXN&lt;15&gt;</t>
  </si>
  <si>
    <t xml:space="preserve">U2D1.1096, </t>
  </si>
  <si>
    <t>TP_P3E_CPU1_PE2_RSR_RXN&lt;14&gt;</t>
  </si>
  <si>
    <t xml:space="preserve">U2D1.1118, </t>
  </si>
  <si>
    <t>TP_P3E_CPU1_PE2_RSR_RXN&lt;13&gt;</t>
  </si>
  <si>
    <t xml:space="preserve">U2D1.1168, </t>
  </si>
  <si>
    <t>TP_P3E_CPU1_PE2_RSR_RXN&lt;12&gt;</t>
  </si>
  <si>
    <t xml:space="preserve">U2D1.1218, </t>
  </si>
  <si>
    <t>TP_P3E_CPU1_PE2_RSR_RXN&lt;11&gt;</t>
  </si>
  <si>
    <t xml:space="preserve">U2D1.1238, </t>
  </si>
  <si>
    <t>TP_P3E_CPU1_PE2_RSR_RXN&lt;10&gt;</t>
  </si>
  <si>
    <t xml:space="preserve">U2D1.1288, </t>
  </si>
  <si>
    <t>TP_P3E_CPU1_PE2_RSR_RXN&lt;0&gt;</t>
  </si>
  <si>
    <t xml:space="preserve">U2D1.1831, </t>
  </si>
  <si>
    <t>TP_P3E_CPU1_PE1_RSR3_TXP&lt;9&gt;</t>
  </si>
  <si>
    <t xml:space="preserve">U2D1.2655, </t>
  </si>
  <si>
    <t>TP_P3E_CPU1_PE1_RSR3_TXP&lt;8&gt;</t>
  </si>
  <si>
    <t xml:space="preserve">U2D1.2583, </t>
  </si>
  <si>
    <t>TP_P3E_CPU1_PE1_RSR3_TXP&lt;13&gt;</t>
  </si>
  <si>
    <t xml:space="preserve">U2D1.2760, </t>
  </si>
  <si>
    <t>TP_P3E_CPU1_PE1_RSR3_TXP&lt;12&gt;</t>
  </si>
  <si>
    <t xml:space="preserve">U2D1.2640, </t>
  </si>
  <si>
    <t>TP_P3E_CPU1_PE1_RSR3_TXN&lt;8&gt;</t>
  </si>
  <si>
    <t xml:space="preserve">U2D1.2629, </t>
  </si>
  <si>
    <t>TP_P3E_CPU1_PE1_RSR3_TXN&lt;13&gt;</t>
  </si>
  <si>
    <t xml:space="preserve">U2D1.2806, </t>
  </si>
  <si>
    <t>TP_P3E_CPU1_PE1_RSR3_TXN&lt;12&gt;</t>
  </si>
  <si>
    <t xml:space="preserve">U2D1.2723, </t>
  </si>
  <si>
    <t>TP_P3E_CPU1_PE1_RSR3_TXN&lt;11&gt;</t>
  </si>
  <si>
    <t xml:space="preserve">U2D1.2677, </t>
  </si>
  <si>
    <t>TP_P3E_CPU1_PE1_RSR3_TXN&lt;10&gt;</t>
  </si>
  <si>
    <t xml:space="preserve">U2D1.2749, </t>
  </si>
  <si>
    <t>TP_P3E_CPU1_PE1_RSR3_RXP&lt;9&gt;</t>
  </si>
  <si>
    <t xml:space="preserve">U2D1.2484, </t>
  </si>
  <si>
    <t>TP_P3E_CPU1_PE1_RSR3_RXP&lt;8&gt;</t>
  </si>
  <si>
    <t xml:space="preserve">U2D1.2401, </t>
  </si>
  <si>
    <t>TP_P3E_CPU1_PE1_RSR3_RXP&lt;15&gt;</t>
  </si>
  <si>
    <t xml:space="preserve">U2D1.2611, </t>
  </si>
  <si>
    <t>TP_P3E_CPU1_PE1_RSR3_RXP&lt;14&gt;</t>
  </si>
  <si>
    <t xml:space="preserve">U2D1.2694, </t>
  </si>
  <si>
    <t>TP_P3E_CPU1_PE1_RSR3_RXP&lt;13&gt;</t>
  </si>
  <si>
    <t xml:space="preserve">U2D1.2776, </t>
  </si>
  <si>
    <t>TP_P3E_CPU1_PE1_RSR3_RXP&lt;12&gt;</t>
  </si>
  <si>
    <t xml:space="preserve">U2D1.2651, </t>
  </si>
  <si>
    <t>TP_P3E_CPU1_PE1_RSR3_RXP&lt;11&gt;</t>
  </si>
  <si>
    <t xml:space="preserve">U2D1.2527, </t>
  </si>
  <si>
    <t>TP_P3E_CPU1_PE1_RSR3_RXP&lt;10&gt;</t>
  </si>
  <si>
    <t xml:space="preserve">U2D1.2568, </t>
  </si>
  <si>
    <t>TP_P3E_CPU1_PE1_RSR3_RXN&lt;9&gt;</t>
  </si>
  <si>
    <t xml:space="preserve">U2D1.2526, </t>
  </si>
  <si>
    <t>TP_P3E_CPU1_PE1_RSR3_RXN&lt;8&gt;</t>
  </si>
  <si>
    <t xml:space="preserve">U2D1.1, </t>
  </si>
  <si>
    <t>TP_P3E_CPU1_PE1_RSR3_RXN&lt;15&gt;</t>
  </si>
  <si>
    <t xml:space="preserve">U2D1.2653, </t>
  </si>
  <si>
    <t>TP_P3E_CPU1_PE1_RSR3_RXN&lt;14&gt;</t>
  </si>
  <si>
    <t xml:space="preserve">U2D1.2777, </t>
  </si>
  <si>
    <t>TP_P3E_CPU1_PE1_RSR3_RXN&lt;13&gt;</t>
  </si>
  <si>
    <t xml:space="preserve">U2D1.2735, </t>
  </si>
  <si>
    <t>TP_P3E_CPU1_PE1_RSR3_RXN&lt;12&gt;</t>
  </si>
  <si>
    <t xml:space="preserve">U2D1.2693, </t>
  </si>
  <si>
    <t>TP_P3E_CPU1_PE1_RSR3_RXN&lt;11&gt;</t>
  </si>
  <si>
    <t xml:space="preserve">U2D1.2610, </t>
  </si>
  <si>
    <t>TP_P3E_CPU1_PE1_RSR3_RXN&lt;10&gt;</t>
  </si>
  <si>
    <t xml:space="preserve">U2D1.2609, </t>
  </si>
  <si>
    <t>TP_CLK_96M_CKMNG_P</t>
  </si>
  <si>
    <t xml:space="preserve">EU8F2.3, </t>
  </si>
  <si>
    <t>TP_CLK_100M_R_DN</t>
  </si>
  <si>
    <t xml:space="preserve">EU8F2.8, </t>
  </si>
  <si>
    <t>TP_SPRV_SDP2</t>
  </si>
  <si>
    <t xml:space="preserve">EU9E1.62, </t>
  </si>
  <si>
    <t>TP_SPRV_SDP1</t>
  </si>
  <si>
    <t xml:space="preserve">EU9E1.61, </t>
  </si>
  <si>
    <t>TP_SPRV_SDP0</t>
  </si>
  <si>
    <t xml:space="preserve">EU9E1.63, </t>
  </si>
  <si>
    <t>TP_PVCCIN_CPU0_GP1</t>
  </si>
  <si>
    <t xml:space="preserve">EU4D4.16, </t>
  </si>
  <si>
    <t>TP_PCH_RSVD36</t>
  </si>
  <si>
    <t xml:space="preserve">U7C1.774, </t>
  </si>
  <si>
    <t>TP_USB_ESD_OUT3</t>
  </si>
  <si>
    <t xml:space="preserve">CR1M2.6, </t>
  </si>
  <si>
    <t>TP_CPU1_RSVD_182</t>
  </si>
  <si>
    <t xml:space="preserve">U2D1.795, </t>
  </si>
  <si>
    <t>TP_CPU1_RSVD_219</t>
  </si>
  <si>
    <t xml:space="preserve">U2D1.496, </t>
  </si>
  <si>
    <t>TP_CPU1_RSVD_226</t>
  </si>
  <si>
    <t xml:space="preserve">U2D1.459, </t>
  </si>
  <si>
    <t>TP_CPU1_RSVD_231</t>
  </si>
  <si>
    <t xml:space="preserve">U2D1.421, </t>
  </si>
  <si>
    <t>TP_CPU1_RSVD_235</t>
  </si>
  <si>
    <t xml:space="preserve">U2D1.380, </t>
  </si>
  <si>
    <t>TP_CPU1_RSVD_236</t>
  </si>
  <si>
    <t xml:space="preserve">U2D1.379, </t>
  </si>
  <si>
    <t>TP_CPU1_RSVD_237</t>
  </si>
  <si>
    <t xml:space="preserve">U2D1.378, </t>
  </si>
  <si>
    <t>TP_CPU1_RSVD_238</t>
  </si>
  <si>
    <t xml:space="preserve">U2D1.377, </t>
  </si>
  <si>
    <t>TP_CPU1_RSVD_239</t>
  </si>
  <si>
    <t xml:space="preserve">U2D1.376, </t>
  </si>
  <si>
    <t>TP_CPU1_RSVD_242</t>
  </si>
  <si>
    <t xml:space="preserve">U2D1.337, </t>
  </si>
  <si>
    <t>TP_CPU1_RSVD_243</t>
  </si>
  <si>
    <t xml:space="preserve">U2D1.336, </t>
  </si>
  <si>
    <t>TP_CPU1_RSVD_244</t>
  </si>
  <si>
    <t xml:space="preserve">U2D1.334, </t>
  </si>
  <si>
    <t>TP_CPU1_RSVD_248</t>
  </si>
  <si>
    <t xml:space="preserve">U2D1.293, </t>
  </si>
  <si>
    <t>TP_CPU1_RSVD_249</t>
  </si>
  <si>
    <t xml:space="preserve">U2D1.292, </t>
  </si>
  <si>
    <t>TP_CPU1_RSVD_250</t>
  </si>
  <si>
    <t xml:space="preserve">U2D1.291, </t>
  </si>
  <si>
    <t>TP_CPU1_RSVD_252</t>
  </si>
  <si>
    <t xml:space="preserve">U2D1.251, </t>
  </si>
  <si>
    <t>TP_CPU1_RSVD_253</t>
  </si>
  <si>
    <t xml:space="preserve">U2D1.249, </t>
  </si>
  <si>
    <t>TP_CPU0_RSVD_219</t>
  </si>
  <si>
    <t xml:space="preserve">U5D1.496, </t>
  </si>
  <si>
    <t>TP_CPU0_RSVD_226</t>
  </si>
  <si>
    <t xml:space="preserve">U5D1.459, </t>
  </si>
  <si>
    <t>TP_CPU0_RSVD_231</t>
  </si>
  <si>
    <t xml:space="preserve">U5D1.421, </t>
  </si>
  <si>
    <t>TP_CPU0_RSVD_235</t>
  </si>
  <si>
    <t xml:space="preserve">U5D1.380, </t>
  </si>
  <si>
    <t>TP_CPU0_RSVD_236</t>
  </si>
  <si>
    <t xml:space="preserve">U5D1.379, </t>
  </si>
  <si>
    <t>TP_CPU0_RSVD_237</t>
  </si>
  <si>
    <t xml:space="preserve">U5D1.378, </t>
  </si>
  <si>
    <t>TP_CPU0_RSVD_238</t>
  </si>
  <si>
    <t xml:space="preserve">U5D1.377, </t>
  </si>
  <si>
    <t>TP_CPU0_RSVD_239</t>
  </si>
  <si>
    <t xml:space="preserve">U5D1.376, </t>
  </si>
  <si>
    <t>TP_CPU0_RSVD_242</t>
  </si>
  <si>
    <t xml:space="preserve">U5D1.337, </t>
  </si>
  <si>
    <t>TP_CPU0_RSVD_243</t>
  </si>
  <si>
    <t xml:space="preserve">U5D1.336, </t>
  </si>
  <si>
    <t>TP_CPU0_RSVD_244</t>
  </si>
  <si>
    <t xml:space="preserve">U5D1.334, </t>
  </si>
  <si>
    <t>TP_CPU0_RSVD_248</t>
  </si>
  <si>
    <t xml:space="preserve">U5D1.293, </t>
  </si>
  <si>
    <t>TP_CPU0_RSVD_249</t>
  </si>
  <si>
    <t xml:space="preserve">U5D1.292, </t>
  </si>
  <si>
    <t>TP_CPU0_RSVD_250</t>
  </si>
  <si>
    <t xml:space="preserve">U5D1.291, </t>
  </si>
  <si>
    <t>TP_CPU0_RSVD_252</t>
  </si>
  <si>
    <t xml:space="preserve">U5D1.251, </t>
  </si>
  <si>
    <t>TP_CPU0_RSVD_253</t>
  </si>
  <si>
    <t xml:space="preserve">U5D1.249, </t>
  </si>
  <si>
    <t>TP_SPI_PCH_CS1_R1_N</t>
  </si>
  <si>
    <t xml:space="preserve">U7C1.3391, </t>
  </si>
  <si>
    <t>TP_CPU1_RSVD_267</t>
  </si>
  <si>
    <t xml:space="preserve">U2D1.3250, </t>
  </si>
  <si>
    <t>TP_CPU1_RSVD_268</t>
  </si>
  <si>
    <t xml:space="preserve">U2D1.3208, </t>
  </si>
  <si>
    <t>TP_CPU1_RSVD_269</t>
  </si>
  <si>
    <t xml:space="preserve">U2D1.3199, </t>
  </si>
  <si>
    <t>TP_CPU1_RSVD_82</t>
  </si>
  <si>
    <t xml:space="preserve">U2D1.1640, </t>
  </si>
  <si>
    <t>TP_CPU1_RSVD_90</t>
  </si>
  <si>
    <t xml:space="preserve">U2D1.1583, </t>
  </si>
  <si>
    <t>TP_CPU1_RSVD_94</t>
  </si>
  <si>
    <t xml:space="preserve">U2D1.1560, </t>
  </si>
  <si>
    <t>TP_CPU1_RSVD_95</t>
  </si>
  <si>
    <t xml:space="preserve">U2D1.1557, </t>
  </si>
  <si>
    <t>TP_CPU1_RSVD_100</t>
  </si>
  <si>
    <t xml:space="preserve">U2D1.1532, </t>
  </si>
  <si>
    <t>TP_CPU1_RSVD_271</t>
  </si>
  <si>
    <t xml:space="preserve">U2D1.3177, </t>
  </si>
  <si>
    <t>TP_CPU1_RSVD_101</t>
  </si>
  <si>
    <t xml:space="preserve">U2D1.1531, </t>
  </si>
  <si>
    <t>TP_CPU1_RSVD_105</t>
  </si>
  <si>
    <t xml:space="preserve">U2D1.1507, </t>
  </si>
  <si>
    <t>TP_CPU1_RSVD_106</t>
  </si>
  <si>
    <t xml:space="preserve">U2D1.1505, </t>
  </si>
  <si>
    <t>TP_CPU1_RSVD_150</t>
  </si>
  <si>
    <t xml:space="preserve">U2D1.935, </t>
  </si>
  <si>
    <t>TP_CPU1_RSVD_151</t>
  </si>
  <si>
    <t xml:space="preserve">U2D1.934, </t>
  </si>
  <si>
    <t>TP_CPU1_RSVD_152</t>
  </si>
  <si>
    <t xml:space="preserve">U2D1.933, </t>
  </si>
  <si>
    <t>TP_CPU1_RSVD_156</t>
  </si>
  <si>
    <t xml:space="preserve">U2D1.910, </t>
  </si>
  <si>
    <t>TP_CPU1_RSVD_157</t>
  </si>
  <si>
    <t xml:space="preserve">U2D1.909, </t>
  </si>
  <si>
    <t>TP_CPU1_RSVD_158</t>
  </si>
  <si>
    <t xml:space="preserve">U2D1.908, </t>
  </si>
  <si>
    <t>TP_CPU1_RSVD_274</t>
  </si>
  <si>
    <t xml:space="preserve">U2D1.3125, </t>
  </si>
  <si>
    <t>TP_CPU1_RSVD_163</t>
  </si>
  <si>
    <t xml:space="preserve">U2D1.882, </t>
  </si>
  <si>
    <t>TP_CPU1_RSVD_164</t>
  </si>
  <si>
    <t xml:space="preserve">U2D1.881, </t>
  </si>
  <si>
    <t>TP_CPU1_RSVD_170</t>
  </si>
  <si>
    <t xml:space="preserve">U2D1.865, </t>
  </si>
  <si>
    <t>TP_CPU1_RSVD_171</t>
  </si>
  <si>
    <t xml:space="preserve">U2D1.862, </t>
  </si>
  <si>
    <t>TP_CPU1_RSVD_172</t>
  </si>
  <si>
    <t xml:space="preserve">U2D1.861, </t>
  </si>
  <si>
    <t>TP_CPU1_RSVD_173</t>
  </si>
  <si>
    <t xml:space="preserve">U2D1.856, </t>
  </si>
  <si>
    <t>TP_CPU1_RSVD_277</t>
  </si>
  <si>
    <t xml:space="preserve">U2D1.3084, </t>
  </si>
  <si>
    <t>TP_CPU1_RSVD_184</t>
  </si>
  <si>
    <t xml:space="preserve">U2D1.769, </t>
  </si>
  <si>
    <t>TP_CPU1_RSVD_186</t>
  </si>
  <si>
    <t xml:space="preserve">U2D1.749, </t>
  </si>
  <si>
    <t>TP_CPU1_RSVD_190</t>
  </si>
  <si>
    <t xml:space="preserve">U2D1.655, </t>
  </si>
  <si>
    <t>TP_CPU1_RSVD_174</t>
  </si>
  <si>
    <t xml:space="preserve">U2D1.855, </t>
  </si>
  <si>
    <t>TP_CPU1_RSVD_178</t>
  </si>
  <si>
    <t xml:space="preserve">U2D1.843, </t>
  </si>
  <si>
    <t>TP_CPU1_RSVD_179</t>
  </si>
  <si>
    <t xml:space="preserve">U2D1.802, </t>
  </si>
  <si>
    <t>TP_CPU1_RSVD_204</t>
  </si>
  <si>
    <t xml:space="preserve">U2D1.564, </t>
  </si>
  <si>
    <t>TP_CPU1_RSVD_205</t>
  </si>
  <si>
    <t xml:space="preserve">U2D1.563, </t>
  </si>
  <si>
    <t>TP_CPU1_RSVD_210</t>
  </si>
  <si>
    <t xml:space="preserve">U2D1.535, </t>
  </si>
  <si>
    <t>TP_CPU1_RSVD_211</t>
  </si>
  <si>
    <t xml:space="preserve">U2D1.534, </t>
  </si>
  <si>
    <t>TP_CPU1_RSVD_212</t>
  </si>
  <si>
    <t xml:space="preserve">U2D1.532, </t>
  </si>
  <si>
    <t>TP_CPU1_RSVD_216</t>
  </si>
  <si>
    <t xml:space="preserve">U2D1.502, </t>
  </si>
  <si>
    <t>TP_CPU1_RSVD_217</t>
  </si>
  <si>
    <t xml:space="preserve">U2D1.498, </t>
  </si>
  <si>
    <t>TP_CPU1_RSVD_218</t>
  </si>
  <si>
    <t xml:space="preserve">U2D1.497, </t>
  </si>
  <si>
    <t>TP_CPU1_RSVD_223</t>
  </si>
  <si>
    <t xml:space="preserve">U2D1.463, </t>
  </si>
  <si>
    <t>TP_CPU1_RSVD_224</t>
  </si>
  <si>
    <t xml:space="preserve">U2D1.462, </t>
  </si>
  <si>
    <t>TP_CPU1_RSVD_225</t>
  </si>
  <si>
    <t xml:space="preserve">U2D1.460, </t>
  </si>
  <si>
    <t>TP_CPU1_RSVD_228</t>
  </si>
  <si>
    <t xml:space="preserve">U2D1.431, </t>
  </si>
  <si>
    <t>TP_CPU1_RSVD_229</t>
  </si>
  <si>
    <t xml:space="preserve">U2D1.430, </t>
  </si>
  <si>
    <t>TP_CPU1_RSVD_230</t>
  </si>
  <si>
    <t xml:space="preserve">U2D1.422, </t>
  </si>
  <si>
    <t>TP_CPU1_RSVD_234</t>
  </si>
  <si>
    <t xml:space="preserve">U2D1.389, </t>
  </si>
  <si>
    <t>TP_CPU1_RSVD_241</t>
  </si>
  <si>
    <t xml:space="preserve">U2D1.347, </t>
  </si>
  <si>
    <t>TP_CPU1_RSVD_247</t>
  </si>
  <si>
    <t xml:space="preserve">U2D1.304, </t>
  </si>
  <si>
    <t>TP_CPU1_RSVD_251</t>
  </si>
  <si>
    <t xml:space="preserve">U2D1.290, </t>
  </si>
  <si>
    <t>TP_CPU1_RSVD_255</t>
  </si>
  <si>
    <t xml:space="preserve">U2D1.805, </t>
  </si>
  <si>
    <t>TP_CPU1_RSVD_256</t>
  </si>
  <si>
    <t xml:space="preserve">U2D1.3635, </t>
  </si>
  <si>
    <t>TP_CPU1_RSVD_293</t>
  </si>
  <si>
    <t xml:space="preserve">U2D1.837, </t>
  </si>
  <si>
    <t>TP_CPU1_RSVD_258</t>
  </si>
  <si>
    <t xml:space="preserve">U2D1.3593, </t>
  </si>
  <si>
    <t>TP_CPU1_RSVD_259</t>
  </si>
  <si>
    <t xml:space="preserve">U2D1.3551, </t>
  </si>
  <si>
    <t>TP_CPU1_RSVD_260</t>
  </si>
  <si>
    <t xml:space="preserve">U2D1.3550, </t>
  </si>
  <si>
    <t>TP_CPU1_RSVD_261</t>
  </si>
  <si>
    <t xml:space="preserve">U2D1.3508, </t>
  </si>
  <si>
    <t>TP_CPU1_RSVD_262</t>
  </si>
  <si>
    <t xml:space="preserve">U2D1.3466, </t>
  </si>
  <si>
    <t>TP_CPU1_RSVD_263</t>
  </si>
  <si>
    <t xml:space="preserve">U2D1.72, </t>
  </si>
  <si>
    <t>TP_CPU1_RSVD_264</t>
  </si>
  <si>
    <t xml:space="preserve">U2D1.70, </t>
  </si>
  <si>
    <t>TP_CPU1_RSVD_280</t>
  </si>
  <si>
    <t xml:space="preserve">U2D1.2854, </t>
  </si>
  <si>
    <t>TP_CPU1_RSVD_284</t>
  </si>
  <si>
    <t xml:space="preserve">U2D1.2022, </t>
  </si>
  <si>
    <t>TP_CPU1_RSVD_288</t>
  </si>
  <si>
    <t xml:space="preserve">U2D1.1380, </t>
  </si>
  <si>
    <t>TP_CPU1_RSVD_265</t>
  </si>
  <si>
    <t xml:space="preserve">U2D1.3422, </t>
  </si>
  <si>
    <t>TP_CPU1_RSVD_270</t>
  </si>
  <si>
    <t xml:space="preserve">U2D1.3178, </t>
  </si>
  <si>
    <t>TP_CPU1_RSVD_227</t>
  </si>
  <si>
    <t xml:space="preserve">U2D1.444, </t>
  </si>
  <si>
    <t>TP_CPU1_RSVD_240</t>
  </si>
  <si>
    <t xml:space="preserve">U2D1.362, </t>
  </si>
  <si>
    <t>TP_CPU1_TEST_7</t>
  </si>
  <si>
    <t xml:space="preserve">U2D1.702, </t>
  </si>
  <si>
    <t>TP_CPU1_TEST_8</t>
  </si>
  <si>
    <t xml:space="preserve">U2D1.758, </t>
  </si>
  <si>
    <t>TP_CPU1_TEST_10</t>
  </si>
  <si>
    <t xml:space="preserve">U2D1.762, </t>
  </si>
  <si>
    <t>TP_CPU1_TEST_9</t>
  </si>
  <si>
    <t xml:space="preserve">U2D1.761, </t>
  </si>
  <si>
    <t>TP_CPU1_RSVD_TEST_11</t>
  </si>
  <si>
    <t xml:space="preserve">U2D1.783, </t>
  </si>
  <si>
    <t>TP_CPU1_RSVD_266</t>
  </si>
  <si>
    <t xml:space="preserve">U2D1.3336, </t>
  </si>
  <si>
    <t>TP_CPU0_RSVD_267</t>
  </si>
  <si>
    <t xml:space="preserve">U5D1.3250, </t>
  </si>
  <si>
    <t>TP_CPU0_RSVD_268</t>
  </si>
  <si>
    <t xml:space="preserve">U5D1.3208, </t>
  </si>
  <si>
    <t>TP_CPU0_RSVD_269</t>
  </si>
  <si>
    <t xml:space="preserve">U5D1.3199, </t>
  </si>
  <si>
    <t>TP_CPU0_RSVD_82</t>
  </si>
  <si>
    <t xml:space="preserve">U5D1.1640, </t>
  </si>
  <si>
    <t>TP_CPU0_RSVD_90</t>
  </si>
  <si>
    <t xml:space="preserve">U5D1.1583, </t>
  </si>
  <si>
    <t>TP_CPU0_RSVD_94</t>
  </si>
  <si>
    <t xml:space="preserve">U5D1.1560, </t>
  </si>
  <si>
    <t>TP_CPU0_RSVD_95</t>
  </si>
  <si>
    <t xml:space="preserve">U5D1.1557, </t>
  </si>
  <si>
    <t>TP_CPU0_RSVD_100</t>
  </si>
  <si>
    <t xml:space="preserve">U5D1.1532, </t>
  </si>
  <si>
    <t>TP_CPU0_RSVD_271</t>
  </si>
  <si>
    <t xml:space="preserve">U5D1.3177, </t>
  </si>
  <si>
    <t>TP_CPU0_RSVD_101</t>
  </si>
  <si>
    <t xml:space="preserve">U5D1.1531, </t>
  </si>
  <si>
    <t>TP_CPU0_RSVD_105</t>
  </si>
  <si>
    <t xml:space="preserve">U5D1.1507, </t>
  </si>
  <si>
    <t>TP_CPU0_RSVD_106</t>
  </si>
  <si>
    <t xml:space="preserve">U5D1.1505, </t>
  </si>
  <si>
    <t>TP_CPU0_RSVD_150</t>
  </si>
  <si>
    <t xml:space="preserve">U5D1.935, </t>
  </si>
  <si>
    <t>TP_CPU0_RSVD_151</t>
  </si>
  <si>
    <t xml:space="preserve">U5D1.934, </t>
  </si>
  <si>
    <t>TP_CPU0_RSVD_152</t>
  </si>
  <si>
    <t xml:space="preserve">U5D1.933, </t>
  </si>
  <si>
    <t>TP_CPU0_RSVD_156</t>
  </si>
  <si>
    <t xml:space="preserve">U5D1.910, </t>
  </si>
  <si>
    <t>TP_CPU0_RSVD_157</t>
  </si>
  <si>
    <t xml:space="preserve">U5D1.909, </t>
  </si>
  <si>
    <t>TP_CPU0_RSVD_158</t>
  </si>
  <si>
    <t xml:space="preserve">U5D1.908, </t>
  </si>
  <si>
    <t>TP_CPU0_RSVD_274</t>
  </si>
  <si>
    <t xml:space="preserve">U5D1.3125, </t>
  </si>
  <si>
    <t>TP_CPU0_RSVD_163</t>
  </si>
  <si>
    <t xml:space="preserve">U5D1.882, </t>
  </si>
  <si>
    <t>TP_CPU0_RSVD_164</t>
  </si>
  <si>
    <t xml:space="preserve">U5D1.881, </t>
  </si>
  <si>
    <t>TP_CPU0_RSVD_170</t>
  </si>
  <si>
    <t xml:space="preserve">U5D1.865, </t>
  </si>
  <si>
    <t>TP_CPU0_RSVD_171</t>
  </si>
  <si>
    <t xml:space="preserve">U5D1.862, </t>
  </si>
  <si>
    <t>TP_CPU0_RSVD_172</t>
  </si>
  <si>
    <t xml:space="preserve">U5D1.861, </t>
  </si>
  <si>
    <t>TP_CPU0_RSVD_173</t>
  </si>
  <si>
    <t xml:space="preserve">U5D1.856, </t>
  </si>
  <si>
    <t>TP_CPU0_RSVD_174</t>
  </si>
  <si>
    <t xml:space="preserve">U5D1.855, </t>
  </si>
  <si>
    <t>TP_CPU0_RSVD_180</t>
  </si>
  <si>
    <t xml:space="preserve">U5D1.801, </t>
  </si>
  <si>
    <t>TP_CPU0_RSVD_277</t>
  </si>
  <si>
    <t xml:space="preserve">U5D1.3084, </t>
  </si>
  <si>
    <t>TP_CPU0_RSVD_181</t>
  </si>
  <si>
    <t xml:space="preserve">U5D1.796, </t>
  </si>
  <si>
    <t>TP_CPU0_RSVD_182</t>
  </si>
  <si>
    <t xml:space="preserve">U5D1.795, </t>
  </si>
  <si>
    <t>TP_CPU0_RSVD_183</t>
  </si>
  <si>
    <t xml:space="preserve">U5D1.775, </t>
  </si>
  <si>
    <t>TP_CPU0_RSVD_184</t>
  </si>
  <si>
    <t xml:space="preserve">U5D1.769, </t>
  </si>
  <si>
    <t>TP_CPU0_RSVD_186</t>
  </si>
  <si>
    <t xml:space="preserve">U5D1.749, </t>
  </si>
  <si>
    <t>TP_CPU0_RSVD_190</t>
  </si>
  <si>
    <t xml:space="preserve">U5D1.655, </t>
  </si>
  <si>
    <t>TP_CPU0_RSVD_194</t>
  </si>
  <si>
    <t xml:space="preserve">U5D1.624, </t>
  </si>
  <si>
    <t>TP_CPU0_RSVD_198</t>
  </si>
  <si>
    <t xml:space="preserve">U5D1.596, </t>
  </si>
  <si>
    <t>TP_CPU0_RSVD_199</t>
  </si>
  <si>
    <t xml:space="preserve">U5D1.595, </t>
  </si>
  <si>
    <t>TP_CPU0_RSVD_204</t>
  </si>
  <si>
    <t xml:space="preserve">U5D1.564, </t>
  </si>
  <si>
    <t>TP_CPU0_RSVD_205</t>
  </si>
  <si>
    <t xml:space="preserve">U5D1.563, </t>
  </si>
  <si>
    <t>TP_CPU0_RSVD_210</t>
  </si>
  <si>
    <t xml:space="preserve">U5D1.535, </t>
  </si>
  <si>
    <t>TP_CPU0_RSVD_211</t>
  </si>
  <si>
    <t xml:space="preserve">U5D1.534, </t>
  </si>
  <si>
    <t>TP_CPU0_RSVD_212</t>
  </si>
  <si>
    <t xml:space="preserve">U5D1.532, </t>
  </si>
  <si>
    <t>TP_CPU0_RSVD_216</t>
  </si>
  <si>
    <t xml:space="preserve">U5D1.502, </t>
  </si>
  <si>
    <t>TP_CPU0_RSVD_217</t>
  </si>
  <si>
    <t xml:space="preserve">U5D1.498, </t>
  </si>
  <si>
    <t>TP_CPU0_RSVD_218</t>
  </si>
  <si>
    <t xml:space="preserve">U5D1.497, </t>
  </si>
  <si>
    <t>TP_CPU0_RSVD_222</t>
  </si>
  <si>
    <t xml:space="preserve">U5D1.467, </t>
  </si>
  <si>
    <t>TP_CPU0_RSVD_223</t>
  </si>
  <si>
    <t xml:space="preserve">U5D1.463, </t>
  </si>
  <si>
    <t>TP_CPU0_RSVD_224</t>
  </si>
  <si>
    <t xml:space="preserve">U5D1.462, </t>
  </si>
  <si>
    <t>TP_CPU0_RSVD_225</t>
  </si>
  <si>
    <t xml:space="preserve">U5D1.460, </t>
  </si>
  <si>
    <t>TP_CPU0_RSVD_228</t>
  </si>
  <si>
    <t xml:space="preserve">U5D1.431, </t>
  </si>
  <si>
    <t>TP_CPU0_RSVD_229</t>
  </si>
  <si>
    <t xml:space="preserve">U5D1.430, </t>
  </si>
  <si>
    <t>TP_CPU0_RSVD_230</t>
  </si>
  <si>
    <t xml:space="preserve">U5D1.422, </t>
  </si>
  <si>
    <t>TP_CPU0_RSVD_234</t>
  </si>
  <si>
    <t xml:space="preserve">U5D1.389, </t>
  </si>
  <si>
    <t>TP_CPU0_RSVD_241</t>
  </si>
  <si>
    <t xml:space="preserve">U5D1.347, </t>
  </si>
  <si>
    <t>TP_CPU0_RSVD_247</t>
  </si>
  <si>
    <t xml:space="preserve">U5D1.304, </t>
  </si>
  <si>
    <t>TP_CPU0_RSVD_251</t>
  </si>
  <si>
    <t xml:space="preserve">U5D1.290, </t>
  </si>
  <si>
    <t>TP_CPU0_RSVD_256</t>
  </si>
  <si>
    <t xml:space="preserve">U5D1.3635, </t>
  </si>
  <si>
    <t>TP_CPU0_RSVD_293</t>
  </si>
  <si>
    <t xml:space="preserve">U5D1.837, </t>
  </si>
  <si>
    <t>TP_CPU0_RSVD_258</t>
  </si>
  <si>
    <t xml:space="preserve">U5D1.3593, </t>
  </si>
  <si>
    <t>TP_CPU0_RSVD_259</t>
  </si>
  <si>
    <t xml:space="preserve">U5D1.3551, </t>
  </si>
  <si>
    <t>TP_CPU0_RSVD_260</t>
  </si>
  <si>
    <t xml:space="preserve">U5D1.3550, </t>
  </si>
  <si>
    <t>TP_CPU0_RSVD_261</t>
  </si>
  <si>
    <t xml:space="preserve">U5D1.3508, </t>
  </si>
  <si>
    <t>TP_CPU0_RSVD_262</t>
  </si>
  <si>
    <t xml:space="preserve">U5D1.3466, </t>
  </si>
  <si>
    <t>TP_CPU0_RSVD_263</t>
  </si>
  <si>
    <t xml:space="preserve">U5D1.72, </t>
  </si>
  <si>
    <t>TP_CPU0_RSVD_264</t>
  </si>
  <si>
    <t xml:space="preserve">U5D1.70, </t>
  </si>
  <si>
    <t>TP_CPU0_RSVD_284</t>
  </si>
  <si>
    <t xml:space="preserve">U5D1.2022, </t>
  </si>
  <si>
    <t>TP_CPU0_RSVD_288</t>
  </si>
  <si>
    <t xml:space="preserve">U5D1.1380, </t>
  </si>
  <si>
    <t>TP_CPU0_RSVD_265</t>
  </si>
  <si>
    <t xml:space="preserve">U5D1.3422, </t>
  </si>
  <si>
    <t>TP_CPU0_RSVD_270</t>
  </si>
  <si>
    <t xml:space="preserve">U5D1.3178, </t>
  </si>
  <si>
    <t>TP_CPU0_RSVD_227</t>
  </si>
  <si>
    <t xml:space="preserve">U5D1.444, </t>
  </si>
  <si>
    <t>TP_CPU0_RSVD_240</t>
  </si>
  <si>
    <t xml:space="preserve">U5D1.362, </t>
  </si>
  <si>
    <t>TP_CPU0_TEST_7</t>
  </si>
  <si>
    <t xml:space="preserve">U5D1.702, </t>
  </si>
  <si>
    <t>TP_CPU0_TEST_8</t>
  </si>
  <si>
    <t xml:space="preserve">U5D1.758, </t>
  </si>
  <si>
    <t>TP_CPU0_TEST_10</t>
  </si>
  <si>
    <t xml:space="preserve">U5D1.762, </t>
  </si>
  <si>
    <t>TP_CPU0_TEST_9</t>
  </si>
  <si>
    <t xml:space="preserve">U5D1.761, </t>
  </si>
  <si>
    <t>TP_CPU0_RSVD_TEST_11</t>
  </si>
  <si>
    <t xml:space="preserve">U5D1.783, </t>
  </si>
  <si>
    <t>TP_CPU0_RSVD_266</t>
  </si>
  <si>
    <t xml:space="preserve">U5D1.3336, </t>
  </si>
  <si>
    <t>TP_XDP_OBSDATA_B0</t>
  </si>
  <si>
    <t xml:space="preserve">J9A3.27, </t>
  </si>
  <si>
    <t>TP_XDP_CPU0_OBSDATA_A3_MBP5_N</t>
  </si>
  <si>
    <t xml:space="preserve">U5D1.3606, </t>
  </si>
  <si>
    <t>TP_XDP_CPU0_OBSDATA_A2_MBP4_N</t>
  </si>
  <si>
    <t xml:space="preserve">U5D1.102, </t>
  </si>
  <si>
    <t>TP_XDP_CPU_OBSDATA_D1</t>
  </si>
  <si>
    <t xml:space="preserve">J9A3.30, </t>
  </si>
  <si>
    <t>TP_XDP_CPU_OBSDATA_D0</t>
  </si>
  <si>
    <t xml:space="preserve">J9A3.28, </t>
  </si>
  <si>
    <t>TP_CPU_PCH_TRIGGER_OUT</t>
  </si>
  <si>
    <t xml:space="preserve">U7C1.3973, </t>
  </si>
  <si>
    <t>TP_PLTRST_CPU_N</t>
  </si>
  <si>
    <t xml:space="preserve">U7C1.4121, </t>
  </si>
  <si>
    <t>TP_PCH_RSVD31</t>
  </si>
  <si>
    <t xml:space="preserve">U7C1.3917, </t>
  </si>
  <si>
    <t>TP_PCH_RSVD30</t>
  </si>
  <si>
    <t xml:space="preserve">U7C1.3991, </t>
  </si>
  <si>
    <t>TP_PCH_RSVD35</t>
  </si>
  <si>
    <t xml:space="preserve">U7C1.4302, </t>
  </si>
  <si>
    <t>TP_PCH_RSVD33</t>
  </si>
  <si>
    <t xml:space="preserve">U7C1.4232, </t>
  </si>
  <si>
    <t>TP_PCH_RSVD34</t>
  </si>
  <si>
    <t xml:space="preserve">U7C1.4376, </t>
  </si>
  <si>
    <t>TP_PCH_RSVD32</t>
  </si>
  <si>
    <t xml:space="preserve">U7C1.126, </t>
  </si>
  <si>
    <t>TP_CPU1_NMI</t>
  </si>
  <si>
    <t xml:space="preserve">U2D1.609, </t>
  </si>
  <si>
    <t>TP_CPU1_UPI2_RSVD_CF11</t>
  </si>
  <si>
    <t xml:space="preserve">U2D1.2365, </t>
  </si>
  <si>
    <t>TP_CPU1_UPI2_RSVD_CH11</t>
  </si>
  <si>
    <t xml:space="preserve">U2D1.2282, </t>
  </si>
  <si>
    <t>TP_CPU0_UPI2_RSVD_CF11</t>
  </si>
  <si>
    <t xml:space="preserve">U5D1.2365, </t>
  </si>
  <si>
    <t>TP_CPU0_UPI2_RSVD_CH11</t>
  </si>
  <si>
    <t xml:space="preserve">U5D1.2282, </t>
  </si>
  <si>
    <t>TP_CPU1_RSVD_278</t>
  </si>
  <si>
    <t xml:space="preserve">U2D1.3061, </t>
  </si>
  <si>
    <t>TP_CPU1_RSVD_281</t>
  </si>
  <si>
    <t xml:space="preserve">U2D1.2824, </t>
  </si>
  <si>
    <t>TP_CPU0_RSVD_278</t>
  </si>
  <si>
    <t xml:space="preserve">U5D1.3061, </t>
  </si>
  <si>
    <t>TP_CPU0_RSVD_281</t>
  </si>
  <si>
    <t xml:space="preserve">U5D1.2824, </t>
  </si>
  <si>
    <t>TP_USB3_P04_TXP</t>
  </si>
  <si>
    <t xml:space="preserve">U7C1.2072, </t>
  </si>
  <si>
    <t>TP_USB3_P04_TXN</t>
  </si>
  <si>
    <t xml:space="preserve">U7C1.2146, </t>
  </si>
  <si>
    <t>TP_CPU1_PROC_DIS_G_N</t>
  </si>
  <si>
    <t xml:space="preserve">U2D1.147, </t>
  </si>
  <si>
    <t>TP_HSC_MCLK</t>
  </si>
  <si>
    <t xml:space="preserve">EU1D2.10, </t>
  </si>
  <si>
    <t>TP_NMI_CPU0</t>
  </si>
  <si>
    <t xml:space="preserve">U5D1.609, </t>
  </si>
  <si>
    <t>TP_CPU1_UPI2_RSVD_DB15</t>
  </si>
  <si>
    <t xml:space="preserve">U2D1.1908, </t>
  </si>
  <si>
    <t>TP_CPU1_UPI2_RSVD_DD15</t>
  </si>
  <si>
    <t xml:space="preserve">U2D1.1870, </t>
  </si>
  <si>
    <t>TP_CPU1_UPI2_RSVD_DE16</t>
  </si>
  <si>
    <t xml:space="preserve">U2D1.1768, </t>
  </si>
  <si>
    <t>TP_CPU1_UPI2_RSVD_DF17</t>
  </si>
  <si>
    <t xml:space="preserve">U2D1.1619, </t>
  </si>
  <si>
    <t>TP_CPU1_UPI2_RSVD_DH17</t>
  </si>
  <si>
    <t xml:space="preserve">U2D1.1564, </t>
  </si>
  <si>
    <t>TP_CPU1_UPI2_RSVD_DJ18</t>
  </si>
  <si>
    <t xml:space="preserve">U2D1.1537, </t>
  </si>
  <si>
    <t>TP_CPU1_UPI2_RSVD_DJ20</t>
  </si>
  <si>
    <t xml:space="preserve">U2D1.1510, </t>
  </si>
  <si>
    <t>TP_CPU1_UPI2_RSVD_DK19</t>
  </si>
  <si>
    <t xml:space="preserve">U2D1.1458, </t>
  </si>
  <si>
    <t>TP_CPU1_UPI2_RSVD_CA12</t>
  </si>
  <si>
    <t xml:space="preserve">U2D1.2531, </t>
  </si>
  <si>
    <t>TP_CPU1_UPI2_RSVD_CB11</t>
  </si>
  <si>
    <t xml:space="preserve">U2D1.2490, </t>
  </si>
  <si>
    <t>TP_CPU1_UPI2_RSVD_CD11</t>
  </si>
  <si>
    <t xml:space="preserve">U2D1.2405, </t>
  </si>
  <si>
    <t>TP_CPU1_UPI2_RSVD_CG12</t>
  </si>
  <si>
    <t xml:space="preserve">U2D1.2363, </t>
  </si>
  <si>
    <t>TP_CPU1_UPI2_RSVD_CH13</t>
  </si>
  <si>
    <t xml:space="preserve">U2D1.2321, </t>
  </si>
  <si>
    <t>TP_CPU1_UPI2_RSVD_CK13</t>
  </si>
  <si>
    <t xml:space="preserve">U2D1.2238, </t>
  </si>
  <si>
    <t>TP_CPU1_UPI2_RSVD_CR14</t>
  </si>
  <si>
    <t xml:space="preserve">U2D1.2196, </t>
  </si>
  <si>
    <t>TP_CPU1_UPI2_RSVD_CV13</t>
  </si>
  <si>
    <t xml:space="preserve">U2D1.2154, </t>
  </si>
  <si>
    <t>TP_CPU1_UPI2_RSVD_CW16</t>
  </si>
  <si>
    <t xml:space="preserve">U2D1.2070, </t>
  </si>
  <si>
    <t>TP_CPU1_UPI2_RSVD_DN20</t>
  </si>
  <si>
    <t xml:space="preserve">U2D1.1407, </t>
  </si>
  <si>
    <t>TP_CPU1_UPI2_RSVD_DP21</t>
  </si>
  <si>
    <t xml:space="preserve">U2D1.1382, </t>
  </si>
  <si>
    <t>TP_CPU1_UPI2_RSVD_DC16</t>
  </si>
  <si>
    <t xml:space="preserve">U2D1.2027, </t>
  </si>
  <si>
    <t>TP_CPU1_UPI2_RSVD_DF15</t>
  </si>
  <si>
    <t xml:space="preserve">U2D1.1907, </t>
  </si>
  <si>
    <t>TP_CPU1_UPI2_RSVD_DD17</t>
  </si>
  <si>
    <t xml:space="preserve">U2D1.1834, </t>
  </si>
  <si>
    <t>TP_CPU1_UPI2_RSVD_DG18</t>
  </si>
  <si>
    <t xml:space="preserve">U2D1.1678, </t>
  </si>
  <si>
    <t>TP_CPU1_UPI2_RSVD_DK17</t>
  </si>
  <si>
    <t xml:space="preserve">U2D1.1591, </t>
  </si>
  <si>
    <t>TP_CPU1_UPI2_RSVD_DH19</t>
  </si>
  <si>
    <t xml:space="preserve">U2D1.1511, </t>
  </si>
  <si>
    <t>TP_CPU1_UPI2_RSVD_DG20</t>
  </si>
  <si>
    <t xml:space="preserve">U2D1.1563, </t>
  </si>
  <si>
    <t>TP_CPU1_UPI2_RSVD_DL20</t>
  </si>
  <si>
    <t xml:space="preserve">U2D1.1485, </t>
  </si>
  <si>
    <t>TP_CPU1_UPI2_RSVD_CC12</t>
  </si>
  <si>
    <t xml:space="preserve">U2D1.2614, </t>
  </si>
  <si>
    <t>TP_CPU1_UPI2_RSVD_CC10</t>
  </si>
  <si>
    <t xml:space="preserve">U2D1.6, </t>
  </si>
  <si>
    <t>TP_CPU1_UPI2_RSVD_CE12</t>
  </si>
  <si>
    <t xml:space="preserve">U2D1.2448, </t>
  </si>
  <si>
    <t>TP_CPU1_UPI2_RSVD_CF13</t>
  </si>
  <si>
    <t xml:space="preserve">U2D1.2322, </t>
  </si>
  <si>
    <t>TP_CPU1_UPI2_RSVD_CJ14</t>
  </si>
  <si>
    <t xml:space="preserve">U2D1.2404, </t>
  </si>
  <si>
    <t>TP_CPU1_UPI2_RSVD_CM13</t>
  </si>
  <si>
    <t xml:space="preserve">U2D1.2280, </t>
  </si>
  <si>
    <t>TP_CPU1_UPI2_RSVD_CU14</t>
  </si>
  <si>
    <t xml:space="preserve">U2D1.2155, </t>
  </si>
  <si>
    <t>TP_CPU1_UPI2_RSVD_CW14</t>
  </si>
  <si>
    <t xml:space="preserve">U2D1.2237, </t>
  </si>
  <si>
    <t>TP_CPU1_UPI2_RSVD_DA16</t>
  </si>
  <si>
    <t xml:space="preserve">U2D1.2112, </t>
  </si>
  <si>
    <t>TP_CPU1_UPI2_RSVD_DM21</t>
  </si>
  <si>
    <t xml:space="preserve">U2D1.1432, </t>
  </si>
  <si>
    <t>TP_CPU1_UPI2_RSVD_DT21</t>
  </si>
  <si>
    <t xml:space="preserve">U2D1.1433, </t>
  </si>
  <si>
    <t>TP_CPU1_DMI_TX_DP3</t>
  </si>
  <si>
    <t xml:space="preserve">U2D1.1779, </t>
  </si>
  <si>
    <t>TP_CPU1_DMI_TX_DP2</t>
  </si>
  <si>
    <t xml:space="preserve">U2D1.1686, </t>
  </si>
  <si>
    <t>TP_CPU1_DMI_TX_DP1</t>
  </si>
  <si>
    <t xml:space="preserve">U2D1.1658, </t>
  </si>
  <si>
    <t>TP_CPU1_DMI_TX_DP0</t>
  </si>
  <si>
    <t xml:space="preserve">U2D1.1573, </t>
  </si>
  <si>
    <t>TP_CPU1_DMI_TX_DN3</t>
  </si>
  <si>
    <t xml:space="preserve">U2D1.1748, </t>
  </si>
  <si>
    <t>TP_CPU1_DMI_TX_DN2</t>
  </si>
  <si>
    <t xml:space="preserve">U2D1.1718, </t>
  </si>
  <si>
    <t>TP_CPU1_DMI_TX_DN1</t>
  </si>
  <si>
    <t xml:space="preserve">U2D1.1600, </t>
  </si>
  <si>
    <t>TP_CPU1_DMI_TX_DN0</t>
  </si>
  <si>
    <t xml:space="preserve">U2D1.1546, </t>
  </si>
  <si>
    <t>TP_CPU0_UPI2_RSVD_DB15</t>
  </si>
  <si>
    <t xml:space="preserve">U5D1.1908, </t>
  </si>
  <si>
    <t>TP_CPU0_UPI2_RSVD_DD15</t>
  </si>
  <si>
    <t xml:space="preserve">U5D1.1870, </t>
  </si>
  <si>
    <t>TP_CPU0_UPI2_RSVD_DE16</t>
  </si>
  <si>
    <t xml:space="preserve">U5D1.1768, </t>
  </si>
  <si>
    <t>TP_CPU0_UPI2_RSVD_DF17</t>
  </si>
  <si>
    <t xml:space="preserve">U5D1.1619, </t>
  </si>
  <si>
    <t>TP_CPU0_UPI2_RSVD_DH17</t>
  </si>
  <si>
    <t xml:space="preserve">U5D1.1564, </t>
  </si>
  <si>
    <t>TP_CPU0_UPI2_RSVD_DJ18</t>
  </si>
  <si>
    <t xml:space="preserve">U5D1.1537, </t>
  </si>
  <si>
    <t>TP_CPU0_UPI2_RSVD_DJ20</t>
  </si>
  <si>
    <t xml:space="preserve">U5D1.1510, </t>
  </si>
  <si>
    <t>TP_CPU0_UPI2_RSVD_DK19</t>
  </si>
  <si>
    <t xml:space="preserve">U5D1.1458, </t>
  </si>
  <si>
    <t>TP_CPU0_UPI2_RSVD_CA12</t>
  </si>
  <si>
    <t xml:space="preserve">U5D1.2531, </t>
  </si>
  <si>
    <t>TP_CPU0_UPI2_RSVD_CB11</t>
  </si>
  <si>
    <t xml:space="preserve">U5D1.2490, </t>
  </si>
  <si>
    <t>TP_CPU0_UPI2_RSVD_CD11</t>
  </si>
  <si>
    <t xml:space="preserve">U5D1.2405, </t>
  </si>
  <si>
    <t>TP_CPU0_UPI2_RSVD_CG12</t>
  </si>
  <si>
    <t xml:space="preserve">U5D1.2363, </t>
  </si>
  <si>
    <t>TP_CPU0_UPI2_RSVD_CH13</t>
  </si>
  <si>
    <t xml:space="preserve">U5D1.2321, </t>
  </si>
  <si>
    <t>TP_CPU0_UPI2_RSVD_CK13</t>
  </si>
  <si>
    <t xml:space="preserve">U5D1.2238, </t>
  </si>
  <si>
    <t>TP_CPU0_UPI2_RSVD_CR14</t>
  </si>
  <si>
    <t xml:space="preserve">U5D1.2196, </t>
  </si>
  <si>
    <t>TP_CPU0_UPI2_RSVD_CV13</t>
  </si>
  <si>
    <t xml:space="preserve">U5D1.2154, </t>
  </si>
  <si>
    <t>TP_CPU0_UPI2_RSVD_CW16</t>
  </si>
  <si>
    <t xml:space="preserve">U5D1.2070, </t>
  </si>
  <si>
    <t>TP_CPU0_UPI2_RSVD_DN20</t>
  </si>
  <si>
    <t xml:space="preserve">U5D1.1407, </t>
  </si>
  <si>
    <t>TP_CPU0_UPI2_RSVD_DP21</t>
  </si>
  <si>
    <t xml:space="preserve">U5D1.1382, </t>
  </si>
  <si>
    <t>TP_CPU0_UPI2_RSVD_DC16</t>
  </si>
  <si>
    <t xml:space="preserve">U5D1.2027, </t>
  </si>
  <si>
    <t>TP_CPU0_UPI2_RSVD_DF15</t>
  </si>
  <si>
    <t xml:space="preserve">U5D1.1907, </t>
  </si>
  <si>
    <t>TP_CPU0_UPI2_RSVD_DD17</t>
  </si>
  <si>
    <t xml:space="preserve">U5D1.1834, </t>
  </si>
  <si>
    <t>TP_CPU0_UPI2_RSVD_DG18</t>
  </si>
  <si>
    <t xml:space="preserve">U5D1.1678, </t>
  </si>
  <si>
    <t>TP_CPU0_UPI2_RSVD_DK17</t>
  </si>
  <si>
    <t xml:space="preserve">U5D1.1591, </t>
  </si>
  <si>
    <t>TP_CPU0_UPI2_RSVD_DH19</t>
  </si>
  <si>
    <t xml:space="preserve">U5D1.1511, </t>
  </si>
  <si>
    <t>TP_CPU0_UPI2_RSVD_DG20</t>
  </si>
  <si>
    <t xml:space="preserve">U5D1.1563, </t>
  </si>
  <si>
    <t>TP_CPU0_UPI2_RSVD_DL20</t>
  </si>
  <si>
    <t xml:space="preserve">U5D1.1485, </t>
  </si>
  <si>
    <t>TP_CPU0_UPI2_RSVD_CC12</t>
  </si>
  <si>
    <t xml:space="preserve">U5D1.2614, </t>
  </si>
  <si>
    <t>TP_CPU0_UPI2_RSVD_CC10</t>
  </si>
  <si>
    <t xml:space="preserve">U5D1.6, </t>
  </si>
  <si>
    <t>TP_CPU0_UPI2_RSVD_CE12</t>
  </si>
  <si>
    <t xml:space="preserve">U5D1.2448, </t>
  </si>
  <si>
    <t>TP_CPU0_UPI2_RSVD_CF13</t>
  </si>
  <si>
    <t xml:space="preserve">U5D1.2322, </t>
  </si>
  <si>
    <t>TP_CPU0_UPI2_RSVD_CJ14</t>
  </si>
  <si>
    <t xml:space="preserve">U5D1.2404, </t>
  </si>
  <si>
    <t>TP_CPU0_UPI2_RSVD_CM13</t>
  </si>
  <si>
    <t xml:space="preserve">U5D1.2280, </t>
  </si>
  <si>
    <t>TP_CPU0_UPI2_RSVD_CU14</t>
  </si>
  <si>
    <t xml:space="preserve">U5D1.2155, </t>
  </si>
  <si>
    <t>TP_CPU0_UPI2_RSVD_CW14</t>
  </si>
  <si>
    <t xml:space="preserve">U5D1.2237, </t>
  </si>
  <si>
    <t>TP_CPU0_UPI2_RSVD_DA16</t>
  </si>
  <si>
    <t xml:space="preserve">U5D1.2112, </t>
  </si>
  <si>
    <t>TP_CPU0_UPI2_RSVD_DM21</t>
  </si>
  <si>
    <t xml:space="preserve">U5D1.1432, </t>
  </si>
  <si>
    <t>TP_CPU0_UPI2_RSVD_DT21</t>
  </si>
  <si>
    <t xml:space="preserve">U5D1.1433, </t>
  </si>
  <si>
    <t>TP_CD_HFI1_CPU1_RESET_N</t>
  </si>
  <si>
    <t xml:space="preserve">U2D1.1078, </t>
  </si>
  <si>
    <t>TP_CD_HFI1_CPU1_MODPRST_N</t>
  </si>
  <si>
    <t xml:space="preserve">U2D1.1226, </t>
  </si>
  <si>
    <t>TP_CD_HFI1_CPU1_LED_N</t>
  </si>
  <si>
    <t xml:space="preserve">U2D1.1128, </t>
  </si>
  <si>
    <t>TP_CD_HFI1_CPU1_INT_N</t>
  </si>
  <si>
    <t xml:space="preserve">U2D1.1127, </t>
  </si>
  <si>
    <t>TP_CD_HFI1_CPU1_I2CLK</t>
  </si>
  <si>
    <t xml:space="preserve">U2D1.1053, </t>
  </si>
  <si>
    <t>TP_CD_HFI1_CPU1_I2CDAT</t>
  </si>
  <si>
    <t xml:space="preserve">U2D1.1028, </t>
  </si>
  <si>
    <t>TP_RST_CPU1_CD_HFI0_N</t>
  </si>
  <si>
    <t xml:space="preserve">U2D1.1154, </t>
  </si>
  <si>
    <t>TP_FM_CPU1_CD_HFI0_MODPRST_N</t>
  </si>
  <si>
    <t xml:space="preserve">U2D1.1202, </t>
  </si>
  <si>
    <t>TP_LED_CPU1_CD_HFI0_N</t>
  </si>
  <si>
    <t xml:space="preserve">U2D1.1077, </t>
  </si>
  <si>
    <t>TP_IRQ_CPU1_CD_HFI0_N</t>
  </si>
  <si>
    <t xml:space="preserve">U2D1.1176, </t>
  </si>
  <si>
    <t>TP_SMB_CPU1_CD_HFI0_I2CCLK</t>
  </si>
  <si>
    <t xml:space="preserve">U2D1.1153, </t>
  </si>
  <si>
    <t>TP_SMB_CPU1_CD_HFI0_I2CDAT</t>
  </si>
  <si>
    <t xml:space="preserve">U2D1.1178, </t>
  </si>
  <si>
    <t>TP_CPU1_RSVD_208</t>
  </si>
  <si>
    <t xml:space="preserve">U2D1.552, </t>
  </si>
  <si>
    <t>TP_CPU1_RSVD_273</t>
  </si>
  <si>
    <t xml:space="preserve">U2D1.3136, </t>
  </si>
  <si>
    <t>TP_CPU1_RSVD_214</t>
  </si>
  <si>
    <t xml:space="preserve">U2D1.518, </t>
  </si>
  <si>
    <t>TP_CPU1_RSVD_276</t>
  </si>
  <si>
    <t xml:space="preserve">U2D1.3094, </t>
  </si>
  <si>
    <t>TP_CPU0_RSVD_208</t>
  </si>
  <si>
    <t xml:space="preserve">U5D1.552, </t>
  </si>
  <si>
    <t>TP_CPU0_RSVD_273</t>
  </si>
  <si>
    <t xml:space="preserve">U5D1.3136, </t>
  </si>
  <si>
    <t>TP_CPU0_RSVD_214</t>
  </si>
  <si>
    <t xml:space="preserve">U5D1.518, </t>
  </si>
  <si>
    <t>TP_CPU0_RSVD_276</t>
  </si>
  <si>
    <t xml:space="preserve">U5D1.3094, </t>
  </si>
  <si>
    <t>TP_CPU1_RSVD_254</t>
  </si>
  <si>
    <t xml:space="preserve">U2D1.248, </t>
  </si>
  <si>
    <t>TP_CPU1_RSVD_245</t>
  </si>
  <si>
    <t xml:space="preserve">U2D1.333, </t>
  </si>
  <si>
    <t>TP_CPU1_RSVD_123</t>
  </si>
  <si>
    <t xml:space="preserve">U2D1.1297, </t>
  </si>
  <si>
    <t>TP_CPU1_RSVD_111</t>
  </si>
  <si>
    <t xml:space="preserve">U2D1.1443, </t>
  </si>
  <si>
    <t>TP_CPU1_RSVD_113</t>
  </si>
  <si>
    <t xml:space="preserve">U2D1.1417, </t>
  </si>
  <si>
    <t>TP_CPU1_RSVD_175</t>
  </si>
  <si>
    <t xml:space="preserve">U2D1.848, </t>
  </si>
  <si>
    <t>TP_CPU1_RSVD_155</t>
  </si>
  <si>
    <t xml:space="preserve">U2D1.923, </t>
  </si>
  <si>
    <t>TP_CPU1_RSVD_166</t>
  </si>
  <si>
    <t xml:space="preserve">U2D1.873, </t>
  </si>
  <si>
    <t>TP_CPU1_RSVD_161</t>
  </si>
  <si>
    <t xml:space="preserve">U2D1.898, </t>
  </si>
  <si>
    <t>TP_CPU1_RSVD_149</t>
  </si>
  <si>
    <t xml:space="preserve">U2D1.950, </t>
  </si>
  <si>
    <t>TP_CPU1_RSVD_167</t>
  </si>
  <si>
    <t xml:space="preserve">U2D1.871, </t>
  </si>
  <si>
    <t>TP_CPU1_RSVD_162</t>
  </si>
  <si>
    <t xml:space="preserve">U2D1.896, </t>
  </si>
  <si>
    <t>TP_CPU1_RSVD_145</t>
  </si>
  <si>
    <t xml:space="preserve">U2D1.1001, </t>
  </si>
  <si>
    <t>TP_CPU1_RSVD_144</t>
  </si>
  <si>
    <t xml:space="preserve">U2D1.1002, </t>
  </si>
  <si>
    <t>TP_CPU1_RSVD_169</t>
  </si>
  <si>
    <t xml:space="preserve">U2D1.869, </t>
  </si>
  <si>
    <t>TP_CPU1_RSVD_146</t>
  </si>
  <si>
    <t xml:space="preserve">U2D1.976, </t>
  </si>
  <si>
    <t>TP_CPU1_RSVD_154</t>
  </si>
  <si>
    <t xml:space="preserve">U2D1.924, </t>
  </si>
  <si>
    <t>TP_CPU1_RSVD_148</t>
  </si>
  <si>
    <t xml:space="preserve">U2D1.951, </t>
  </si>
  <si>
    <t>TP_CPU1_RSVD_160</t>
  </si>
  <si>
    <t xml:space="preserve">U2D1.900, </t>
  </si>
  <si>
    <t>TP_CPU1_RSVD_159</t>
  </si>
  <si>
    <t xml:space="preserve">U2D1.901, </t>
  </si>
  <si>
    <t>TP_CPU1_RSVD_147</t>
  </si>
  <si>
    <t xml:space="preserve">U2D1.952, </t>
  </si>
  <si>
    <t>TP_CPU1_RSVD_168</t>
  </si>
  <si>
    <t xml:space="preserve">U2D1.870, </t>
  </si>
  <si>
    <t>TP_CPU1_RSVD_99</t>
  </si>
  <si>
    <t xml:space="preserve">U2D1.1536, </t>
  </si>
  <si>
    <t>TP_CPU1_RSVD_85</t>
  </si>
  <si>
    <t xml:space="preserve">U2D1.1622, </t>
  </si>
  <si>
    <t>TP_CPU1_RSVD_189</t>
  </si>
  <si>
    <t xml:space="preserve">U2D1.670, </t>
  </si>
  <si>
    <t>TP_CPU1_RSVD_246</t>
  </si>
  <si>
    <t xml:space="preserve">U2D1.318, </t>
  </si>
  <si>
    <t>TP_CPU1_RSVD_232</t>
  </si>
  <si>
    <t xml:space="preserve">U2D1.402, </t>
  </si>
  <si>
    <t>TP_CPU1_RSVD_97</t>
  </si>
  <si>
    <t xml:space="preserve">U2D1.1544, </t>
  </si>
  <si>
    <t>TP_CPU1_RSVD_91</t>
  </si>
  <si>
    <t xml:space="preserve">U2D1.1570, </t>
  </si>
  <si>
    <t>TP_CPU1_RSVD_119</t>
  </si>
  <si>
    <t xml:space="preserve">U2D1.1329, </t>
  </si>
  <si>
    <t>TP_CPU1_RSVD_117</t>
  </si>
  <si>
    <t xml:space="preserve">U2D1.1389, </t>
  </si>
  <si>
    <t>TP_CPU1_RSVD_121</t>
  </si>
  <si>
    <t xml:space="preserve">U2D1.1303, </t>
  </si>
  <si>
    <t>TP_CPU1_RSVD_108</t>
  </si>
  <si>
    <t xml:space="preserve">U2D1.1465, </t>
  </si>
  <si>
    <t>TP_CPU1_RSVD_124</t>
  </si>
  <si>
    <t xml:space="preserve">U2D1.1278, </t>
  </si>
  <si>
    <t>TP_CPU1_RSVD_114</t>
  </si>
  <si>
    <t xml:space="preserve">U2D1.1414, </t>
  </si>
  <si>
    <t>TP_CPU0_RSVD_254</t>
  </si>
  <si>
    <t xml:space="preserve">U5D1.248, </t>
  </si>
  <si>
    <t>TP_CPU0_RSVD_245</t>
  </si>
  <si>
    <t xml:space="preserve">U5D1.333, </t>
  </si>
  <si>
    <t>TP_CPU0_RSVD_123</t>
  </si>
  <si>
    <t xml:space="preserve">U5D1.1297, </t>
  </si>
  <si>
    <t>TP_CPU0_RSVD_111</t>
  </si>
  <si>
    <t xml:space="preserve">U5D1.1443, </t>
  </si>
  <si>
    <t>TP_CPU0_RSVD_113</t>
  </si>
  <si>
    <t xml:space="preserve">U5D1.1417, </t>
  </si>
  <si>
    <t>TP_CPU0_RSVD_175</t>
  </si>
  <si>
    <t xml:space="preserve">U5D1.848, </t>
  </si>
  <si>
    <t>TP_CPU0_RSVD_155</t>
  </si>
  <si>
    <t xml:space="preserve">U5D1.923, </t>
  </si>
  <si>
    <t>TP_CPU0_RSVD_166</t>
  </si>
  <si>
    <t xml:space="preserve">U5D1.873, </t>
  </si>
  <si>
    <t>TP_CPU0_RSVD_161</t>
  </si>
  <si>
    <t xml:space="preserve">U5D1.898, </t>
  </si>
  <si>
    <t>TP_CPU0_RSVD_149</t>
  </si>
  <si>
    <t xml:space="preserve">U5D1.950, </t>
  </si>
  <si>
    <t>TP_CPU0_RSVD_167</t>
  </si>
  <si>
    <t xml:space="preserve">U5D1.871, </t>
  </si>
  <si>
    <t>TP_CPU0_RSVD_162</t>
  </si>
  <si>
    <t xml:space="preserve">U5D1.896, </t>
  </si>
  <si>
    <t>TP_CPU0_RSVD_145</t>
  </si>
  <si>
    <t xml:space="preserve">U5D1.1001, </t>
  </si>
  <si>
    <t>TP_CPU0_RSVD_144</t>
  </si>
  <si>
    <t xml:space="preserve">U5D1.1002, </t>
  </si>
  <si>
    <t>TP_CPU0_RSVD_169</t>
  </si>
  <si>
    <t xml:space="preserve">U5D1.869, </t>
  </si>
  <si>
    <t>TP_CPU0_RSVD_146</t>
  </si>
  <si>
    <t xml:space="preserve">U5D1.976, </t>
  </si>
  <si>
    <t>TP_CPU0_RSVD_178</t>
  </si>
  <si>
    <t xml:space="preserve">U5D1.843, </t>
  </si>
  <si>
    <t>TP_CPU0_RSVD_154</t>
  </si>
  <si>
    <t xml:space="preserve">U5D1.924, </t>
  </si>
  <si>
    <t>TP_CPU0_RSVD_148</t>
  </si>
  <si>
    <t xml:space="preserve">U5D1.951, </t>
  </si>
  <si>
    <t>TP_CPU0_RSVD_160</t>
  </si>
  <si>
    <t xml:space="preserve">U5D1.900, </t>
  </si>
  <si>
    <t>TP_CPU0_RSVD_159</t>
  </si>
  <si>
    <t xml:space="preserve">U5D1.901, </t>
  </si>
  <si>
    <t>TP_CPU0_RSVD_147</t>
  </si>
  <si>
    <t xml:space="preserve">U5D1.952, </t>
  </si>
  <si>
    <t>TP_CPU0_RSVD_176</t>
  </si>
  <si>
    <t xml:space="preserve">U5D1.845, </t>
  </si>
  <si>
    <t>TP_CPU0_RSVD_168</t>
  </si>
  <si>
    <t xml:space="preserve">U5D1.870, </t>
  </si>
  <si>
    <t>TP_CPU0_RSVD_85</t>
  </si>
  <si>
    <t xml:space="preserve">U5D1.1622, </t>
  </si>
  <si>
    <t>TP_CPU0_RSVD_99</t>
  </si>
  <si>
    <t xml:space="preserve">U5D1.1536, </t>
  </si>
  <si>
    <t>TP_CPU0_RSVD_189</t>
  </si>
  <si>
    <t xml:space="preserve">U5D1.670, </t>
  </si>
  <si>
    <t>TP_CPU0_RSVD_246</t>
  </si>
  <si>
    <t xml:space="preserve">U5D1.318, </t>
  </si>
  <si>
    <t>TP_CPU0_RSVD_232</t>
  </si>
  <si>
    <t xml:space="preserve">U5D1.402, </t>
  </si>
  <si>
    <t>TP_CPU0_RSVD_97</t>
  </si>
  <si>
    <t xml:space="preserve">U5D1.1544, </t>
  </si>
  <si>
    <t>TP_CPU0_RSVD_91</t>
  </si>
  <si>
    <t xml:space="preserve">U5D1.1570, </t>
  </si>
  <si>
    <t>TP_CPU0_RSVD_119</t>
  </si>
  <si>
    <t xml:space="preserve">U5D1.1329, </t>
  </si>
  <si>
    <t>TP_CPU0_RSVD_117</t>
  </si>
  <si>
    <t xml:space="preserve">U5D1.1389, </t>
  </si>
  <si>
    <t>TP_CPU0_RSVD_121</t>
  </si>
  <si>
    <t xml:space="preserve">U5D1.1303, </t>
  </si>
  <si>
    <t>TP_CPU0_RSVD_108</t>
  </si>
  <si>
    <t xml:space="preserve">U5D1.1465, </t>
  </si>
  <si>
    <t>TP_CPU0_RSVD_124</t>
  </si>
  <si>
    <t xml:space="preserve">U5D1.1278, </t>
  </si>
  <si>
    <t>TP_CPU0_RSVD_114</t>
  </si>
  <si>
    <t xml:space="preserve">U5D1.1414, </t>
  </si>
  <si>
    <t>TP_SPI_0_1</t>
  </si>
  <si>
    <t xml:space="preserve">U7F1.13, </t>
  </si>
  <si>
    <t>NC_6256</t>
  </si>
  <si>
    <t xml:space="preserve">J2W1.22, </t>
  </si>
  <si>
    <t>NC_6257</t>
  </si>
  <si>
    <t xml:space="preserve">J2W1.23, </t>
  </si>
  <si>
    <t>NC_6258</t>
  </si>
  <si>
    <t xml:space="preserve">J2W2.22, </t>
  </si>
  <si>
    <t>NC_6259</t>
  </si>
  <si>
    <t xml:space="preserve">J2W2.23, </t>
  </si>
  <si>
    <t>TP_CPLD1_PB16A_PCLKT2_1</t>
  </si>
  <si>
    <t xml:space="preserve">U8D7.249, </t>
  </si>
  <si>
    <t>TP_CPLD1_PB25B_SI_SISPI</t>
  </si>
  <si>
    <t xml:space="preserve">U8D7.221, </t>
  </si>
  <si>
    <t>TP_CPLD1_PB5A_CSSPIN</t>
  </si>
  <si>
    <t xml:space="preserve">U8D7.229, </t>
  </si>
  <si>
    <t>TP_CPLD1_PB8A_MCLK_CCLK</t>
  </si>
  <si>
    <t xml:space="preserve">U8D7.214, </t>
  </si>
  <si>
    <t>TP_CPLD1_PR10C</t>
  </si>
  <si>
    <t xml:space="preserve">U8D7.139, </t>
  </si>
  <si>
    <t>TP_CPLD1_PR11B</t>
  </si>
  <si>
    <t xml:space="preserve">U8D7.174, </t>
  </si>
  <si>
    <t>TP_CPLD1_PR12D</t>
  </si>
  <si>
    <t xml:space="preserve">U8D7.173, </t>
  </si>
  <si>
    <t>TP_CPLD1_PR7B_PCLKC1_0</t>
  </si>
  <si>
    <t xml:space="preserve">U8D7.128, </t>
  </si>
  <si>
    <t>TP_CPLD1_PR7C</t>
  </si>
  <si>
    <t xml:space="preserve">U8D7.144, </t>
  </si>
  <si>
    <t>TP_CPLD1_PR7D</t>
  </si>
  <si>
    <t xml:space="preserve">U8D7.142, </t>
  </si>
  <si>
    <t>TP_CPLD1_PR9A</t>
  </si>
  <si>
    <t xml:space="preserve">U8D7.143, </t>
  </si>
  <si>
    <t>TP_CPLD1_PR9C</t>
  </si>
  <si>
    <t xml:space="preserve">U8D7.123, </t>
  </si>
  <si>
    <t>TP_CPLD1_PR9D</t>
  </si>
  <si>
    <t xml:space="preserve">U8D7.141, </t>
  </si>
  <si>
    <t>TP_CPLD1_PT11A</t>
  </si>
  <si>
    <t xml:space="preserve">U8D7.5, </t>
  </si>
  <si>
    <t>TP_CPLD1_PT11B</t>
  </si>
  <si>
    <t xml:space="preserve">U8D7.22, </t>
  </si>
  <si>
    <t>TP_CPLD1_PT13A</t>
  </si>
  <si>
    <t xml:space="preserve">U8D7.23, </t>
  </si>
  <si>
    <t>TP_CPLD1_PT16B</t>
  </si>
  <si>
    <t xml:space="preserve">U8D7.72, </t>
  </si>
  <si>
    <t>TP_CPLD1_PT17B_PCLKC0_1</t>
  </si>
  <si>
    <t xml:space="preserve">U8D7.8, </t>
  </si>
  <si>
    <t>TP_CPLD1_PT17C</t>
  </si>
  <si>
    <t xml:space="preserve">U8D7.56, </t>
  </si>
  <si>
    <t>TP_CPLD1_PT19D</t>
  </si>
  <si>
    <t xml:space="preserve">U8D7.75, </t>
  </si>
  <si>
    <t>TP_CPLD1_PT20A</t>
  </si>
  <si>
    <t xml:space="preserve">U8D7.58, </t>
  </si>
  <si>
    <t>TP_CPLD1_PT20B</t>
  </si>
  <si>
    <t xml:space="preserve">U8D7.74, </t>
  </si>
  <si>
    <t>TP_CPLD1_PT22C</t>
  </si>
  <si>
    <t xml:space="preserve">U8D7.29, </t>
  </si>
  <si>
    <t>TP_CPLD1_PT24C_INITN</t>
  </si>
  <si>
    <t xml:space="preserve">U8D7.13, </t>
  </si>
  <si>
    <t>TP_CPLD1_PT24D_DONE</t>
  </si>
  <si>
    <t xml:space="preserve">U8D7.45, </t>
  </si>
  <si>
    <t>TP_CLK_100M_NSSCC1_DN</t>
  </si>
  <si>
    <t xml:space="preserve">U7C1.1550, </t>
  </si>
  <si>
    <t>TP_CLK_100M_NSSCC1_DP</t>
  </si>
  <si>
    <t xml:space="preserve">U7C1.3206, </t>
  </si>
  <si>
    <t>TP_CLK_24M_PMSYNC2</t>
  </si>
  <si>
    <t xml:space="preserve">U7C1.2859, </t>
  </si>
  <si>
    <t>TP_USB3_P05_RXN</t>
  </si>
  <si>
    <t xml:space="preserve">U7C1.1943, </t>
  </si>
  <si>
    <t>TP_USB3_P05_RXP</t>
  </si>
  <si>
    <t xml:space="preserve">U7C1.1941, </t>
  </si>
  <si>
    <t>TP_USB3_P06_RXN</t>
  </si>
  <si>
    <t xml:space="preserve">U7C1.1872, </t>
  </si>
  <si>
    <t>TP_USB3_P06_RXP</t>
  </si>
  <si>
    <t xml:space="preserve">U7C1.1870, </t>
  </si>
  <si>
    <t>TP_PCH_RSVD38</t>
  </si>
  <si>
    <t xml:space="preserve">U7C1.2333, </t>
  </si>
  <si>
    <t>TP_10GBE_KR0_MON_DP</t>
  </si>
  <si>
    <t xml:space="preserve">U7C1.2474, </t>
  </si>
  <si>
    <t>TP_10GBE_KR1_MON_DP</t>
  </si>
  <si>
    <t xml:space="preserve">U7C1.2481, </t>
  </si>
  <si>
    <t>TP_PCH_RSVD53</t>
  </si>
  <si>
    <t xml:space="preserve">U7C1.3914, </t>
  </si>
  <si>
    <t>TP_PCH_RSVD54</t>
  </si>
  <si>
    <t xml:space="preserve">U7C1.3984, </t>
  </si>
  <si>
    <t>TP_SLP_LAN_N</t>
  </si>
  <si>
    <t xml:space="preserve">U7C1.3759, </t>
  </si>
  <si>
    <t>TP_CPU_PCH_TRIGGER_IN</t>
  </si>
  <si>
    <t xml:space="preserve">U7C1.3751, </t>
  </si>
  <si>
    <t>TP_PCH_GPP_L10</t>
  </si>
  <si>
    <t xml:space="preserve">U7C1.452, </t>
  </si>
  <si>
    <t>TP_PCH_GPP_L11</t>
  </si>
  <si>
    <t xml:space="preserve">U7C1.308, </t>
  </si>
  <si>
    <t>TP_PCH_RSVD27</t>
  </si>
  <si>
    <t xml:space="preserve">U7C1.2042, </t>
  </si>
  <si>
    <t>TP_PCH_RSVD28</t>
  </si>
  <si>
    <t xml:space="preserve">U7C1.3995, </t>
  </si>
  <si>
    <t>TP_PCH_RSVD29</t>
  </si>
  <si>
    <t xml:space="preserve">U7C1.3921, </t>
  </si>
  <si>
    <t>TP_PCH_RSVD58</t>
  </si>
  <si>
    <t xml:space="preserve">U7C1.1035, </t>
  </si>
  <si>
    <t>TP_PCH_RSVD59</t>
  </si>
  <si>
    <t xml:space="preserve">U7C1.1179, </t>
  </si>
  <si>
    <t>TP_PVCCIO_CPU0_BTSEN</t>
  </si>
  <si>
    <t xml:space="preserve">EU3P1.34, </t>
  </si>
  <si>
    <t>TP_VR_PVCCIO_CPU0_MP0</t>
  </si>
  <si>
    <t xml:space="preserve">EU3P1.13, </t>
  </si>
  <si>
    <t>TP_VR_PVCCIO_CPU0_MP1</t>
  </si>
  <si>
    <t xml:space="preserve">EU3P1.14, </t>
  </si>
  <si>
    <t>TP_PVCCIO_CPU0_PINALRT_N</t>
  </si>
  <si>
    <t xml:space="preserve">EU3P1.12, </t>
  </si>
  <si>
    <t>TP_VR_PVNN_PCH_AIINSEN</t>
  </si>
  <si>
    <t xml:space="preserve">EU8A1.38, </t>
  </si>
  <si>
    <t>TP_PVDDQ_DEF_RESET_N</t>
  </si>
  <si>
    <t xml:space="preserve">EU7A5.8, </t>
  </si>
  <si>
    <t>TP_XDP_OBSDATA_B2</t>
  </si>
  <si>
    <t xml:space="preserve">J9A3.33, </t>
  </si>
  <si>
    <t>TP_XDP_OBSDATA_B3</t>
  </si>
  <si>
    <t xml:space="preserve">J9A3.35, </t>
  </si>
  <si>
    <t>TP_CPU0_RSVD_TEST_5</t>
  </si>
  <si>
    <t xml:space="preserve">U5D1.580, </t>
  </si>
  <si>
    <t>TP_CPU0_TEST_6</t>
  </si>
  <si>
    <t xml:space="preserve">U5D1.641, </t>
  </si>
  <si>
    <t>TP_CPU0_RSVD_233</t>
  </si>
  <si>
    <t xml:space="preserve">U5D1.401, </t>
  </si>
  <si>
    <t>TP_CPU0_RSVD_279</t>
  </si>
  <si>
    <t xml:space="preserve">U5D1.3065, </t>
  </si>
  <si>
    <t>TP_CPU0_RSVD_287</t>
  </si>
  <si>
    <t xml:space="preserve">U5D1.2006, </t>
  </si>
  <si>
    <t>TP_CPU0_RSVD_304</t>
  </si>
  <si>
    <t xml:space="preserve">U5D1.96, </t>
  </si>
  <si>
    <t>TP_CPU0_RSVD_298</t>
  </si>
  <si>
    <t xml:space="preserve">U5D1.833, </t>
  </si>
  <si>
    <t>TP_CPU1_RSVD_TEST_5</t>
  </si>
  <si>
    <t xml:space="preserve">U2D1.580, </t>
  </si>
  <si>
    <t>TP_CPU1_TEST_6</t>
  </si>
  <si>
    <t xml:space="preserve">U2D1.641, </t>
  </si>
  <si>
    <t>TP_CPU1_RSVD_233</t>
  </si>
  <si>
    <t xml:space="preserve">U2D1.401, </t>
  </si>
  <si>
    <t>TP_CPU1_RSVD_282</t>
  </si>
  <si>
    <t xml:space="preserve">U2D1.2832, </t>
  </si>
  <si>
    <t>TP_CPU1_RSVD_299</t>
  </si>
  <si>
    <t xml:space="preserve">U2D1.815, </t>
  </si>
  <si>
    <t>TP_CPU1_RSVD_303</t>
  </si>
  <si>
    <t xml:space="preserve">U2D1.99, </t>
  </si>
  <si>
    <t>TP_CPU1_RSVD_275</t>
  </si>
  <si>
    <t xml:space="preserve">U2D1.3101, </t>
  </si>
  <si>
    <t>TP_CPU1_RSVD_222</t>
  </si>
  <si>
    <t xml:space="preserve">U2D1.467, </t>
  </si>
  <si>
    <t>TP_CH_A_DIMM_A0_RFU_0</t>
  </si>
  <si>
    <t xml:space="preserve">J4G1.205, </t>
  </si>
  <si>
    <t>TP_CH_A_DIMM_A0_RFU_1</t>
  </si>
  <si>
    <t xml:space="preserve">J4G1.227, </t>
  </si>
  <si>
    <t>TP_CH_A_DIMM_A0_RFU_2</t>
  </si>
  <si>
    <t xml:space="preserve">J4G1.144, </t>
  </si>
  <si>
    <t>TP_CH_B_DIMM_B0_RFU_0</t>
  </si>
  <si>
    <t xml:space="preserve">J4G2.205, </t>
  </si>
  <si>
    <t>TP_CH_B_DIMM_B0_RFU_1</t>
  </si>
  <si>
    <t xml:space="preserve">J4G2.227, </t>
  </si>
  <si>
    <t>TP_CH_B_DIMM_B0_RFU_2</t>
  </si>
  <si>
    <t xml:space="preserve">J4G2.144, </t>
  </si>
  <si>
    <t>TP_CH_C_DIMM_C0_RFU_0</t>
  </si>
  <si>
    <t xml:space="preserve">J4G3.205, </t>
  </si>
  <si>
    <t>TP_CH_C_DIMM_C0_RFU_1</t>
  </si>
  <si>
    <t xml:space="preserve">J4G3.227, </t>
  </si>
  <si>
    <t>TP_CH_C_DIMM_C0_RFU_2</t>
  </si>
  <si>
    <t xml:space="preserve">J4G3.144, </t>
  </si>
  <si>
    <t>TP_CH_D_DIMM_D0_RFU_0</t>
  </si>
  <si>
    <t xml:space="preserve">J4B1.205, </t>
  </si>
  <si>
    <t>TP_CH_D_DIMM_D0_RFU_1</t>
  </si>
  <si>
    <t xml:space="preserve">J4B1.227, </t>
  </si>
  <si>
    <t>TP_CH_D_DIMM_D0_RFU_2</t>
  </si>
  <si>
    <t xml:space="preserve">J4B1.144, </t>
  </si>
  <si>
    <t>TP_CH_E_DIMM_E0_RFU_0</t>
  </si>
  <si>
    <t xml:space="preserve">J4A2.205, </t>
  </si>
  <si>
    <t>TP_CH_E_DIMM_E0_RFU_1</t>
  </si>
  <si>
    <t xml:space="preserve">J4A2.227, </t>
  </si>
  <si>
    <t>TP_CH_E_DIMM_E0_RFU_2</t>
  </si>
  <si>
    <t xml:space="preserve">J4A2.144, </t>
  </si>
  <si>
    <t>TP_CH_F_DIMM_F0_RFU_0</t>
  </si>
  <si>
    <t xml:space="preserve">J4A1.205, </t>
  </si>
  <si>
    <t>TP_CH_F_DIMM_F0_RFU_1</t>
  </si>
  <si>
    <t xml:space="preserve">J4A1.227, </t>
  </si>
  <si>
    <t>TP_CH_F_DIMM_F0_RFU_2</t>
  </si>
  <si>
    <t xml:space="preserve">J4A1.144, </t>
  </si>
  <si>
    <t>TP_CH_G_DIMM_G0_RFU_0</t>
  </si>
  <si>
    <t xml:space="preserve">J1G1.205, </t>
  </si>
  <si>
    <t>TP_CH_G_DIMM_G0_RFU_1</t>
  </si>
  <si>
    <t xml:space="preserve">J1G1.227, </t>
  </si>
  <si>
    <t>TP_CH_G_DIMM_G0_RFU_2</t>
  </si>
  <si>
    <t xml:space="preserve">J1G1.144, </t>
  </si>
  <si>
    <t>TP_CH_H_DIMM_H0_RFU_0</t>
  </si>
  <si>
    <t xml:space="preserve">J1G2.205, </t>
  </si>
  <si>
    <t>TP_CH_H_DIMM_H0_RFU_1</t>
  </si>
  <si>
    <t xml:space="preserve">J1G2.227, </t>
  </si>
  <si>
    <t>TP_CH_H_DIMM_H0_RFU_2</t>
  </si>
  <si>
    <t xml:space="preserve">J1G2.144, </t>
  </si>
  <si>
    <t>TP_CH_J_DIMM_J0_RFU_0</t>
  </si>
  <si>
    <t xml:space="preserve">J1G3.205, </t>
  </si>
  <si>
    <t>TP_CH_J_DIMM_J0_RFU_1</t>
  </si>
  <si>
    <t xml:space="preserve">J1G3.227, </t>
  </si>
  <si>
    <t>TP_CH_J_DIMM_J0_RFU_2</t>
  </si>
  <si>
    <t xml:space="preserve">J1G3.144, </t>
  </si>
  <si>
    <t>TP_CH_K_DIMM_K0_RFU_0</t>
  </si>
  <si>
    <t xml:space="preserve">J1B1.205, </t>
  </si>
  <si>
    <t>TP_CH_K_DIMM_K0_RFU_1</t>
  </si>
  <si>
    <t xml:space="preserve">J1B1.227, </t>
  </si>
  <si>
    <t>TP_CH_K_DIMM_K0_RFU_2</t>
  </si>
  <si>
    <t xml:space="preserve">J1B1.144, </t>
  </si>
  <si>
    <t>TP_CH_L_DIMM_L0_RFU_0</t>
  </si>
  <si>
    <t xml:space="preserve">J1A2.205, </t>
  </si>
  <si>
    <t>TP_CH_L_DIMM_L0_RFU_1</t>
  </si>
  <si>
    <t xml:space="preserve">J1A2.227, </t>
  </si>
  <si>
    <t>TP_CH_L_DIMM_L0_RFU_2</t>
  </si>
  <si>
    <t xml:space="preserve">J1A2.144, </t>
  </si>
  <si>
    <t>TP_CH_M_DIMM_M0_RFU_0</t>
  </si>
  <si>
    <t xml:space="preserve">J1A1.205, </t>
  </si>
  <si>
    <t>TP_CH_M_DIMM_M0_RFU_1</t>
  </si>
  <si>
    <t xml:space="preserve">J1A1.227, </t>
  </si>
  <si>
    <t>TP_CH_M_DIMM_M0_RFU_2</t>
  </si>
  <si>
    <t xml:space="preserve">J1A1.144, </t>
  </si>
  <si>
    <t>TP_CH_A_DIMM_A1_RFU_0</t>
  </si>
  <si>
    <t xml:space="preserve">J6T1.205, </t>
  </si>
  <si>
    <t>TP_CH_A_DIMM_A1_RFU_1</t>
  </si>
  <si>
    <t xml:space="preserve">J6T1.227, </t>
  </si>
  <si>
    <t>TP_CH_D_DIMM_D1_RFU_0</t>
  </si>
  <si>
    <t xml:space="preserve">J6M1.205, </t>
  </si>
  <si>
    <t>TP_CH_D_DIMM_D1_RFU_1</t>
  </si>
  <si>
    <t xml:space="preserve">J6M1.227, </t>
  </si>
  <si>
    <t>TP_CH_D_DIMM_D1_RFU_2</t>
  </si>
  <si>
    <t xml:space="preserve">J6M1.144, </t>
  </si>
  <si>
    <t>TP_CH_F_DIMM_F1_RFU_2</t>
  </si>
  <si>
    <t xml:space="preserve">J6L1.144, </t>
  </si>
  <si>
    <t>TP_CH_L_DIMM0_RFU_1</t>
  </si>
  <si>
    <t xml:space="preserve">J9L2.227, </t>
  </si>
  <si>
    <t>TP_CH_M_DIMM_M1_RFU_1</t>
  </si>
  <si>
    <t xml:space="preserve">J9L1.227, </t>
  </si>
  <si>
    <t>TP_CLK5_50M_CKMNG</t>
  </si>
  <si>
    <t xml:space="preserve">EU8F2.24, </t>
  </si>
  <si>
    <t>NC_6175</t>
  </si>
  <si>
    <t xml:space="preserve">EU3P1.1, </t>
  </si>
  <si>
    <t>NC_6176</t>
  </si>
  <si>
    <t xml:space="preserve">EU3P1.2, </t>
  </si>
  <si>
    <t>NC_6183</t>
  </si>
  <si>
    <t xml:space="preserve">U8D7.2, </t>
  </si>
  <si>
    <t>NC_6185</t>
  </si>
  <si>
    <t xml:space="preserve">EU8A1.1, </t>
  </si>
  <si>
    <t>NC_6186</t>
  </si>
  <si>
    <t xml:space="preserve">EU8A1.2, </t>
  </si>
  <si>
    <t>NC_6187</t>
  </si>
  <si>
    <t xml:space="preserve">EU8A1.28, </t>
  </si>
  <si>
    <t>NC_6188</t>
  </si>
  <si>
    <t xml:space="preserve">U7C1.2400, </t>
  </si>
  <si>
    <t>NC_6190</t>
  </si>
  <si>
    <t xml:space="preserve">U7C1.2411, </t>
  </si>
  <si>
    <t>NC_6191</t>
  </si>
  <si>
    <t xml:space="preserve">U7C1.2627, </t>
  </si>
  <si>
    <t>NC_6193</t>
  </si>
  <si>
    <t xml:space="preserve">U7C1.2407, </t>
  </si>
  <si>
    <t>NC_6194</t>
  </si>
  <si>
    <t xml:space="preserve">U7C1.2045, </t>
  </si>
  <si>
    <t>NC_6195</t>
  </si>
  <si>
    <t xml:space="preserve">U7C1.2189, </t>
  </si>
  <si>
    <t>NC_6196</t>
  </si>
  <si>
    <t xml:space="preserve">U7C1.2197, </t>
  </si>
  <si>
    <t>NC_6197</t>
  </si>
  <si>
    <t xml:space="preserve">U7C1.2053, </t>
  </si>
  <si>
    <t>NC_6198</t>
  </si>
  <si>
    <t xml:space="preserve">U7C1.1979, </t>
  </si>
  <si>
    <t>NC_6200</t>
  </si>
  <si>
    <t xml:space="preserve">U7C1.1307, </t>
  </si>
  <si>
    <t>NC_6201</t>
  </si>
  <si>
    <t xml:space="preserve">U7C1.2027, </t>
  </si>
  <si>
    <t>NC_6202</t>
  </si>
  <si>
    <t xml:space="preserve">U7C1.1388, </t>
  </si>
  <si>
    <t>NC_6205</t>
  </si>
  <si>
    <t xml:space="preserve">U7C1.1894, </t>
  </si>
  <si>
    <t>NC_6206</t>
  </si>
  <si>
    <t xml:space="preserve">U7C1.1311, </t>
  </si>
  <si>
    <t>NC_6209</t>
  </si>
  <si>
    <t xml:space="preserve">U7C1.1451, </t>
  </si>
  <si>
    <t>NC_6210</t>
  </si>
  <si>
    <t xml:space="preserve">U7C1.2638, </t>
  </si>
  <si>
    <t>NC_6211</t>
  </si>
  <si>
    <t xml:space="preserve">U8D7.117, </t>
  </si>
  <si>
    <t>NC_6212</t>
  </si>
  <si>
    <t xml:space="preserve">U8D7.132, </t>
  </si>
  <si>
    <t>NC_6213</t>
  </si>
  <si>
    <t xml:space="preserve">U7C1.76, </t>
  </si>
  <si>
    <t>NC_6214</t>
  </si>
  <si>
    <t xml:space="preserve">U25W4.71, </t>
  </si>
  <si>
    <t>NC_6228</t>
  </si>
  <si>
    <t xml:space="preserve">J30W1.23, </t>
  </si>
  <si>
    <t>NC_6229</t>
  </si>
  <si>
    <t xml:space="preserve">J30W1.24, </t>
  </si>
  <si>
    <t>NC_6234</t>
  </si>
  <si>
    <t xml:space="preserve">J1D1.13, </t>
  </si>
  <si>
    <t>NC_6235</t>
  </si>
  <si>
    <t xml:space="preserve">J1E1.13, </t>
  </si>
  <si>
    <t>NC_6236</t>
  </si>
  <si>
    <t xml:space="preserve">J10W1.5, </t>
  </si>
  <si>
    <t>NC_6253</t>
  </si>
  <si>
    <t xml:space="preserve">J8F1.59, </t>
  </si>
  <si>
    <t>NC_6254</t>
  </si>
  <si>
    <t xml:space="preserve">J8F1.60, </t>
  </si>
  <si>
    <t>NC_6268</t>
  </si>
  <si>
    <t xml:space="preserve">CONX8.61, </t>
  </si>
  <si>
    <t>NC_6269</t>
  </si>
  <si>
    <t xml:space="preserve">CONX8.62, </t>
  </si>
  <si>
    <t>TP_P3E_CPU1_PE2_RSR_TXN&lt;6&gt;</t>
  </si>
  <si>
    <t xml:space="preserve">U2D1.1541, </t>
  </si>
  <si>
    <t>TP_P3E_CPU1_PE2_RSR_TXP&lt;9&gt;</t>
  </si>
  <si>
    <t xml:space="preserve">U2D1.1331, </t>
  </si>
  <si>
    <t>TP_SPRV_SDP3</t>
  </si>
  <si>
    <t xml:space="preserve">EU9E1.60, </t>
  </si>
  <si>
    <t>NC_CLK_156M_CPU1_OSC</t>
  </si>
  <si>
    <t xml:space="preserve">Y3F1.2, </t>
  </si>
  <si>
    <t>TP_CPU0_RSVD_69</t>
  </si>
  <si>
    <t xml:space="preserve">U5D1.1822, </t>
  </si>
  <si>
    <t>因VIA未開防焊並且可植針位置被元件覆蓋</t>
  </si>
  <si>
    <t>因VIA未開防焊</t>
  </si>
  <si>
    <t>因可植針位置之[測點-&gt;測點]間距不夠</t>
  </si>
  <si>
    <t>19*19mil via</t>
    <phoneticPr fontId="3" type="noConversion"/>
  </si>
  <si>
    <t>PCB Size</t>
    <phoneticPr fontId="3" type="noConversion"/>
  </si>
  <si>
    <t>Total</t>
    <phoneticPr fontId="3" type="noConversion"/>
  </si>
  <si>
    <t>Actual Q'ty</t>
    <phoneticPr fontId="3" type="noConversion"/>
  </si>
  <si>
    <t>Need Q'ty</t>
    <phoneticPr fontId="3" type="noConversion"/>
  </si>
  <si>
    <t>* Percentage of nets with "Test Pad" or "VIA" test points(&gt;=85%):</t>
    <phoneticPr fontId="3" type="noConversion"/>
  </si>
  <si>
    <t>* Percentage of nets with test points on bottom side(&gt;=85%):</t>
    <phoneticPr fontId="3" type="noConversion"/>
  </si>
  <si>
    <t>No.</t>
    <phoneticPr fontId="3" type="noConversion"/>
  </si>
  <si>
    <t>Definition :</t>
    <phoneticPr fontId="3" type="noConversion"/>
  </si>
  <si>
    <t>No.</t>
    <phoneticPr fontId="3" type="noConversion"/>
  </si>
  <si>
    <t>Item</t>
    <phoneticPr fontId="3" type="noConversion"/>
  </si>
  <si>
    <t>Example</t>
    <phoneticPr fontId="3" type="noConversion"/>
  </si>
  <si>
    <t>2. Net information:</t>
    <phoneticPr fontId="3" type="noConversion"/>
  </si>
  <si>
    <t>1. Model information:</t>
    <phoneticPr fontId="3" type="noConversion"/>
  </si>
  <si>
    <t>5. Test point size, quantity, and allocation</t>
    <phoneticPr fontId="3" type="noConversion"/>
  </si>
  <si>
    <t>6. Power and GND nodes quantity, sufficient test points are required to supply power:</t>
    <phoneticPr fontId="3" type="noConversion"/>
  </si>
  <si>
    <t>2.Net information:</t>
    <phoneticPr fontId="3" type="noConversion"/>
  </si>
  <si>
    <t>Testable nets Coverage
(including high speed nets)</t>
    <phoneticPr fontId="3" type="noConversion"/>
  </si>
  <si>
    <t>Testable nets Coverage
(excluding high speed nets)</t>
    <phoneticPr fontId="3" type="noConversion"/>
  </si>
  <si>
    <t>Actual Q'ty</t>
    <phoneticPr fontId="3" type="noConversion"/>
  </si>
  <si>
    <t>Percentage</t>
    <phoneticPr fontId="3" type="noConversion"/>
  </si>
  <si>
    <t>Subtotal</t>
    <phoneticPr fontId="3" type="noConversion"/>
  </si>
  <si>
    <t>Q'ty of high speed nets with test piont</t>
    <phoneticPr fontId="3" type="noConversion"/>
  </si>
  <si>
    <t>Q'ty of high speed nets with test piont</t>
    <phoneticPr fontId="3" type="noConversion"/>
  </si>
  <si>
    <t>Date:</t>
    <phoneticPr fontId="3" type="noConversion"/>
  </si>
  <si>
    <t>Total nets number</t>
    <phoneticPr fontId="3" type="noConversion"/>
  </si>
  <si>
    <t>Nets</t>
    <phoneticPr fontId="3" type="noConversion"/>
  </si>
  <si>
    <t>No.</t>
    <phoneticPr fontId="3" type="noConversion"/>
  </si>
  <si>
    <t>Net Name</t>
    <phoneticPr fontId="3" type="noConversion"/>
  </si>
  <si>
    <t>Connected Component List</t>
    <phoneticPr fontId="3" type="noConversion"/>
  </si>
  <si>
    <t>Top/Bottom</t>
    <phoneticPr fontId="3" type="noConversion"/>
  </si>
  <si>
    <t>PAD size</t>
    <phoneticPr fontId="3" type="noConversion"/>
  </si>
  <si>
    <t>Point type</t>
    <phoneticPr fontId="3" type="noConversion"/>
  </si>
  <si>
    <t>HSS</t>
    <phoneticPr fontId="3" type="noConversion"/>
  </si>
  <si>
    <t>Remark</t>
    <phoneticPr fontId="3" type="noConversion"/>
  </si>
  <si>
    <t>Remark</t>
    <phoneticPr fontId="3" type="noConversion"/>
  </si>
  <si>
    <t>No.</t>
    <phoneticPr fontId="3" type="noConversion"/>
  </si>
  <si>
    <r>
      <t>与高度大于</t>
    </r>
    <r>
      <rPr>
        <sz val="10"/>
        <rFont val="Arial"/>
        <family val="2"/>
      </rPr>
      <t>10mm</t>
    </r>
    <r>
      <rPr>
        <sz val="10"/>
        <rFont val="細明體"/>
        <family val="3"/>
        <charset val="136"/>
      </rPr>
      <t>元件间距</t>
    </r>
    <r>
      <rPr>
        <sz val="10"/>
        <rFont val="Arial"/>
        <family val="2"/>
      </rPr>
      <t>&lt;120mil</t>
    </r>
  </si>
  <si>
    <r>
      <rPr>
        <sz val="10"/>
        <rFont val="細明體"/>
        <family val="3"/>
        <charset val="136"/>
      </rPr>
      <t>与高度为</t>
    </r>
    <r>
      <rPr>
        <sz val="10"/>
        <rFont val="Arial"/>
        <family val="2"/>
      </rPr>
      <t>5~10mm</t>
    </r>
    <r>
      <rPr>
        <sz val="10"/>
        <rFont val="細明體"/>
        <family val="3"/>
        <charset val="136"/>
      </rPr>
      <t>元件间距</t>
    </r>
    <r>
      <rPr>
        <sz val="10"/>
        <rFont val="Arial"/>
        <family val="2"/>
      </rPr>
      <t>&lt;120mil</t>
    </r>
    <phoneticPr fontId="3" type="noConversion"/>
  </si>
  <si>
    <r>
      <rPr>
        <sz val="10"/>
        <rFont val="細明體"/>
        <family val="3"/>
        <charset val="136"/>
      </rPr>
      <t>与高度为</t>
    </r>
    <r>
      <rPr>
        <sz val="10"/>
        <rFont val="Arial"/>
        <family val="2"/>
      </rPr>
      <t>2.5~5mm</t>
    </r>
    <r>
      <rPr>
        <sz val="10"/>
        <rFont val="細明體"/>
        <family val="3"/>
        <charset val="136"/>
      </rPr>
      <t>元件间距</t>
    </r>
    <r>
      <rPr>
        <sz val="10"/>
        <rFont val="Arial"/>
        <family val="2"/>
      </rPr>
      <t>&lt;38mil</t>
    </r>
    <phoneticPr fontId="3" type="noConversion"/>
  </si>
  <si>
    <r>
      <rPr>
        <sz val="10"/>
        <rFont val="細明體"/>
        <family val="3"/>
        <charset val="136"/>
      </rPr>
      <t>与高度小于</t>
    </r>
    <r>
      <rPr>
        <sz val="10"/>
        <rFont val="Arial"/>
        <family val="2"/>
      </rPr>
      <t>2.5mm</t>
    </r>
    <r>
      <rPr>
        <sz val="10"/>
        <rFont val="細明體"/>
        <family val="3"/>
        <charset val="136"/>
      </rPr>
      <t>元件间距</t>
    </r>
    <r>
      <rPr>
        <sz val="10"/>
        <rFont val="Arial"/>
        <family val="2"/>
      </rPr>
      <t>&lt;25mil</t>
    </r>
    <phoneticPr fontId="3" type="noConversion"/>
  </si>
  <si>
    <r>
      <rPr>
        <sz val="10"/>
        <rFont val="新細明體"/>
        <family val="1"/>
        <charset val="136"/>
      </rPr>
      <t>与</t>
    </r>
    <r>
      <rPr>
        <sz val="10"/>
        <rFont val="Arial"/>
        <family val="2"/>
      </rPr>
      <t>BGA</t>
    </r>
    <r>
      <rPr>
        <sz val="10"/>
        <rFont val="新細明體"/>
        <family val="1"/>
        <charset val="136"/>
      </rPr>
      <t>间距</t>
    </r>
    <r>
      <rPr>
        <sz val="10"/>
        <rFont val="Arial"/>
        <family val="2"/>
      </rPr>
      <t>&lt;45mil</t>
    </r>
    <phoneticPr fontId="3" type="noConversion"/>
  </si>
  <si>
    <t xml:space="preserve"> </t>
    <phoneticPr fontId="3" type="noConversion"/>
  </si>
  <si>
    <t>Testable nets Coverage (including high speed nets)</t>
    <phoneticPr fontId="3" type="noConversion"/>
  </si>
  <si>
    <t>Testable nets Coverage (excluding high speed nets)</t>
    <phoneticPr fontId="3" type="noConversion"/>
  </si>
  <si>
    <t>Testable</t>
    <phoneticPr fontId="3" type="noConversion"/>
  </si>
  <si>
    <t>Untestable</t>
    <phoneticPr fontId="3" type="noConversion"/>
  </si>
  <si>
    <t>Q'ty of high speed nets(RD)</t>
    <phoneticPr fontId="3" type="noConversion"/>
  </si>
  <si>
    <r>
      <t>NET</t>
    </r>
    <r>
      <rPr>
        <sz val="10"/>
        <rFont val="標楷體"/>
        <family val="4"/>
        <charset val="136"/>
      </rPr>
      <t>不與任何元件相連，如孤立的孔，</t>
    </r>
    <r>
      <rPr>
        <sz val="10"/>
        <rFont val="Times New Roman"/>
        <family val="1"/>
      </rPr>
      <t>PAD</t>
    </r>
    <r>
      <rPr>
        <sz val="10"/>
        <rFont val="標楷體"/>
        <family val="4"/>
        <charset val="136"/>
      </rPr>
      <t>等</t>
    </r>
    <phoneticPr fontId="3" type="noConversion"/>
  </si>
  <si>
    <r>
      <t xml:space="preserve">3. Nets Coverage : </t>
    </r>
    <r>
      <rPr>
        <b/>
        <sz val="10"/>
        <rFont val="標楷體"/>
        <family val="4"/>
        <charset val="136"/>
      </rPr>
      <t>以下皆為連接</t>
    </r>
    <r>
      <rPr>
        <b/>
        <sz val="10"/>
        <rFont val="Times New Roman"/>
        <family val="1"/>
      </rPr>
      <t>2</t>
    </r>
    <r>
      <rPr>
        <b/>
        <sz val="10"/>
        <rFont val="標楷體"/>
        <family val="4"/>
        <charset val="136"/>
      </rPr>
      <t>個以上元件腳的</t>
    </r>
    <r>
      <rPr>
        <b/>
        <sz val="10"/>
        <rFont val="Times New Roman"/>
        <family val="1"/>
      </rPr>
      <t>NET</t>
    </r>
    <phoneticPr fontId="3" type="noConversion"/>
  </si>
  <si>
    <r>
      <t>Net</t>
    </r>
    <r>
      <rPr>
        <sz val="10"/>
        <rFont val="標楷體"/>
        <family val="4"/>
        <charset val="136"/>
      </rPr>
      <t>只連到一個元件交
（測點</t>
    </r>
    <r>
      <rPr>
        <sz val="10"/>
        <rFont val="Times New Roman"/>
        <family val="1"/>
      </rPr>
      <t>/Via</t>
    </r>
    <r>
      <rPr>
        <sz val="10"/>
        <rFont val="標楷體"/>
        <family val="4"/>
        <charset val="136"/>
      </rPr>
      <t>不算元件）</t>
    </r>
    <phoneticPr fontId="3" type="noConversion"/>
  </si>
  <si>
    <r>
      <rPr>
        <sz val="10"/>
        <rFont val="標楷體"/>
        <family val="4"/>
        <charset val="136"/>
      </rPr>
      <t>元件腳沒有引出線路，包括</t>
    </r>
    <r>
      <rPr>
        <sz val="10"/>
        <rFont val="Times New Roman"/>
        <family val="1"/>
      </rPr>
      <t>DIP</t>
    </r>
    <r>
      <rPr>
        <sz val="10"/>
        <rFont val="標楷體"/>
        <family val="4"/>
        <charset val="136"/>
      </rPr>
      <t>和</t>
    </r>
    <r>
      <rPr>
        <sz val="10"/>
        <rFont val="Times New Roman"/>
        <family val="1"/>
      </rPr>
      <t>SMD</t>
    </r>
    <r>
      <rPr>
        <sz val="10"/>
        <rFont val="標楷體"/>
        <family val="4"/>
        <charset val="136"/>
      </rPr>
      <t>腳</t>
    </r>
    <phoneticPr fontId="3" type="noConversion"/>
  </si>
  <si>
    <r>
      <rPr>
        <sz val="10"/>
        <rFont val="標楷體"/>
        <family val="4"/>
        <charset val="136"/>
      </rPr>
      <t>因不符合</t>
    </r>
    <r>
      <rPr>
        <sz val="10"/>
        <rFont val="Times New Roman"/>
        <family val="1"/>
      </rPr>
      <t>DFT</t>
    </r>
    <r>
      <rPr>
        <sz val="10"/>
        <rFont val="標楷體"/>
        <family val="4"/>
        <charset val="136"/>
      </rPr>
      <t>要求而無法植針的</t>
    </r>
    <r>
      <rPr>
        <sz val="10"/>
        <rFont val="Times New Roman"/>
        <family val="1"/>
      </rPr>
      <t xml:space="preserve">net </t>
    </r>
    <r>
      <rPr>
        <sz val="10"/>
        <rFont val="標楷體"/>
        <family val="4"/>
        <charset val="136"/>
      </rPr>
      <t>數</t>
    </r>
    <phoneticPr fontId="3" type="noConversion"/>
  </si>
  <si>
    <r>
      <rPr>
        <sz val="10"/>
        <rFont val="標楷體"/>
        <family val="4"/>
        <charset val="136"/>
      </rPr>
      <t>板子有</t>
    </r>
    <r>
      <rPr>
        <sz val="10"/>
        <rFont val="Times New Roman"/>
        <family val="1"/>
      </rPr>
      <t xml:space="preserve">layout </t>
    </r>
    <r>
      <rPr>
        <sz val="10"/>
        <rFont val="標楷體"/>
        <family val="4"/>
        <charset val="136"/>
      </rPr>
      <t>測點，但不符合</t>
    </r>
    <r>
      <rPr>
        <sz val="10"/>
        <rFont val="Times New Roman"/>
        <family val="1"/>
      </rPr>
      <t>DFT</t>
    </r>
    <r>
      <rPr>
        <sz val="10"/>
        <rFont val="標楷體"/>
        <family val="4"/>
        <charset val="136"/>
      </rPr>
      <t>要求，導致無法植針的</t>
    </r>
    <r>
      <rPr>
        <sz val="10"/>
        <rFont val="Times New Roman"/>
        <family val="1"/>
      </rPr>
      <t>net</t>
    </r>
    <r>
      <rPr>
        <sz val="10"/>
        <rFont val="標楷體"/>
        <family val="4"/>
        <charset val="136"/>
      </rPr>
      <t>數</t>
    </r>
    <phoneticPr fontId="3" type="noConversion"/>
  </si>
  <si>
    <r>
      <t>Q'ty of high speed nets</t>
    </r>
    <r>
      <rPr>
        <sz val="8"/>
        <rFont val="Arial"/>
        <family val="2"/>
      </rPr>
      <t/>
    </r>
    <phoneticPr fontId="3" type="noConversion"/>
  </si>
  <si>
    <r>
      <rPr>
        <sz val="10"/>
        <rFont val="標楷體"/>
        <family val="4"/>
        <charset val="136"/>
      </rPr>
      <t>板子上高速信號的總</t>
    </r>
    <r>
      <rPr>
        <sz val="10"/>
        <rFont val="Times New Roman"/>
        <family val="1"/>
      </rPr>
      <t>net</t>
    </r>
    <r>
      <rPr>
        <sz val="10"/>
        <rFont val="標楷體"/>
        <family val="4"/>
        <charset val="136"/>
      </rPr>
      <t>數</t>
    </r>
    <phoneticPr fontId="3" type="noConversion"/>
  </si>
  <si>
    <r>
      <rPr>
        <sz val="10"/>
        <rFont val="標楷體"/>
        <family val="4"/>
        <charset val="136"/>
      </rPr>
      <t>板子上有測點高速信號的</t>
    </r>
    <r>
      <rPr>
        <sz val="10"/>
        <rFont val="Times New Roman"/>
        <family val="1"/>
      </rPr>
      <t>net</t>
    </r>
    <r>
      <rPr>
        <sz val="10"/>
        <rFont val="標楷體"/>
        <family val="4"/>
        <charset val="136"/>
      </rPr>
      <t>數</t>
    </r>
    <phoneticPr fontId="3" type="noConversion"/>
  </si>
  <si>
    <r>
      <rPr>
        <sz val="10"/>
        <rFont val="標楷體"/>
        <family val="4"/>
        <charset val="136"/>
      </rPr>
      <t>公式：含高速信號</t>
    </r>
    <r>
      <rPr>
        <sz val="10"/>
        <rFont val="Times New Roman"/>
        <family val="1"/>
      </rPr>
      <t>net</t>
    </r>
    <r>
      <rPr>
        <sz val="10"/>
        <rFont val="標楷體"/>
        <family val="4"/>
        <charset val="136"/>
      </rPr>
      <t>的</t>
    </r>
    <r>
      <rPr>
        <sz val="10"/>
        <rFont val="Times New Roman"/>
        <family val="1"/>
      </rPr>
      <t>Coverage =</t>
    </r>
    <r>
      <rPr>
        <sz val="10"/>
        <rFont val="標楷體"/>
        <family val="4"/>
        <charset val="136"/>
      </rPr>
      <t>（測試點數總數</t>
    </r>
    <r>
      <rPr>
        <sz val="10"/>
        <rFont val="Times New Roman"/>
        <family val="1"/>
      </rPr>
      <t>-</t>
    </r>
    <r>
      <rPr>
        <sz val="10"/>
        <rFont val="標楷體"/>
        <family val="4"/>
        <charset val="136"/>
      </rPr>
      <t>不符合</t>
    </r>
    <r>
      <rPr>
        <sz val="10"/>
        <rFont val="Times New Roman"/>
        <family val="1"/>
      </rPr>
      <t>DFT</t>
    </r>
    <r>
      <rPr>
        <sz val="10"/>
        <rFont val="標楷體"/>
        <family val="4"/>
        <charset val="136"/>
      </rPr>
      <t>的測點數）</t>
    </r>
    <r>
      <rPr>
        <sz val="10"/>
        <rFont val="Times New Roman"/>
        <family val="1"/>
      </rPr>
      <t>/</t>
    </r>
    <r>
      <rPr>
        <sz val="10"/>
        <rFont val="標楷體"/>
        <family val="4"/>
        <charset val="136"/>
      </rPr>
      <t>總</t>
    </r>
    <r>
      <rPr>
        <sz val="10"/>
        <rFont val="Times New Roman"/>
        <family val="1"/>
      </rPr>
      <t>net</t>
    </r>
    <r>
      <rPr>
        <sz val="10"/>
        <rFont val="標楷體"/>
        <family val="4"/>
        <charset val="136"/>
      </rPr>
      <t>數</t>
    </r>
    <phoneticPr fontId="3" type="noConversion"/>
  </si>
  <si>
    <r>
      <rPr>
        <sz val="10"/>
        <rFont val="標楷體"/>
        <family val="4"/>
        <charset val="136"/>
      </rPr>
      <t>公式：不含高速信號</t>
    </r>
    <r>
      <rPr>
        <sz val="10"/>
        <rFont val="Times New Roman"/>
        <family val="1"/>
      </rPr>
      <t>net</t>
    </r>
    <r>
      <rPr>
        <sz val="10"/>
        <rFont val="標楷體"/>
        <family val="4"/>
        <charset val="136"/>
      </rPr>
      <t>的</t>
    </r>
    <r>
      <rPr>
        <sz val="10"/>
        <rFont val="Times New Roman"/>
        <family val="1"/>
      </rPr>
      <t>Coverage =</t>
    </r>
    <r>
      <rPr>
        <sz val="10"/>
        <rFont val="標楷體"/>
        <family val="4"/>
        <charset val="136"/>
      </rPr>
      <t>（測試點數總數</t>
    </r>
    <r>
      <rPr>
        <sz val="10"/>
        <rFont val="Times New Roman"/>
        <family val="1"/>
      </rPr>
      <t>-</t>
    </r>
    <r>
      <rPr>
        <sz val="10"/>
        <rFont val="標楷體"/>
        <family val="4"/>
        <charset val="136"/>
      </rPr>
      <t>不符合</t>
    </r>
    <r>
      <rPr>
        <sz val="10"/>
        <rFont val="Times New Roman"/>
        <family val="1"/>
      </rPr>
      <t>DFT</t>
    </r>
    <r>
      <rPr>
        <sz val="10"/>
        <rFont val="標楷體"/>
        <family val="4"/>
        <charset val="136"/>
      </rPr>
      <t>的測點數</t>
    </r>
    <r>
      <rPr>
        <sz val="10"/>
        <rFont val="Times New Roman"/>
        <family val="1"/>
      </rPr>
      <t>-</t>
    </r>
    <r>
      <rPr>
        <sz val="10"/>
        <rFont val="標楷體"/>
        <family val="4"/>
        <charset val="136"/>
      </rPr>
      <t>有測點的高速信號</t>
    </r>
    <r>
      <rPr>
        <sz val="10"/>
        <rFont val="Times New Roman"/>
        <family val="1"/>
      </rPr>
      <t>net</t>
    </r>
    <r>
      <rPr>
        <sz val="10"/>
        <rFont val="標楷體"/>
        <family val="4"/>
        <charset val="136"/>
      </rPr>
      <t>數）</t>
    </r>
    <r>
      <rPr>
        <sz val="10"/>
        <rFont val="Times New Roman"/>
        <family val="1"/>
      </rPr>
      <t>/</t>
    </r>
    <r>
      <rPr>
        <sz val="10"/>
        <rFont val="標楷體"/>
        <family val="4"/>
        <charset val="136"/>
      </rPr>
      <t>（總</t>
    </r>
    <r>
      <rPr>
        <sz val="10"/>
        <rFont val="Times New Roman"/>
        <family val="1"/>
      </rPr>
      <t>net</t>
    </r>
    <r>
      <rPr>
        <sz val="10"/>
        <rFont val="標楷體"/>
        <family val="4"/>
        <charset val="136"/>
      </rPr>
      <t>數</t>
    </r>
    <r>
      <rPr>
        <sz val="10"/>
        <rFont val="Times New Roman"/>
        <family val="1"/>
      </rPr>
      <t>-</t>
    </r>
    <r>
      <rPr>
        <sz val="10"/>
        <rFont val="標楷體"/>
        <family val="4"/>
        <charset val="136"/>
      </rPr>
      <t>高速信號的總</t>
    </r>
    <r>
      <rPr>
        <sz val="10"/>
        <rFont val="Times New Roman"/>
        <family val="1"/>
      </rPr>
      <t>net</t>
    </r>
    <r>
      <rPr>
        <sz val="10"/>
        <rFont val="標楷體"/>
        <family val="4"/>
        <charset val="136"/>
      </rPr>
      <t>數）</t>
    </r>
    <phoneticPr fontId="3" type="noConversion"/>
  </si>
  <si>
    <t>ICT Test Point (Nets) Testability Analysis Report</t>
    <phoneticPr fontId="3" type="noConversion"/>
  </si>
  <si>
    <t xml:space="preserve">           Type
Size</t>
    <phoneticPr fontId="3" type="noConversion"/>
  </si>
  <si>
    <r>
      <rPr>
        <sz val="10"/>
        <color indexed="63"/>
        <rFont val="標楷體"/>
        <family val="4"/>
        <charset val="136"/>
      </rPr>
      <t>小於</t>
    </r>
    <r>
      <rPr>
        <sz val="10"/>
        <color indexed="63"/>
        <rFont val="Times New Roman"/>
        <family val="1"/>
      </rPr>
      <t>24mil
(</t>
    </r>
    <r>
      <rPr>
        <sz val="10"/>
        <color indexed="63"/>
        <rFont val="標楷體"/>
        <family val="4"/>
        <charset val="136"/>
      </rPr>
      <t>不含</t>
    </r>
    <r>
      <rPr>
        <sz val="10"/>
        <color indexed="63"/>
        <rFont val="Times New Roman"/>
        <family val="1"/>
      </rPr>
      <t>Bead/MECA)</t>
    </r>
    <phoneticPr fontId="3" type="noConversion"/>
  </si>
  <si>
    <t>* Percentage of nets with 75mil and 100mil Test Point (TP) Spacing(&gt;=85%) :</t>
    <phoneticPr fontId="3" type="noConversion"/>
  </si>
  <si>
    <t>Probe type</t>
  </si>
  <si>
    <t>Probe type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</si>
  <si>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</si>
  <si>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</si>
  <si>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</si>
  <si>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</si>
  <si>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</si>
  <si>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Connecting two or more component pins</t>
    <phoneticPr fontId="3" type="noConversion"/>
  </si>
  <si>
    <r>
      <t>3. Nets Coverage: The following are all Connecting two or more component pins</t>
    </r>
    <r>
      <rPr>
        <b/>
        <sz val="10"/>
        <rFont val="標楷體"/>
        <family val="4"/>
        <charset val="136"/>
      </rPr>
      <t/>
    </r>
    <phoneticPr fontId="3" type="noConversion"/>
  </si>
  <si>
    <r>
      <rPr>
        <sz val="10"/>
        <color indexed="10"/>
        <rFont val="Times New Roman"/>
        <family val="1"/>
      </rPr>
      <t>Untestable</t>
    </r>
    <r>
      <rPr>
        <sz val="10"/>
        <rFont val="Times New Roman"/>
        <family val="1"/>
      </rPr>
      <t xml:space="preserve"> nets number (</t>
    </r>
    <r>
      <rPr>
        <sz val="10"/>
        <rFont val="標楷體"/>
        <family val="4"/>
        <charset val="136"/>
      </rPr>
      <t>不可選點的</t>
    </r>
    <r>
      <rPr>
        <sz val="10"/>
        <rFont val="Times New Roman"/>
        <family val="1"/>
      </rPr>
      <t>nets</t>
    </r>
    <r>
      <rPr>
        <sz val="10"/>
        <rFont val="標楷體"/>
        <family val="4"/>
        <charset val="136"/>
      </rPr>
      <t>總數</t>
    </r>
    <r>
      <rPr>
        <sz val="10"/>
        <rFont val="Times New Roman"/>
        <family val="1"/>
      </rPr>
      <t>)</t>
    </r>
    <phoneticPr fontId="3" type="noConversion"/>
  </si>
  <si>
    <t>Only single component pin is connecting</t>
    <phoneticPr fontId="3" type="noConversion"/>
  </si>
  <si>
    <t>single component pin connecting</t>
    <phoneticPr fontId="3" type="noConversion"/>
  </si>
  <si>
    <t>Independent component pins</t>
    <phoneticPr fontId="3" type="noConversion"/>
  </si>
  <si>
    <t>Only single component pin connecting</t>
    <phoneticPr fontId="3" type="noConversion"/>
  </si>
  <si>
    <t>Not connected to any component</t>
  </si>
  <si>
    <t>Independent component pins</t>
    <phoneticPr fontId="3" type="noConversion"/>
  </si>
  <si>
    <t>Independent component pins</t>
    <phoneticPr fontId="3" type="noConversion"/>
  </si>
  <si>
    <t>HSS</t>
    <phoneticPr fontId="3" type="noConversion"/>
  </si>
  <si>
    <t>Not conform the DFT request Net Name, so can't build test probe</t>
    <phoneticPr fontId="3" type="noConversion"/>
  </si>
  <si>
    <t>There are test nets, but not conform the DFT request, so can't build test probe(from: Don't need DFT net list sheet)</t>
    <phoneticPr fontId="3" type="noConversion"/>
  </si>
  <si>
    <t>Only single component pin is connecting
No Connected (NC)</t>
    <phoneticPr fontId="3" type="noConversion"/>
  </si>
  <si>
    <t>Independent component pins
No Connected (NC)</t>
    <phoneticPr fontId="3" type="noConversion"/>
  </si>
  <si>
    <r>
      <t>Not connected to any component</t>
    </r>
    <r>
      <rPr>
        <sz val="10"/>
        <rFont val="標楷體"/>
        <family val="4"/>
        <charset val="136"/>
      </rPr>
      <t/>
    </r>
    <phoneticPr fontId="3" type="noConversion"/>
  </si>
  <si>
    <t>Not connected to any component</t>
    <phoneticPr fontId="3" type="noConversion"/>
  </si>
  <si>
    <t>Every Power Signal</t>
    <phoneticPr fontId="3" type="noConversion"/>
  </si>
  <si>
    <t>Connecting two or more component pins</t>
    <phoneticPr fontId="3" type="noConversion"/>
  </si>
  <si>
    <r>
      <t xml:space="preserve">There is a NET connecting two or more component pins
</t>
    </r>
    <r>
      <rPr>
        <sz val="10"/>
        <rFont val="標楷體"/>
        <family val="4"/>
        <charset val="136"/>
      </rPr>
      <t>（</t>
    </r>
    <r>
      <rPr>
        <sz val="10"/>
        <rFont val="Times New Roman"/>
        <family val="1"/>
      </rPr>
      <t>Test point/Via are not componet</t>
    </r>
    <r>
      <rPr>
        <sz val="10"/>
        <rFont val="標楷體"/>
        <family val="4"/>
        <charset val="136"/>
      </rPr>
      <t>）</t>
    </r>
    <phoneticPr fontId="3" type="noConversion"/>
  </si>
  <si>
    <t>4. Test point type, quantity, and allocation</t>
    <phoneticPr fontId="3" type="noConversion"/>
  </si>
  <si>
    <t>Independent component pins</t>
    <phoneticPr fontId="3" type="noConversion"/>
  </si>
  <si>
    <t>High speed sginals</t>
    <phoneticPr fontId="3" type="noConversion"/>
  </si>
  <si>
    <r>
      <rPr>
        <b/>
        <sz val="10"/>
        <color indexed="10"/>
        <rFont val="新細明體"/>
        <family val="1"/>
        <charset val="136"/>
      </rPr>
      <t>可測</t>
    </r>
    <r>
      <rPr>
        <b/>
        <sz val="10"/>
        <color indexed="10"/>
        <rFont val="Times New Roman"/>
        <family val="1"/>
      </rPr>
      <t>TP</t>
    </r>
    <r>
      <rPr>
        <b/>
        <sz val="10"/>
        <color indexed="10"/>
        <rFont val="新細明體"/>
        <family val="1"/>
        <charset val="136"/>
      </rPr>
      <t>總數</t>
    </r>
    <r>
      <rPr>
        <b/>
        <sz val="10"/>
        <color indexed="10"/>
        <rFont val="Times New Roman"/>
        <family val="1"/>
      </rPr>
      <t>/32</t>
    </r>
    <phoneticPr fontId="3" type="noConversion"/>
  </si>
  <si>
    <t>每個探針能承受的最大電流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</si>
</sst>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%"/>
    <numFmt numFmtId="177" formatCode="\$#,##0\ ;\(\$#,##0\)"/>
    <numFmt numFmtId="178" formatCode="&quot;VND&quot;#,##0_);[Red]\(&quot;VND&quot;#,##0\)"/>
    <numFmt numFmtId="179" formatCode="&quot;\&quot;#,##0;[Red]&quot;\&quot;&quot;\&quot;\-#,##0"/>
    <numFmt numFmtId="180" formatCode="&quot;\&quot;#,##0.00;[Red]&quot;\&quot;&quot;\&quot;&quot;\&quot;&quot;\&quot;&quot;\&quot;&quot;\&quot;\-#,##0.00"/>
    <numFmt numFmtId="181" formatCode="&quot;\&quot;#,##0.00;[Red]&quot;\&quot;\-#,##0.00"/>
    <numFmt numFmtId="182" formatCode="&quot;\&quot;#,##0;[Red]&quot;\&quot;\-#,##0"/>
  </numFmts>
  <fonts count="60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name val="VNtimes new roman"/>
      <family val="1"/>
    </font>
    <font>
      <sz val="14"/>
      <name val="뼻뮝"/>
      <family val="3"/>
    </font>
    <font>
      <sz val="12"/>
      <name val="뼻뮝"/>
      <family val="3"/>
    </font>
    <font>
      <sz val="12"/>
      <name val="바탕체"/>
      <family val="3"/>
    </font>
    <font>
      <sz val="10"/>
      <name val="굴림체"/>
      <family val="3"/>
    </font>
    <font>
      <sz val="12"/>
      <name val="宋体"/>
    </font>
    <font>
      <sz val="8"/>
      <name val="Arial"/>
      <family val="2"/>
    </font>
    <font>
      <sz val="10"/>
      <color indexed="63"/>
      <name val="Times New Roman"/>
      <family val="1"/>
    </font>
    <font>
      <sz val="10"/>
      <name val="細明體"/>
      <family val="3"/>
      <charset val="136"/>
    </font>
    <font>
      <b/>
      <sz val="9"/>
      <color indexed="81"/>
      <name val="Tahoma"/>
      <family val="2"/>
    </font>
    <font>
      <sz val="10"/>
      <name val="新細明體"/>
      <family val="1"/>
      <charset val="136"/>
    </font>
    <font>
      <sz val="9"/>
      <color indexed="81"/>
      <name val="Tahoma"/>
      <family val="2"/>
    </font>
    <font>
      <b/>
      <sz val="10"/>
      <name val="標楷體"/>
      <family val="4"/>
      <charset val="136"/>
    </font>
    <font>
      <sz val="10"/>
      <name val="標楷體"/>
      <family val="4"/>
      <charset val="136"/>
    </font>
    <font>
      <sz val="10"/>
      <color indexed="63"/>
      <name val="標楷體"/>
      <family val="4"/>
      <charset val="136"/>
    </font>
    <font>
      <b/>
      <sz val="10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8"/>
      <color indexed="9"/>
      <name val="Times New Roman"/>
      <family val="1"/>
    </font>
    <font>
      <sz val="12"/>
      <color indexed="63"/>
      <name val="Times New Roman"/>
      <family val="1"/>
    </font>
    <font>
      <sz val="8"/>
      <color indexed="63"/>
      <name val="Times New Roman"/>
      <family val="1"/>
    </font>
    <font>
      <b/>
      <sz val="10"/>
      <color indexed="9"/>
      <name val="Times New Roman"/>
      <family val="1"/>
    </font>
    <font>
      <b/>
      <sz val="10"/>
      <color indexed="63"/>
      <name val="Times New Roman"/>
      <family val="1"/>
    </font>
    <font>
      <b/>
      <sz val="9"/>
      <name val="Times New Roman"/>
      <family val="1"/>
    </font>
    <font>
      <u/>
      <sz val="10"/>
      <color indexed="12"/>
      <name val="Times New Roman"/>
      <family val="1"/>
    </font>
    <font>
      <b/>
      <sz val="10"/>
      <color indexed="55"/>
      <name val="Times New Roman"/>
      <family val="1"/>
    </font>
    <font>
      <b/>
      <sz val="8"/>
      <color indexed="63"/>
      <name val="Times New Roman"/>
      <family val="1"/>
    </font>
    <font>
      <b/>
      <sz val="12"/>
      <color indexed="63"/>
      <name val="Times New Roman"/>
      <family val="1"/>
    </font>
    <font>
      <b/>
      <sz val="8"/>
      <name val="Times New Roman"/>
      <family val="1"/>
    </font>
    <font>
      <sz val="9"/>
      <name val="Times New Roman"/>
      <family val="1"/>
    </font>
    <font>
      <b/>
      <sz val="16"/>
      <color indexed="12"/>
      <name val="標楷體"/>
      <family val="4"/>
      <charset val="136"/>
    </font>
    <font>
      <sz val="9"/>
      <color indexed="8"/>
      <name val="標楷體"/>
      <family val="4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標楷體"/>
      <family val="4"/>
      <charset val="136"/>
    </font>
    <font>
      <sz val="10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0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  <scheme val="minor"/>
    </font>
    <font>
      <b/>
      <sz val="20"/>
      <color rgb="FF0000CC"/>
      <name val="Times New Roman"/>
      <family val="1"/>
    </font>
    <font>
      <sz val="10"/>
      <color rgb="FF0000FF"/>
      <name val="Times New Roman"/>
      <family val="1"/>
    </font>
    <font>
      <sz val="9"/>
      <color theme="1"/>
      <name val="Times New Roman"/>
      <family val="1"/>
    </font>
    <font>
      <sz val="7.5"/>
      <color theme="1"/>
      <name val="新細明體"/>
      <family val="1"/>
      <charset val="136"/>
      <scheme val="minor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9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FF0000"/>
      <name val="新細明體"/>
      <family val="1"/>
      <charset val="136"/>
    </font>
    <font>
      <sz val="12"/>
      <color indexed="8"/>
      <name val="新細明體"/>
      <family val="1"/>
      <charset val="136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17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2"/>
        <bgColor indexed="17"/>
      </patternFill>
    </fill>
    <fill>
      <patternFill patternType="solid">
        <fgColor indexed="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339966"/>
      </left>
      <right style="medium">
        <color rgb="FF339966"/>
      </right>
      <top style="medium">
        <color rgb="FF339966"/>
      </top>
      <bottom style="medium">
        <color rgb="FF339966"/>
      </bottom>
      <diagonal/>
    </border>
    <border>
      <left style="medium">
        <color rgb="FF339966"/>
      </left>
      <right style="medium">
        <color rgb="FF339966"/>
      </right>
      <top style="medium">
        <color rgb="FF339966"/>
      </top>
      <bottom/>
      <diagonal/>
    </border>
    <border>
      <left style="medium">
        <color rgb="FF339966"/>
      </left>
      <right style="medium">
        <color rgb="FF339966"/>
      </right>
      <top style="medium">
        <color rgb="FF339966"/>
      </top>
      <bottom style="thin">
        <color indexed="64"/>
      </bottom>
      <diagonal/>
    </border>
  </borders>
  <cellStyleXfs count="56">
    <xf numFmtId="0" fontId="0" fillId="0" borderId="0"/>
    <xf numFmtId="3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78" fontId="8" fillId="0" borderId="0"/>
    <xf numFmtId="0" fontId="5" fillId="0" borderId="0"/>
    <xf numFmtId="0" fontId="5" fillId="0" borderId="1" applyNumberFormat="0" applyFont="0" applyFill="0" applyAlignment="0" applyProtection="0"/>
    <xf numFmtId="0" fontId="45" fillId="0" borderId="0">
      <alignment vertical="center"/>
    </xf>
    <xf numFmtId="0" fontId="45" fillId="0" borderId="0">
      <alignment vertical="center"/>
    </xf>
    <xf numFmtId="0" fontId="2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" fillId="0" borderId="0" applyBorder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" fillId="0" borderId="0" applyBorder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" fillId="0" borderId="0">
      <alignment vertical="center"/>
    </xf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10" fillId="0" borderId="0"/>
    <xf numFmtId="179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12" fillId="0" borderId="0"/>
    <xf numFmtId="0" fontId="59" fillId="0" borderId="0">
      <alignment vertical="center"/>
    </xf>
    <xf numFmtId="0" fontId="1" fillId="0" borderId="0">
      <alignment vertical="center"/>
    </xf>
  </cellStyleXfs>
  <cellXfs count="269">
    <xf numFmtId="0" fontId="0" fillId="0" borderId="0" xfId="0"/>
    <xf numFmtId="0" fontId="0" fillId="0" borderId="2" xfId="0" applyBorder="1"/>
    <xf numFmtId="0" fontId="45" fillId="0" borderId="2" xfId="16" applyFont="1" applyBorder="1" applyAlignment="1">
      <alignment horizontal="left" vertical="center" wrapText="1"/>
    </xf>
    <xf numFmtId="0" fontId="5" fillId="0" borderId="0" xfId="20" applyFont="1" applyBorder="1"/>
    <xf numFmtId="0" fontId="15" fillId="0" borderId="2" xfId="0" applyFont="1" applyBorder="1" applyAlignment="1" applyProtection="1">
      <alignment horizontal="left" vertical="center" wrapText="1"/>
      <protection locked="0"/>
    </xf>
    <xf numFmtId="0" fontId="16" fillId="0" borderId="0" xfId="20" applyFont="1" applyBorder="1"/>
    <xf numFmtId="0" fontId="5" fillId="0" borderId="0" xfId="20" applyFont="1" applyFill="1" applyBorder="1"/>
    <xf numFmtId="0" fontId="47" fillId="0" borderId="0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4" fillId="0" borderId="0" xfId="0" applyFont="1"/>
    <xf numFmtId="0" fontId="23" fillId="0" borderId="0" xfId="0" applyFont="1" applyBorder="1" applyAlignment="1">
      <alignment horizontal="left" vertical="center"/>
    </xf>
    <xf numFmtId="0" fontId="23" fillId="7" borderId="2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0" fontId="25" fillId="0" borderId="2" xfId="0" applyFont="1" applyFill="1" applyBorder="1" applyAlignment="1">
      <alignment vertical="center" wrapText="1"/>
    </xf>
    <xf numFmtId="0" fontId="25" fillId="0" borderId="0" xfId="0" applyFont="1" applyBorder="1" applyAlignment="1">
      <alignment vertical="center"/>
    </xf>
    <xf numFmtId="0" fontId="25" fillId="0" borderId="2" xfId="0" applyFont="1" applyBorder="1" applyAlignment="1">
      <alignment vertical="center" wrapText="1"/>
    </xf>
    <xf numFmtId="0" fontId="15" fillId="0" borderId="2" xfId="0" applyFont="1" applyFill="1" applyBorder="1" applyAlignment="1" applyProtection="1">
      <alignment horizontal="left" vertical="center"/>
    </xf>
    <xf numFmtId="0" fontId="27" fillId="0" borderId="0" xfId="0" applyFont="1" applyProtection="1">
      <protection locked="0"/>
    </xf>
    <xf numFmtId="0" fontId="27" fillId="0" borderId="0" xfId="0" applyFont="1" applyProtection="1"/>
    <xf numFmtId="0" fontId="23" fillId="2" borderId="5" xfId="0" applyFont="1" applyFill="1" applyBorder="1" applyAlignment="1" applyProtection="1">
      <alignment horizontal="center" vertical="center"/>
    </xf>
    <xf numFmtId="0" fontId="23" fillId="2" borderId="0" xfId="0" applyFont="1" applyFill="1" applyBorder="1" applyAlignment="1" applyProtection="1">
      <alignment horizontal="center" vertical="center"/>
    </xf>
    <xf numFmtId="0" fontId="23" fillId="2" borderId="6" xfId="0" applyFont="1" applyFill="1" applyBorder="1" applyAlignment="1" applyProtection="1">
      <alignment horizontal="center" vertical="center"/>
    </xf>
    <xf numFmtId="0" fontId="28" fillId="0" borderId="0" xfId="0" applyFont="1" applyProtection="1">
      <protection locked="0"/>
    </xf>
    <xf numFmtId="0" fontId="28" fillId="0" borderId="0" xfId="0" applyFont="1" applyProtection="1"/>
    <xf numFmtId="0" fontId="29" fillId="2" borderId="5" xfId="0" applyFont="1" applyFill="1" applyBorder="1" applyAlignment="1" applyProtection="1">
      <alignment horizontal="center" vertical="center"/>
    </xf>
    <xf numFmtId="0" fontId="30" fillId="0" borderId="0" xfId="0" applyFont="1" applyAlignment="1" applyProtection="1">
      <alignment horizontal="left" vertical="center"/>
    </xf>
    <xf numFmtId="0" fontId="29" fillId="2" borderId="0" xfId="0" applyFont="1" applyFill="1" applyBorder="1" applyAlignment="1" applyProtection="1">
      <alignment horizontal="center" vertical="center"/>
    </xf>
    <xf numFmtId="0" fontId="29" fillId="2" borderId="6" xfId="0" applyFont="1" applyFill="1" applyBorder="1" applyAlignment="1" applyProtection="1">
      <alignment horizontal="center" vertical="center"/>
    </xf>
    <xf numFmtId="0" fontId="30" fillId="0" borderId="5" xfId="0" applyFont="1" applyBorder="1" applyAlignment="1" applyProtection="1">
      <alignment horizontal="center" vertical="center" wrapText="1"/>
    </xf>
    <xf numFmtId="0" fontId="25" fillId="0" borderId="2" xfId="0" applyFont="1" applyBorder="1" applyAlignment="1" applyProtection="1">
      <alignment horizontal="center" vertical="center"/>
    </xf>
    <xf numFmtId="0" fontId="25" fillId="0" borderId="6" xfId="0" applyFont="1" applyFill="1" applyBorder="1" applyAlignment="1" applyProtection="1">
      <alignment vertical="center"/>
    </xf>
    <xf numFmtId="0" fontId="28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vertical="center"/>
    </xf>
    <xf numFmtId="0" fontId="15" fillId="0" borderId="6" xfId="0" applyFont="1" applyBorder="1" applyAlignment="1" applyProtection="1">
      <alignment vertical="center"/>
    </xf>
    <xf numFmtId="0" fontId="25" fillId="0" borderId="0" xfId="0" applyFont="1" applyBorder="1" applyAlignment="1" applyProtection="1">
      <alignment horizontal="center" vertical="center"/>
    </xf>
    <xf numFmtId="0" fontId="25" fillId="0" borderId="0" xfId="0" applyFont="1" applyBorder="1" applyAlignment="1" applyProtection="1">
      <alignment horizontal="left" vertical="center"/>
    </xf>
    <xf numFmtId="0" fontId="48" fillId="0" borderId="0" xfId="0" applyFont="1" applyBorder="1" applyAlignment="1" applyProtection="1">
      <alignment horizontal="right" vertical="center"/>
    </xf>
    <xf numFmtId="0" fontId="23" fillId="0" borderId="0" xfId="0" applyFont="1" applyBorder="1" applyAlignment="1" applyProtection="1">
      <alignment horizontal="left" vertical="center"/>
    </xf>
    <xf numFmtId="0" fontId="15" fillId="0" borderId="0" xfId="0" applyFont="1" applyBorder="1" applyAlignment="1" applyProtection="1">
      <alignment vertical="center"/>
    </xf>
    <xf numFmtId="0" fontId="28" fillId="0" borderId="5" xfId="0" applyFont="1" applyBorder="1" applyAlignment="1" applyProtection="1">
      <alignment vertical="center"/>
      <protection locked="0"/>
    </xf>
    <xf numFmtId="0" fontId="28" fillId="0" borderId="5" xfId="0" applyFont="1" applyFill="1" applyBorder="1" applyProtection="1">
      <protection locked="0"/>
    </xf>
    <xf numFmtId="0" fontId="28" fillId="0" borderId="0" xfId="0" applyFont="1" applyFill="1" applyProtection="1">
      <protection locked="0"/>
    </xf>
    <xf numFmtId="0" fontId="30" fillId="0" borderId="5" xfId="0" applyFont="1" applyBorder="1" applyAlignment="1" applyProtection="1">
      <alignment horizontal="center" vertical="center"/>
    </xf>
    <xf numFmtId="0" fontId="15" fillId="0" borderId="0" xfId="0" applyFont="1" applyAlignment="1" applyProtection="1">
      <alignment vertical="center"/>
    </xf>
    <xf numFmtId="0" fontId="30" fillId="0" borderId="0" xfId="0" applyFont="1" applyBorder="1" applyAlignment="1" applyProtection="1">
      <alignment horizontal="center" vertical="center"/>
    </xf>
    <xf numFmtId="0" fontId="23" fillId="3" borderId="5" xfId="0" applyFont="1" applyFill="1" applyBorder="1" applyAlignment="1" applyProtection="1">
      <alignment horizontal="left" vertical="center"/>
    </xf>
    <xf numFmtId="0" fontId="23" fillId="3" borderId="0" xfId="0" applyFont="1" applyFill="1" applyBorder="1" applyAlignment="1" applyProtection="1">
      <alignment horizontal="left" vertical="center"/>
    </xf>
    <xf numFmtId="10" fontId="25" fillId="3" borderId="6" xfId="0" applyNumberFormat="1" applyFont="1" applyFill="1" applyBorder="1" applyProtection="1"/>
    <xf numFmtId="0" fontId="28" fillId="0" borderId="0" xfId="0" applyFont="1" applyFill="1" applyProtection="1"/>
    <xf numFmtId="0" fontId="25" fillId="3" borderId="5" xfId="0" applyFont="1" applyFill="1" applyBorder="1" applyAlignment="1" applyProtection="1">
      <alignment horizontal="right" vertical="center"/>
    </xf>
    <xf numFmtId="0" fontId="28" fillId="0" borderId="0" xfId="0" applyFont="1" applyAlignment="1" applyProtection="1">
      <alignment vertical="center" wrapText="1"/>
      <protection locked="0"/>
    </xf>
    <xf numFmtId="0" fontId="15" fillId="0" borderId="5" xfId="0" applyFont="1" applyFill="1" applyBorder="1" applyProtection="1"/>
    <xf numFmtId="0" fontId="23" fillId="0" borderId="6" xfId="0" applyFont="1" applyFill="1" applyBorder="1" applyAlignment="1" applyProtection="1">
      <alignment horizontal="center" vertical="center"/>
    </xf>
    <xf numFmtId="0" fontId="30" fillId="0" borderId="6" xfId="0" applyFont="1" applyFill="1" applyBorder="1" applyAlignment="1" applyProtection="1">
      <alignment vertical="center" wrapText="1"/>
    </xf>
    <xf numFmtId="0" fontId="28" fillId="0" borderId="0" xfId="0" applyFont="1" applyAlignment="1" applyProtection="1">
      <alignment vertical="center" wrapText="1"/>
    </xf>
    <xf numFmtId="49" fontId="15" fillId="0" borderId="6" xfId="0" applyNumberFormat="1" applyFont="1" applyFill="1" applyBorder="1" applyAlignment="1" applyProtection="1">
      <alignment vertical="center" wrapText="1"/>
    </xf>
    <xf numFmtId="0" fontId="30" fillId="0" borderId="0" xfId="0" applyFont="1" applyBorder="1" applyAlignment="1" applyProtection="1">
      <alignment horizontal="center" vertical="center" wrapText="1"/>
    </xf>
    <xf numFmtId="0" fontId="15" fillId="0" borderId="5" xfId="0" applyFont="1" applyFill="1" applyBorder="1" applyAlignment="1" applyProtection="1">
      <alignment vertical="center"/>
    </xf>
    <xf numFmtId="0" fontId="15" fillId="0" borderId="0" xfId="0" applyFont="1" applyFill="1" applyBorder="1" applyAlignment="1" applyProtection="1">
      <alignment vertical="center"/>
    </xf>
    <xf numFmtId="0" fontId="25" fillId="7" borderId="2" xfId="0" applyFont="1" applyFill="1" applyBorder="1" applyAlignment="1" applyProtection="1">
      <alignment horizontal="center" vertical="center"/>
    </xf>
    <xf numFmtId="0" fontId="15" fillId="0" borderId="3" xfId="0" applyFont="1" applyFill="1" applyBorder="1" applyAlignment="1" applyProtection="1">
      <alignment horizontal="center" vertical="center"/>
    </xf>
    <xf numFmtId="0" fontId="32" fillId="0" borderId="0" xfId="42" quotePrefix="1" applyFont="1" applyBorder="1" applyAlignment="1" applyProtection="1">
      <alignment vertical="center"/>
    </xf>
    <xf numFmtId="0" fontId="33" fillId="0" borderId="7" xfId="0" applyFont="1" applyBorder="1" applyAlignment="1" applyProtection="1">
      <alignment horizontal="left" vertical="center"/>
    </xf>
    <xf numFmtId="0" fontId="33" fillId="0" borderId="8" xfId="0" applyFont="1" applyBorder="1" applyAlignment="1" applyProtection="1">
      <alignment horizontal="left" vertical="center"/>
    </xf>
    <xf numFmtId="0" fontId="15" fillId="0" borderId="9" xfId="0" applyFont="1" applyBorder="1" applyAlignment="1" applyProtection="1">
      <alignment vertical="center"/>
    </xf>
    <xf numFmtId="0" fontId="34" fillId="0" borderId="0" xfId="0" applyFont="1" applyAlignment="1" applyProtection="1">
      <alignment horizontal="center"/>
    </xf>
    <xf numFmtId="0" fontId="35" fillId="0" borderId="0" xfId="0" applyFont="1" applyAlignment="1" applyProtection="1">
      <alignment horizontal="center"/>
    </xf>
    <xf numFmtId="0" fontId="25" fillId="3" borderId="10" xfId="0" applyFont="1" applyFill="1" applyBorder="1" applyAlignment="1" applyProtection="1">
      <alignment horizontal="left" vertical="center"/>
    </xf>
    <xf numFmtId="0" fontId="30" fillId="0" borderId="11" xfId="0" applyFont="1" applyBorder="1" applyAlignment="1" applyProtection="1">
      <alignment horizontal="center" vertical="center" wrapText="1"/>
    </xf>
    <xf numFmtId="0" fontId="15" fillId="0" borderId="11" xfId="0" applyFont="1" applyBorder="1" applyAlignment="1" applyProtection="1">
      <alignment vertical="center" wrapText="1"/>
    </xf>
    <xf numFmtId="0" fontId="25" fillId="3" borderId="12" xfId="0" applyFont="1" applyFill="1" applyBorder="1" applyAlignment="1" applyProtection="1">
      <alignment horizontal="left" vertical="center"/>
    </xf>
    <xf numFmtId="0" fontId="15" fillId="0" borderId="0" xfId="0" applyFont="1" applyBorder="1" applyAlignment="1" applyProtection="1">
      <alignment vertical="center" wrapText="1"/>
    </xf>
    <xf numFmtId="0" fontId="25" fillId="3" borderId="13" xfId="0" applyFont="1" applyFill="1" applyBorder="1" applyAlignment="1" applyProtection="1">
      <alignment horizontal="left" vertical="center"/>
    </xf>
    <xf numFmtId="0" fontId="30" fillId="0" borderId="4" xfId="0" applyFont="1" applyBorder="1" applyAlignment="1" applyProtection="1">
      <alignment horizontal="center" vertical="center"/>
    </xf>
    <xf numFmtId="0" fontId="15" fillId="0" borderId="4" xfId="0" applyFont="1" applyBorder="1" applyAlignment="1" applyProtection="1">
      <alignment vertical="center"/>
    </xf>
    <xf numFmtId="0" fontId="23" fillId="4" borderId="14" xfId="20" applyFont="1" applyFill="1" applyBorder="1" applyAlignment="1" applyProtection="1">
      <alignment horizontal="center" vertical="center"/>
      <protection locked="0"/>
    </xf>
    <xf numFmtId="0" fontId="37" fillId="0" borderId="0" xfId="20" applyFont="1" applyBorder="1" applyAlignment="1" applyProtection="1">
      <alignment vertical="center"/>
      <protection locked="0"/>
    </xf>
    <xf numFmtId="0" fontId="36" fillId="0" borderId="2" xfId="20" applyFont="1" applyBorder="1" applyAlignment="1" applyProtection="1">
      <alignment horizontal="center"/>
      <protection locked="0"/>
    </xf>
    <xf numFmtId="0" fontId="36" fillId="0" borderId="2" xfId="0" applyFont="1" applyBorder="1" applyAlignment="1">
      <alignment vertical="center"/>
    </xf>
    <xf numFmtId="0" fontId="36" fillId="0" borderId="2" xfId="20" applyFont="1" applyBorder="1" applyProtection="1">
      <protection locked="0"/>
    </xf>
    <xf numFmtId="0" fontId="36" fillId="0" borderId="2" xfId="0" applyFont="1" applyFill="1" applyBorder="1" applyAlignment="1" applyProtection="1">
      <alignment horizontal="center"/>
      <protection locked="0"/>
    </xf>
    <xf numFmtId="0" fontId="36" fillId="0" borderId="2" xfId="20" applyFont="1" applyFill="1" applyBorder="1" applyProtection="1">
      <protection locked="0"/>
    </xf>
    <xf numFmtId="0" fontId="37" fillId="0" borderId="0" xfId="20" applyFont="1" applyFill="1" applyBorder="1" applyProtection="1">
      <protection locked="0"/>
    </xf>
    <xf numFmtId="0" fontId="37" fillId="0" borderId="0" xfId="20" applyFont="1" applyBorder="1" applyProtection="1">
      <protection locked="0"/>
    </xf>
    <xf numFmtId="0" fontId="37" fillId="0" borderId="0" xfId="20" applyFont="1" applyBorder="1" applyAlignment="1" applyProtection="1">
      <alignment horizontal="center"/>
      <protection locked="0"/>
    </xf>
    <xf numFmtId="0" fontId="36" fillId="0" borderId="0" xfId="20" applyFont="1" applyBorder="1" applyProtection="1">
      <protection locked="0"/>
    </xf>
    <xf numFmtId="0" fontId="37" fillId="0" borderId="0" xfId="0" applyFont="1" applyFill="1" applyProtection="1">
      <protection locked="0"/>
    </xf>
    <xf numFmtId="0" fontId="37" fillId="0" borderId="0" xfId="0" applyFont="1" applyAlignment="1" applyProtection="1">
      <alignment horizontal="center"/>
      <protection locked="0"/>
    </xf>
    <xf numFmtId="0" fontId="23" fillId="4" borderId="2" xfId="20" applyFont="1" applyFill="1" applyBorder="1" applyAlignment="1" applyProtection="1">
      <alignment horizontal="center" vertical="center"/>
      <protection locked="0"/>
    </xf>
    <xf numFmtId="0" fontId="23" fillId="4" borderId="2" xfId="20" applyFont="1" applyFill="1" applyBorder="1" applyAlignment="1" applyProtection="1">
      <alignment vertical="center"/>
      <protection locked="0"/>
    </xf>
    <xf numFmtId="0" fontId="49" fillId="0" borderId="0" xfId="14" applyFont="1" applyBorder="1">
      <alignment vertical="center"/>
    </xf>
    <xf numFmtId="0" fontId="37" fillId="0" borderId="0" xfId="0" applyFont="1" applyBorder="1" applyProtection="1">
      <protection locked="0"/>
    </xf>
    <xf numFmtId="0" fontId="37" fillId="0" borderId="0" xfId="0" applyFont="1" applyProtection="1">
      <protection locked="0"/>
    </xf>
    <xf numFmtId="0" fontId="23" fillId="4" borderId="2" xfId="20" applyFont="1" applyFill="1" applyBorder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25" fillId="0" borderId="0" xfId="0" applyFont="1" applyBorder="1" applyProtection="1">
      <protection locked="0"/>
    </xf>
    <xf numFmtId="0" fontId="25" fillId="0" borderId="0" xfId="0" applyFont="1" applyFill="1" applyBorder="1" applyProtection="1">
      <protection locked="0"/>
    </xf>
    <xf numFmtId="0" fontId="25" fillId="0" borderId="0" xfId="20" applyFont="1" applyBorder="1"/>
    <xf numFmtId="0" fontId="37" fillId="0" borderId="0" xfId="20" applyFont="1" applyBorder="1"/>
    <xf numFmtId="0" fontId="25" fillId="0" borderId="0" xfId="20" applyFont="1" applyBorder="1" applyAlignment="1">
      <alignment horizontal="center"/>
    </xf>
    <xf numFmtId="0" fontId="23" fillId="4" borderId="14" xfId="20" applyFont="1" applyFill="1" applyBorder="1" applyAlignment="1">
      <alignment horizontal="center" vertical="center"/>
    </xf>
    <xf numFmtId="0" fontId="31" fillId="4" borderId="14" xfId="20" applyFont="1" applyFill="1" applyBorder="1" applyAlignment="1" applyProtection="1">
      <alignment horizontal="center" vertical="center"/>
    </xf>
    <xf numFmtId="0" fontId="31" fillId="4" borderId="14" xfId="39" applyFont="1" applyFill="1" applyBorder="1" applyAlignment="1">
      <alignment horizontal="center" vertical="center"/>
    </xf>
    <xf numFmtId="0" fontId="25" fillId="0" borderId="0" xfId="20" applyFont="1" applyBorder="1" applyAlignment="1">
      <alignment vertical="center"/>
    </xf>
    <xf numFmtId="0" fontId="37" fillId="0" borderId="2" xfId="0" applyFont="1" applyBorder="1" applyProtection="1">
      <protection locked="0"/>
    </xf>
    <xf numFmtId="0" fontId="37" fillId="0" borderId="2" xfId="20" applyFont="1" applyBorder="1" applyProtection="1">
      <protection locked="0"/>
    </xf>
    <xf numFmtId="0" fontId="25" fillId="0" borderId="15" xfId="20" applyFont="1" applyBorder="1" applyAlignment="1">
      <alignment horizontal="center"/>
    </xf>
    <xf numFmtId="0" fontId="36" fillId="4" borderId="14" xfId="20" applyFont="1" applyFill="1" applyBorder="1" applyAlignment="1" applyProtection="1">
      <alignment horizontal="center" vertical="center"/>
      <protection locked="0"/>
    </xf>
    <xf numFmtId="0" fontId="36" fillId="0" borderId="2" xfId="0" applyFont="1" applyBorder="1" applyAlignment="1" applyProtection="1">
      <alignment horizontal="center"/>
      <protection locked="0"/>
    </xf>
    <xf numFmtId="0" fontId="25" fillId="0" borderId="0" xfId="20" applyFont="1" applyBorder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/>
      <protection locked="0"/>
    </xf>
    <xf numFmtId="0" fontId="23" fillId="4" borderId="14" xfId="20" applyFont="1" applyFill="1" applyBorder="1" applyAlignment="1" applyProtection="1">
      <alignment horizontal="center" vertical="center" wrapText="1"/>
    </xf>
    <xf numFmtId="0" fontId="38" fillId="0" borderId="0" xfId="20" applyFont="1" applyBorder="1" applyAlignment="1">
      <alignment horizontal="left"/>
    </xf>
    <xf numFmtId="0" fontId="39" fillId="0" borderId="2" xfId="30" applyFont="1" applyFill="1" applyBorder="1">
      <alignment vertical="center"/>
    </xf>
    <xf numFmtId="0" fontId="21" fillId="0" borderId="2" xfId="0" applyFont="1" applyBorder="1" applyAlignment="1">
      <alignment horizontal="left" vertical="center"/>
    </xf>
    <xf numFmtId="0" fontId="23" fillId="4" borderId="2" xfId="20" applyFont="1" applyFill="1" applyBorder="1" applyAlignment="1" applyProtection="1">
      <alignment horizontal="center" vertical="center"/>
    </xf>
    <xf numFmtId="0" fontId="20" fillId="4" borderId="2" xfId="20" applyFont="1" applyFill="1" applyBorder="1" applyAlignment="1" applyProtection="1">
      <alignment horizontal="center" vertical="center" wrapText="1"/>
    </xf>
    <xf numFmtId="0" fontId="25" fillId="0" borderId="0" xfId="20" applyFont="1" applyBorder="1" applyAlignment="1" applyProtection="1">
      <alignment horizontal="center" vertical="center"/>
      <protection locked="0"/>
    </xf>
    <xf numFmtId="0" fontId="25" fillId="0" borderId="2" xfId="0" applyFont="1" applyFill="1" applyBorder="1" applyProtection="1">
      <protection locked="0"/>
    </xf>
    <xf numFmtId="0" fontId="36" fillId="0" borderId="2" xfId="0" applyFont="1" applyBorder="1" applyAlignment="1">
      <alignment vertical="center" wrapText="1"/>
    </xf>
    <xf numFmtId="0" fontId="50" fillId="0" borderId="29" xfId="29" applyFont="1" applyBorder="1" applyAlignment="1">
      <alignment horizontal="left" vertical="center" wrapText="1"/>
    </xf>
    <xf numFmtId="0" fontId="50" fillId="0" borderId="29" xfId="29" applyFont="1" applyBorder="1" applyAlignment="1">
      <alignment horizontal="left" vertical="center" wrapText="1"/>
    </xf>
    <xf numFmtId="0" fontId="50" fillId="0" borderId="29" xfId="29" applyFont="1" applyBorder="1" applyAlignment="1">
      <alignment horizontal="left" vertical="center" wrapText="1"/>
    </xf>
    <xf numFmtId="0" fontId="50" fillId="0" borderId="30" xfId="29" applyFont="1" applyBorder="1" applyAlignment="1">
      <alignment vertical="center" wrapText="1"/>
    </xf>
    <xf numFmtId="0" fontId="50" fillId="0" borderId="29" xfId="0" applyFont="1" applyBorder="1" applyAlignment="1">
      <alignment horizontal="left" vertical="center" wrapText="1"/>
    </xf>
    <xf numFmtId="0" fontId="53" fillId="0" borderId="2" xfId="0" applyFont="1" applyBorder="1" applyAlignment="1">
      <alignment horizontal="left" vertical="center" wrapText="1"/>
    </xf>
    <xf numFmtId="0" fontId="58" fillId="0" borderId="2" xfId="0" applyFont="1" applyBorder="1" applyAlignment="1">
      <alignment horizontal="left" vertical="center" wrapText="1"/>
    </xf>
    <xf numFmtId="0" fontId="45" fillId="0" borderId="0" xfId="29" applyBorder="1">
      <alignment vertical="center"/>
    </xf>
    <xf numFmtId="0" fontId="49" fillId="0" borderId="0" xfId="14" applyFont="1">
      <alignment vertical="center"/>
    </xf>
    <xf numFmtId="0" fontId="36" fillId="0" borderId="0" xfId="0" applyFont="1" applyBorder="1" applyAlignment="1">
      <alignment vertical="center"/>
    </xf>
    <xf numFmtId="0" fontId="23" fillId="4" borderId="0" xfId="20" applyFont="1" applyFill="1" applyBorder="1" applyAlignment="1" applyProtection="1">
      <alignment horizontal="center" vertical="center"/>
      <protection locked="0"/>
    </xf>
    <xf numFmtId="0" fontId="23" fillId="4" borderId="0" xfId="20" applyFont="1" applyFill="1" applyBorder="1" applyAlignment="1" applyProtection="1">
      <alignment horizontal="center" vertical="center" wrapText="1"/>
    </xf>
    <xf numFmtId="0" fontId="37" fillId="0" borderId="2" xfId="0" applyFont="1" applyBorder="1" applyAlignment="1" applyProtection="1">
      <protection locked="0"/>
    </xf>
    <xf numFmtId="0" fontId="50" fillId="0" borderId="31" xfId="29" applyFont="1" applyBorder="1" applyAlignment="1">
      <alignment vertical="center" wrapText="1"/>
    </xf>
    <xf numFmtId="0" fontId="50" fillId="0" borderId="30" xfId="29" applyFont="1" applyBorder="1" applyAlignment="1">
      <alignment horizontal="left" vertical="center" wrapText="1"/>
    </xf>
    <xf numFmtId="0" fontId="50" fillId="0" borderId="30" xfId="0" applyFont="1" applyBorder="1" applyAlignment="1">
      <alignment horizontal="left" vertical="center" wrapText="1"/>
    </xf>
    <xf numFmtId="0" fontId="50" fillId="0" borderId="2" xfId="29" applyFont="1" applyBorder="1" applyAlignment="1">
      <alignment horizontal="left" vertical="center" wrapText="1"/>
    </xf>
    <xf numFmtId="0" fontId="39" fillId="0" borderId="2" xfId="30" applyFont="1" applyBorder="1">
      <alignment vertical="center"/>
    </xf>
    <xf numFmtId="0" fontId="36" fillId="0" borderId="15" xfId="0" applyFont="1" applyBorder="1" applyAlignment="1" applyProtection="1">
      <alignment horizontal="center"/>
      <protection locked="0"/>
    </xf>
    <xf numFmtId="0" fontId="50" fillId="0" borderId="2" xfId="0" applyFont="1" applyBorder="1" applyAlignment="1">
      <alignment horizontal="left" vertical="center" wrapText="1"/>
    </xf>
    <xf numFmtId="0" fontId="25" fillId="0" borderId="3" xfId="0" applyFont="1" applyFill="1" applyBorder="1" applyAlignment="1">
      <alignment horizontal="left" vertical="center" wrapText="1"/>
    </xf>
    <xf numFmtId="0" fontId="25" fillId="0" borderId="15" xfId="0" applyFont="1" applyFill="1" applyBorder="1" applyAlignment="1">
      <alignment horizontal="left" vertical="center"/>
    </xf>
    <xf numFmtId="0" fontId="25" fillId="0" borderId="3" xfId="0" applyFont="1" applyFill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0" fontId="23" fillId="7" borderId="3" xfId="0" applyFont="1" applyFill="1" applyBorder="1" applyAlignment="1">
      <alignment horizontal="center" vertical="center"/>
    </xf>
    <xf numFmtId="0" fontId="23" fillId="7" borderId="15" xfId="0" applyFont="1" applyFill="1" applyBorder="1" applyAlignment="1">
      <alignment horizontal="center" vertical="center"/>
    </xf>
    <xf numFmtId="0" fontId="23" fillId="0" borderId="3" xfId="0" applyFont="1" applyBorder="1" applyAlignment="1" applyProtection="1">
      <alignment horizontal="center" vertical="center"/>
    </xf>
    <xf numFmtId="0" fontId="23" fillId="0" borderId="15" xfId="0" applyFont="1" applyBorder="1" applyAlignment="1" applyProtection="1">
      <alignment horizontal="center" vertical="center"/>
    </xf>
    <xf numFmtId="0" fontId="31" fillId="0" borderId="3" xfId="0" applyFont="1" applyBorder="1" applyAlignment="1" applyProtection="1">
      <alignment horizontal="center" vertical="center"/>
    </xf>
    <xf numFmtId="0" fontId="31" fillId="0" borderId="15" xfId="0" applyFont="1" applyBorder="1" applyAlignment="1" applyProtection="1">
      <alignment horizontal="center" vertical="center"/>
    </xf>
    <xf numFmtId="0" fontId="54" fillId="0" borderId="3" xfId="0" applyFont="1" applyBorder="1" applyAlignment="1" applyProtection="1">
      <alignment horizontal="center" vertical="center"/>
    </xf>
    <xf numFmtId="0" fontId="54" fillId="0" borderId="15" xfId="0" applyFont="1" applyBorder="1" applyAlignment="1" applyProtection="1">
      <alignment horizontal="center" vertical="center"/>
    </xf>
    <xf numFmtId="0" fontId="55" fillId="0" borderId="3" xfId="0" applyFont="1" applyBorder="1" applyAlignment="1" applyProtection="1">
      <alignment horizontal="center" vertical="center"/>
    </xf>
    <xf numFmtId="0" fontId="55" fillId="0" borderId="15" xfId="0" applyFont="1" applyBorder="1" applyAlignment="1" applyProtection="1">
      <alignment horizontal="center" vertical="center"/>
    </xf>
    <xf numFmtId="0" fontId="56" fillId="0" borderId="3" xfId="0" applyFont="1" applyBorder="1" applyAlignment="1" applyProtection="1">
      <alignment horizontal="center" vertical="center"/>
    </xf>
    <xf numFmtId="0" fontId="56" fillId="0" borderId="15" xfId="0" applyFont="1" applyBorder="1" applyAlignment="1" applyProtection="1">
      <alignment horizontal="center" vertical="center"/>
    </xf>
    <xf numFmtId="0" fontId="57" fillId="0" borderId="3" xfId="0" applyFont="1" applyBorder="1" applyAlignment="1" applyProtection="1">
      <alignment horizontal="center" vertical="center"/>
    </xf>
    <xf numFmtId="0" fontId="57" fillId="0" borderId="15" xfId="0" applyFont="1" applyBorder="1" applyAlignment="1" applyProtection="1">
      <alignment horizontal="center" vertical="center"/>
    </xf>
    <xf numFmtId="0" fontId="23" fillId="0" borderId="4" xfId="0" applyFont="1" applyBorder="1" applyAlignment="1" applyProtection="1">
      <alignment horizontal="left" vertical="center"/>
    </xf>
    <xf numFmtId="0" fontId="23" fillId="0" borderId="2" xfId="0" applyFont="1" applyBorder="1" applyAlignment="1" applyProtection="1">
      <alignment horizontal="left" vertical="center"/>
    </xf>
    <xf numFmtId="0" fontId="25" fillId="0" borderId="2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20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19" xfId="0" applyFont="1" applyBorder="1" applyAlignment="1" applyProtection="1">
      <alignment horizontal="center" vertical="center" wrapText="1"/>
      <protection locked="0"/>
    </xf>
    <xf numFmtId="0" fontId="15" fillId="0" borderId="15" xfId="0" applyFont="1" applyBorder="1" applyAlignment="1" applyProtection="1">
      <alignment horizontal="center" vertical="center" wrapText="1"/>
      <protection locked="0"/>
    </xf>
    <xf numFmtId="9" fontId="15" fillId="0" borderId="3" xfId="37" applyFont="1" applyFill="1" applyBorder="1" applyAlignment="1" applyProtection="1">
      <alignment horizontal="center" vertical="center"/>
    </xf>
    <xf numFmtId="9" fontId="15" fillId="0" borderId="19" xfId="37" applyFont="1" applyFill="1" applyBorder="1" applyAlignment="1" applyProtection="1">
      <alignment horizontal="center" vertical="center"/>
    </xf>
    <xf numFmtId="9" fontId="15" fillId="0" borderId="15" xfId="37" applyFont="1" applyFill="1" applyBorder="1" applyAlignment="1" applyProtection="1">
      <alignment horizontal="center" vertical="center"/>
    </xf>
    <xf numFmtId="0" fontId="25" fillId="0" borderId="3" xfId="0" applyFont="1" applyBorder="1" applyAlignment="1" applyProtection="1">
      <alignment horizontal="center" vertical="center"/>
      <protection locked="0"/>
    </xf>
    <xf numFmtId="0" fontId="25" fillId="0" borderId="19" xfId="0" applyFont="1" applyBorder="1" applyAlignment="1" applyProtection="1">
      <alignment horizontal="center" vertical="center"/>
      <protection locked="0"/>
    </xf>
    <xf numFmtId="0" fontId="25" fillId="0" borderId="15" xfId="0" applyFont="1" applyBorder="1" applyAlignment="1" applyProtection="1">
      <alignment horizontal="center" vertical="center"/>
      <protection locked="0"/>
    </xf>
    <xf numFmtId="0" fontId="15" fillId="0" borderId="3" xfId="0" applyFont="1" applyFill="1" applyBorder="1" applyAlignment="1" applyProtection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</xf>
    <xf numFmtId="0" fontId="15" fillId="0" borderId="15" xfId="0" applyFont="1" applyFill="1" applyBorder="1" applyAlignment="1" applyProtection="1">
      <alignment horizontal="center" vertical="center"/>
    </xf>
    <xf numFmtId="0" fontId="25" fillId="7" borderId="2" xfId="0" applyFont="1" applyFill="1" applyBorder="1" applyAlignment="1" applyProtection="1">
      <alignment horizontal="center" vertical="center"/>
    </xf>
    <xf numFmtId="0" fontId="25" fillId="0" borderId="2" xfId="0" applyFont="1" applyFill="1" applyBorder="1" applyAlignment="1" applyProtection="1">
      <alignment horizontal="center" vertical="center"/>
      <protection locked="0"/>
    </xf>
    <xf numFmtId="0" fontId="25" fillId="0" borderId="0" xfId="0" applyFont="1" applyBorder="1" applyAlignment="1" applyProtection="1">
      <alignment horizontal="left" vertical="center"/>
    </xf>
    <xf numFmtId="0" fontId="48" fillId="0" borderId="0" xfId="0" applyFont="1" applyBorder="1" applyAlignment="1" applyProtection="1">
      <alignment horizontal="right" vertical="center"/>
    </xf>
    <xf numFmtId="0" fontId="23" fillId="0" borderId="0" xfId="0" applyFont="1" applyBorder="1" applyAlignment="1" applyProtection="1">
      <alignment horizontal="left" vertical="center"/>
    </xf>
    <xf numFmtId="0" fontId="25" fillId="0" borderId="2" xfId="0" applyFont="1" applyFill="1" applyBorder="1" applyAlignment="1" applyProtection="1">
      <alignment horizontal="left" vertical="center"/>
    </xf>
    <xf numFmtId="0" fontId="25" fillId="0" borderId="3" xfId="0" applyFont="1" applyBorder="1" applyAlignment="1" applyProtection="1">
      <alignment horizontal="right" vertical="center"/>
    </xf>
    <xf numFmtId="0" fontId="25" fillId="0" borderId="19" xfId="0" applyFont="1" applyBorder="1" applyAlignment="1" applyProtection="1">
      <alignment horizontal="right" vertical="center"/>
    </xf>
    <xf numFmtId="0" fontId="25" fillId="0" borderId="15" xfId="0" applyFont="1" applyBorder="1" applyAlignment="1" applyProtection="1">
      <alignment horizontal="right" vertical="center"/>
    </xf>
    <xf numFmtId="176" fontId="25" fillId="0" borderId="3" xfId="37" applyNumberFormat="1" applyFont="1" applyBorder="1" applyAlignment="1" applyProtection="1">
      <alignment horizontal="center" vertical="center"/>
    </xf>
    <xf numFmtId="176" fontId="25" fillId="0" borderId="19" xfId="37" applyNumberFormat="1" applyFont="1" applyBorder="1" applyAlignment="1" applyProtection="1">
      <alignment horizontal="center" vertical="center"/>
    </xf>
    <xf numFmtId="176" fontId="25" fillId="0" borderId="15" xfId="37" applyNumberFormat="1" applyFont="1" applyBorder="1" applyAlignment="1" applyProtection="1">
      <alignment horizontal="center" vertical="center"/>
    </xf>
    <xf numFmtId="0" fontId="25" fillId="6" borderId="10" xfId="0" applyFont="1" applyFill="1" applyBorder="1" applyAlignment="1" applyProtection="1">
      <alignment horizontal="center" vertical="center"/>
    </xf>
    <xf numFmtId="0" fontId="25" fillId="6" borderId="11" xfId="0" applyFont="1" applyFill="1" applyBorder="1" applyAlignment="1" applyProtection="1">
      <alignment horizontal="center" vertical="center"/>
    </xf>
    <xf numFmtId="0" fontId="25" fillId="6" borderId="20" xfId="0" applyFont="1" applyFill="1" applyBorder="1" applyAlignment="1" applyProtection="1">
      <alignment horizontal="center" vertical="center"/>
    </xf>
    <xf numFmtId="0" fontId="25" fillId="6" borderId="13" xfId="0" applyFont="1" applyFill="1" applyBorder="1" applyAlignment="1" applyProtection="1">
      <alignment horizontal="center" vertical="center"/>
    </xf>
    <xf numFmtId="0" fontId="25" fillId="6" borderId="4" xfId="0" applyFont="1" applyFill="1" applyBorder="1" applyAlignment="1" applyProtection="1">
      <alignment horizontal="center" vertical="center"/>
    </xf>
    <xf numFmtId="0" fontId="25" fillId="6" borderId="21" xfId="0" applyFont="1" applyFill="1" applyBorder="1" applyAlignment="1" applyProtection="1">
      <alignment horizontal="center" vertical="center"/>
    </xf>
    <xf numFmtId="0" fontId="52" fillId="3" borderId="3" xfId="0" applyFont="1" applyFill="1" applyBorder="1" applyAlignment="1" applyProtection="1">
      <alignment horizontal="right" vertical="center"/>
    </xf>
    <xf numFmtId="0" fontId="52" fillId="3" borderId="19" xfId="0" applyFont="1" applyFill="1" applyBorder="1" applyAlignment="1" applyProtection="1">
      <alignment horizontal="right" vertical="center"/>
    </xf>
    <xf numFmtId="0" fontId="52" fillId="3" borderId="15" xfId="0" applyFont="1" applyFill="1" applyBorder="1" applyAlignment="1" applyProtection="1">
      <alignment horizontal="right" vertical="center"/>
    </xf>
    <xf numFmtId="176" fontId="53" fillId="0" borderId="2" xfId="37" applyNumberFormat="1" applyFont="1" applyFill="1" applyBorder="1" applyAlignment="1" applyProtection="1">
      <alignment horizontal="center" vertical="center"/>
    </xf>
    <xf numFmtId="176" fontId="23" fillId="0" borderId="2" xfId="37" applyNumberFormat="1" applyFont="1" applyFill="1" applyBorder="1" applyAlignment="1" applyProtection="1">
      <alignment horizontal="center" vertical="center"/>
    </xf>
    <xf numFmtId="176" fontId="53" fillId="0" borderId="2" xfId="0" applyNumberFormat="1" applyFont="1" applyBorder="1" applyAlignment="1" applyProtection="1">
      <alignment horizontal="center" vertical="center"/>
    </xf>
    <xf numFmtId="0" fontId="25" fillId="0" borderId="3" xfId="0" applyFont="1" applyFill="1" applyBorder="1" applyAlignment="1" applyProtection="1">
      <alignment horizontal="center" vertical="center"/>
      <protection locked="0"/>
    </xf>
    <xf numFmtId="0" fontId="25" fillId="0" borderId="19" xfId="0" applyFont="1" applyFill="1" applyBorder="1" applyAlignment="1" applyProtection="1">
      <alignment horizontal="center" vertical="center"/>
      <protection locked="0"/>
    </xf>
    <xf numFmtId="0" fontId="25" fillId="0" borderId="15" xfId="0" applyFont="1" applyFill="1" applyBorder="1" applyAlignment="1" applyProtection="1">
      <alignment horizontal="center" vertical="center"/>
      <protection locked="0"/>
    </xf>
    <xf numFmtId="0" fontId="25" fillId="0" borderId="14" xfId="0" applyFont="1" applyBorder="1" applyAlignment="1" applyProtection="1">
      <alignment horizontal="center" vertical="center"/>
    </xf>
    <xf numFmtId="0" fontId="25" fillId="0" borderId="28" xfId="0" applyFont="1" applyBorder="1" applyAlignment="1" applyProtection="1">
      <alignment horizontal="center" vertical="center"/>
    </xf>
    <xf numFmtId="0" fontId="15" fillId="0" borderId="10" xfId="0" applyFont="1" applyFill="1" applyBorder="1" applyAlignment="1" applyProtection="1">
      <alignment horizontal="center" vertical="center" wrapText="1"/>
    </xf>
    <xf numFmtId="0" fontId="15" fillId="0" borderId="11" xfId="0" applyFont="1" applyFill="1" applyBorder="1" applyAlignment="1" applyProtection="1">
      <alignment horizontal="center" vertical="center"/>
    </xf>
    <xf numFmtId="0" fontId="15" fillId="0" borderId="20" xfId="0" applyFont="1" applyFill="1" applyBorder="1" applyAlignment="1" applyProtection="1">
      <alignment horizontal="center" vertical="center"/>
    </xf>
    <xf numFmtId="0" fontId="15" fillId="0" borderId="13" xfId="0" applyFont="1" applyFill="1" applyBorder="1" applyAlignment="1" applyProtection="1">
      <alignment horizontal="center" vertical="center"/>
    </xf>
    <xf numFmtId="0" fontId="15" fillId="0" borderId="4" xfId="0" applyFont="1" applyFill="1" applyBorder="1" applyAlignment="1" applyProtection="1">
      <alignment horizontal="center" vertical="center"/>
    </xf>
    <xf numFmtId="0" fontId="15" fillId="0" borderId="21" xfId="0" applyFont="1" applyFill="1" applyBorder="1" applyAlignment="1" applyProtection="1">
      <alignment horizontal="center" vertical="center"/>
    </xf>
    <xf numFmtId="0" fontId="15" fillId="7" borderId="3" xfId="0" applyFont="1" applyFill="1" applyBorder="1" applyAlignment="1" applyProtection="1">
      <alignment horizontal="center" vertical="center"/>
    </xf>
    <xf numFmtId="0" fontId="15" fillId="7" borderId="19" xfId="0" applyFont="1" applyFill="1" applyBorder="1" applyAlignment="1" applyProtection="1">
      <alignment horizontal="center" vertical="center"/>
    </xf>
    <xf numFmtId="0" fontId="15" fillId="7" borderId="15" xfId="0" applyFont="1" applyFill="1" applyBorder="1" applyAlignment="1" applyProtection="1">
      <alignment horizontal="center" vertical="center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19" xfId="0" applyFont="1" applyBorder="1" applyAlignment="1" applyProtection="1">
      <alignment horizontal="center" vertical="center"/>
      <protection locked="0"/>
    </xf>
    <xf numFmtId="0" fontId="15" fillId="0" borderId="15" xfId="0" applyFont="1" applyBorder="1" applyAlignment="1" applyProtection="1">
      <alignment horizontal="center" vertical="center"/>
      <protection locked="0"/>
    </xf>
    <xf numFmtId="0" fontId="51" fillId="3" borderId="3" xfId="0" applyFont="1" applyFill="1" applyBorder="1" applyAlignment="1" applyProtection="1">
      <alignment horizontal="center" vertical="center"/>
    </xf>
    <xf numFmtId="0" fontId="51" fillId="3" borderId="19" xfId="0" applyFont="1" applyFill="1" applyBorder="1" applyAlignment="1" applyProtection="1">
      <alignment horizontal="center" vertical="center"/>
    </xf>
    <xf numFmtId="0" fontId="51" fillId="3" borderId="15" xfId="0" applyFont="1" applyFill="1" applyBorder="1" applyAlignment="1" applyProtection="1">
      <alignment horizontal="center" vertical="center"/>
    </xf>
    <xf numFmtId="0" fontId="15" fillId="7" borderId="2" xfId="0" applyFont="1" applyFill="1" applyBorder="1" applyAlignment="1" applyProtection="1">
      <alignment horizontal="center" vertical="center"/>
    </xf>
    <xf numFmtId="0" fontId="15" fillId="10" borderId="2" xfId="0" applyFont="1" applyFill="1" applyBorder="1" applyAlignment="1" applyProtection="1">
      <alignment horizontal="center" vertical="center"/>
    </xf>
    <xf numFmtId="0" fontId="25" fillId="0" borderId="3" xfId="0" applyFont="1" applyBorder="1" applyAlignment="1" applyProtection="1">
      <alignment horizontal="center" vertical="center"/>
    </xf>
    <xf numFmtId="0" fontId="25" fillId="0" borderId="19" xfId="0" applyFont="1" applyBorder="1" applyAlignment="1" applyProtection="1">
      <alignment horizontal="center" vertical="center"/>
    </xf>
    <xf numFmtId="0" fontId="25" fillId="0" borderId="15" xfId="0" applyFont="1" applyBorder="1" applyAlignment="1" applyProtection="1">
      <alignment horizontal="center" vertical="center"/>
    </xf>
    <xf numFmtId="0" fontId="25" fillId="3" borderId="3" xfId="0" applyFont="1" applyFill="1" applyBorder="1" applyAlignment="1" applyProtection="1">
      <alignment horizontal="center" vertical="center"/>
    </xf>
    <xf numFmtId="0" fontId="25" fillId="3" borderId="19" xfId="0" applyFont="1" applyFill="1" applyBorder="1" applyAlignment="1" applyProtection="1">
      <alignment horizontal="center" vertical="center"/>
    </xf>
    <xf numFmtId="0" fontId="25" fillId="3" borderId="15" xfId="0" applyFont="1" applyFill="1" applyBorder="1" applyAlignment="1" applyProtection="1">
      <alignment horizontal="center" vertical="center"/>
    </xf>
    <xf numFmtId="0" fontId="25" fillId="0" borderId="2" xfId="0" applyFont="1" applyBorder="1" applyAlignment="1" applyProtection="1">
      <alignment horizontal="center" vertical="center"/>
    </xf>
    <xf numFmtId="0" fontId="15" fillId="0" borderId="10" xfId="0" applyFont="1" applyFill="1" applyBorder="1" applyAlignment="1" applyProtection="1">
      <alignment horizontal="center" vertical="center"/>
    </xf>
    <xf numFmtId="0" fontId="25" fillId="8" borderId="3" xfId="0" applyFont="1" applyFill="1" applyBorder="1" applyAlignment="1" applyProtection="1">
      <alignment horizontal="center" vertical="center"/>
    </xf>
    <xf numFmtId="0" fontId="25" fillId="8" borderId="19" xfId="0" applyFont="1" applyFill="1" applyBorder="1" applyAlignment="1" applyProtection="1">
      <alignment horizontal="center" vertical="center"/>
    </xf>
    <xf numFmtId="0" fontId="25" fillId="8" borderId="15" xfId="0" applyFont="1" applyFill="1" applyBorder="1" applyAlignment="1" applyProtection="1">
      <alignment horizontal="center" vertical="center"/>
    </xf>
    <xf numFmtId="0" fontId="25" fillId="4" borderId="3" xfId="0" applyFont="1" applyFill="1" applyBorder="1" applyAlignment="1" applyProtection="1">
      <alignment horizontal="center" vertical="center"/>
    </xf>
    <xf numFmtId="0" fontId="25" fillId="4" borderId="19" xfId="0" applyFont="1" applyFill="1" applyBorder="1" applyAlignment="1" applyProtection="1">
      <alignment horizontal="center" vertical="center"/>
    </xf>
    <xf numFmtId="0" fontId="25" fillId="4" borderId="15" xfId="0" applyFont="1" applyFill="1" applyBorder="1" applyAlignment="1" applyProtection="1">
      <alignment horizontal="center" vertical="center"/>
    </xf>
    <xf numFmtId="0" fontId="25" fillId="6" borderId="22" xfId="0" applyFont="1" applyFill="1" applyBorder="1" applyAlignment="1" applyProtection="1">
      <alignment horizontal="left" vertical="center" wrapText="1"/>
    </xf>
    <xf numFmtId="0" fontId="25" fillId="6" borderId="23" xfId="0" applyFont="1" applyFill="1" applyBorder="1" applyAlignment="1" applyProtection="1">
      <alignment horizontal="left" vertical="center"/>
    </xf>
    <xf numFmtId="0" fontId="25" fillId="6" borderId="24" xfId="0" applyFont="1" applyFill="1" applyBorder="1" applyAlignment="1" applyProtection="1">
      <alignment horizontal="left" vertical="center"/>
    </xf>
    <xf numFmtId="0" fontId="25" fillId="6" borderId="25" xfId="0" applyFont="1" applyFill="1" applyBorder="1" applyAlignment="1" applyProtection="1">
      <alignment horizontal="left" vertical="center"/>
    </xf>
    <xf numFmtId="0" fontId="25" fillId="6" borderId="26" xfId="0" applyFont="1" applyFill="1" applyBorder="1" applyAlignment="1" applyProtection="1">
      <alignment horizontal="left" vertical="center"/>
    </xf>
    <xf numFmtId="0" fontId="25" fillId="6" borderId="27" xfId="0" applyFont="1" applyFill="1" applyBorder="1" applyAlignment="1" applyProtection="1">
      <alignment horizontal="left" vertical="center"/>
    </xf>
    <xf numFmtId="0" fontId="25" fillId="0" borderId="2" xfId="0" applyFont="1" applyBorder="1" applyAlignment="1" applyProtection="1">
      <alignment horizontal="left" vertical="center"/>
    </xf>
    <xf numFmtId="0" fontId="51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Fill="1" applyBorder="1" applyAlignment="1" applyProtection="1">
      <alignment horizontal="left" vertical="center"/>
    </xf>
    <xf numFmtId="0" fontId="25" fillId="0" borderId="19" xfId="0" applyFont="1" applyFill="1" applyBorder="1" applyAlignment="1" applyProtection="1">
      <alignment horizontal="left" vertical="center"/>
    </xf>
    <xf numFmtId="0" fontId="25" fillId="0" borderId="15" xfId="0" applyFont="1" applyFill="1" applyBorder="1" applyAlignment="1" applyProtection="1">
      <alignment horizontal="left" vertical="center"/>
    </xf>
    <xf numFmtId="0" fontId="51" fillId="3" borderId="3" xfId="0" applyFont="1" applyFill="1" applyBorder="1" applyAlignment="1" applyProtection="1">
      <alignment horizontal="right" vertical="center"/>
    </xf>
    <xf numFmtId="0" fontId="51" fillId="3" borderId="19" xfId="0" applyFont="1" applyFill="1" applyBorder="1" applyAlignment="1" applyProtection="1">
      <alignment horizontal="right" vertical="center"/>
    </xf>
    <xf numFmtId="0" fontId="51" fillId="3" borderId="15" xfId="0" applyFont="1" applyFill="1" applyBorder="1" applyAlignment="1" applyProtection="1">
      <alignment horizontal="right" vertical="center"/>
    </xf>
    <xf numFmtId="10" fontId="53" fillId="9" borderId="3" xfId="0" applyNumberFormat="1" applyFont="1" applyFill="1" applyBorder="1" applyAlignment="1" applyProtection="1">
      <alignment horizontal="right" vertical="center"/>
    </xf>
    <xf numFmtId="10" fontId="53" fillId="9" borderId="19" xfId="0" applyNumberFormat="1" applyFont="1" applyFill="1" applyBorder="1" applyAlignment="1" applyProtection="1">
      <alignment horizontal="right" vertical="center"/>
    </xf>
    <xf numFmtId="10" fontId="53" fillId="9" borderId="15" xfId="0" applyNumberFormat="1" applyFont="1" applyFill="1" applyBorder="1" applyAlignment="1" applyProtection="1">
      <alignment horizontal="right" vertical="center"/>
    </xf>
    <xf numFmtId="10" fontId="53" fillId="0" borderId="3" xfId="0" applyNumberFormat="1" applyFont="1" applyBorder="1" applyAlignment="1" applyProtection="1">
      <alignment horizontal="right" vertical="center"/>
    </xf>
    <xf numFmtId="10" fontId="53" fillId="0" borderId="19" xfId="0" applyNumberFormat="1" applyFont="1" applyBorder="1" applyAlignment="1" applyProtection="1">
      <alignment horizontal="right" vertical="center"/>
    </xf>
    <xf numFmtId="10" fontId="53" fillId="0" borderId="15" xfId="0" applyNumberFormat="1" applyFont="1" applyBorder="1" applyAlignment="1" applyProtection="1">
      <alignment horizontal="right" vertical="center"/>
    </xf>
    <xf numFmtId="0" fontId="26" fillId="5" borderId="16" xfId="0" applyFont="1" applyFill="1" applyBorder="1" applyAlignment="1" applyProtection="1">
      <alignment horizontal="center" vertical="center"/>
    </xf>
    <xf numFmtId="0" fontId="26" fillId="5" borderId="17" xfId="0" applyFont="1" applyFill="1" applyBorder="1" applyAlignment="1" applyProtection="1">
      <alignment horizontal="center" vertical="center"/>
    </xf>
    <xf numFmtId="0" fontId="26" fillId="5" borderId="18" xfId="0" applyFont="1" applyFill="1" applyBorder="1" applyAlignment="1" applyProtection="1">
      <alignment horizontal="center" vertical="center"/>
    </xf>
    <xf numFmtId="0" fontId="25" fillId="2" borderId="11" xfId="0" applyFont="1" applyFill="1" applyBorder="1" applyAlignment="1" applyProtection="1">
      <alignment horizontal="right" vertical="center"/>
    </xf>
    <xf numFmtId="0" fontId="48" fillId="2" borderId="11" xfId="0" applyFont="1" applyFill="1" applyBorder="1" applyAlignment="1" applyProtection="1">
      <alignment horizontal="left" vertical="center"/>
      <protection locked="0"/>
    </xf>
    <xf numFmtId="0" fontId="25" fillId="2" borderId="4" xfId="0" applyFont="1" applyFill="1" applyBorder="1" applyAlignment="1" applyProtection="1">
      <alignment horizontal="right" vertical="center"/>
    </xf>
    <xf numFmtId="14" fontId="48" fillId="2" borderId="4" xfId="0" applyNumberFormat="1" applyFont="1" applyFill="1" applyBorder="1" applyAlignment="1" applyProtection="1">
      <alignment horizontal="left" vertical="center"/>
      <protection locked="0"/>
    </xf>
  </cellXfs>
  <cellStyles count="56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ing 1" xfId="5" xr:uid="{00000000-0005-0000-0000-000004000000}"/>
    <cellStyle name="Heading 2" xfId="6" xr:uid="{00000000-0005-0000-0000-000005000000}"/>
    <cellStyle name="Normal - Style1" xfId="7" xr:uid="{00000000-0005-0000-0000-000006000000}"/>
    <cellStyle name="Normal_08108-1A Untestable_Report" xfId="8" xr:uid="{00000000-0005-0000-0000-000007000000}"/>
    <cellStyle name="Total" xfId="9" xr:uid="{00000000-0005-0000-0000-000008000000}"/>
    <cellStyle name="一般" xfId="0" builtinId="0"/>
    <cellStyle name="一般 10" xfId="10" xr:uid="{00000000-0005-0000-0000-00000A000000}"/>
    <cellStyle name="一般 11" xfId="11" xr:uid="{00000000-0005-0000-0000-00000B000000}"/>
    <cellStyle name="一般 12" xfId="12" xr:uid="{00000000-0005-0000-0000-00000C000000}"/>
    <cellStyle name="一般 13" xfId="13" xr:uid="{00000000-0005-0000-0000-00000D000000}"/>
    <cellStyle name="一般 14" xfId="14" xr:uid="{00000000-0005-0000-0000-00000E000000}"/>
    <cellStyle name="一般 15" xfId="15" xr:uid="{00000000-0005-0000-0000-00000F000000}"/>
    <cellStyle name="一般 16" xfId="16" xr:uid="{00000000-0005-0000-0000-000010000000}"/>
    <cellStyle name="一般 17" xfId="17" xr:uid="{00000000-0005-0000-0000-000011000000}"/>
    <cellStyle name="一般 18" xfId="18" xr:uid="{00000000-0005-0000-0000-000012000000}"/>
    <cellStyle name="一般 19" xfId="19" xr:uid="{00000000-0005-0000-0000-000013000000}"/>
    <cellStyle name="一般 2" xfId="20" xr:uid="{00000000-0005-0000-0000-000014000000}"/>
    <cellStyle name="一般 20" xfId="21" xr:uid="{00000000-0005-0000-0000-000015000000}"/>
    <cellStyle name="一般 21" xfId="22" xr:uid="{00000000-0005-0000-0000-000016000000}"/>
    <cellStyle name="一般 22" xfId="23" xr:uid="{00000000-0005-0000-0000-000017000000}"/>
    <cellStyle name="一般 23" xfId="24" xr:uid="{00000000-0005-0000-0000-000018000000}"/>
    <cellStyle name="一般 24" xfId="25" xr:uid="{00000000-0005-0000-0000-000019000000}"/>
    <cellStyle name="一般 25" xfId="26" xr:uid="{00000000-0005-0000-0000-00001A000000}"/>
    <cellStyle name="一般 26" xfId="27" xr:uid="{00000000-0005-0000-0000-00001B000000}"/>
    <cellStyle name="一般 27" xfId="28" xr:uid="{00000000-0005-0000-0000-00001C000000}"/>
    <cellStyle name="一般 28" xfId="29" xr:uid="{00000000-0005-0000-0000-00001D000000}"/>
    <cellStyle name="一般 29" xfId="55" xr:uid="{3ED28104-60D3-488B-BD19-2F04B12AD06C}"/>
    <cellStyle name="一般 3" xfId="30" xr:uid="{00000000-0005-0000-0000-00001E000000}"/>
    <cellStyle name="一般 3 3 5" xfId="54" xr:uid="{2D162BF8-D827-452F-B785-CA639A4783F8}"/>
    <cellStyle name="一般 4" xfId="31" xr:uid="{00000000-0005-0000-0000-00001F000000}"/>
    <cellStyle name="一般 5" xfId="32" xr:uid="{00000000-0005-0000-0000-000020000000}"/>
    <cellStyle name="一般 6" xfId="33" xr:uid="{00000000-0005-0000-0000-000021000000}"/>
    <cellStyle name="一般 7" xfId="34" xr:uid="{00000000-0005-0000-0000-000022000000}"/>
    <cellStyle name="一般 8" xfId="35" xr:uid="{00000000-0005-0000-0000-000023000000}"/>
    <cellStyle name="一般 9" xfId="36" xr:uid="{00000000-0005-0000-0000-000024000000}"/>
    <cellStyle name="百分比" xfId="37" builtinId="5"/>
    <cellStyle name="百分比 2" xfId="38" xr:uid="{00000000-0005-0000-0000-000026000000}"/>
    <cellStyle name="常规_No TP &amp; Component List " xfId="39" xr:uid="{00000000-0005-0000-0000-000027000000}"/>
    <cellStyle name="똿뗦먛귟 [0.00]_PRODUCT DETAIL Q1" xfId="40" xr:uid="{00000000-0005-0000-0000-000028000000}"/>
    <cellStyle name="똿뗦먛귟_PRODUCT DETAIL Q1" xfId="41" xr:uid="{00000000-0005-0000-0000-000029000000}"/>
    <cellStyle name="超連結" xfId="42" builtinId="8"/>
    <cellStyle name="超連結 2" xfId="43" xr:uid="{00000000-0005-0000-0000-00002B000000}"/>
    <cellStyle name="超連結 3" xfId="44" xr:uid="{00000000-0005-0000-0000-00002C000000}"/>
    <cellStyle name="믅됞 [0.00]_PRODUCT DETAIL Q1" xfId="45" xr:uid="{00000000-0005-0000-0000-00002D000000}"/>
    <cellStyle name="믅됞_PRODUCT DETAIL Q1" xfId="46" xr:uid="{00000000-0005-0000-0000-00002E000000}"/>
    <cellStyle name="백분율_HOBONG" xfId="47" xr:uid="{00000000-0005-0000-0000-00002F000000}"/>
    <cellStyle name="뷭?_BOOKSHIP" xfId="48" xr:uid="{00000000-0005-0000-0000-000030000000}"/>
    <cellStyle name="콤마 [0]_1202" xfId="49" xr:uid="{00000000-0005-0000-0000-000031000000}"/>
    <cellStyle name="콤마_1202" xfId="50" xr:uid="{00000000-0005-0000-0000-000032000000}"/>
    <cellStyle name="통화 [0]_1202" xfId="51" xr:uid="{00000000-0005-0000-0000-000033000000}"/>
    <cellStyle name="통화_1202" xfId="52" xr:uid="{00000000-0005-0000-0000-000034000000}"/>
    <cellStyle name="표준_(정보부문)월별인원계획" xfId="53" xr:uid="{00000000-0005-0000-0000-000035000000}"/>
  </cellStyles>
  <dxfs count="1"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3</xdr:row>
      <xdr:rowOff>47625</xdr:rowOff>
    </xdr:from>
    <xdr:to>
      <xdr:col>4</xdr:col>
      <xdr:colOff>2114550</xdr:colOff>
      <xdr:row>3</xdr:row>
      <xdr:rowOff>1381125</xdr:rowOff>
    </xdr:to>
    <xdr:pic>
      <xdr:nvPicPr>
        <xdr:cNvPr id="33982" name="圖片 1">
          <a:extLst>
            <a:ext uri="{FF2B5EF4-FFF2-40B4-BE49-F238E27FC236}">
              <a16:creationId xmlns:a16="http://schemas.microsoft.com/office/drawing/2014/main" id="{00000000-0008-0000-0200-0000BE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771525"/>
          <a:ext cx="20383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4</xdr:row>
      <xdr:rowOff>85725</xdr:rowOff>
    </xdr:from>
    <xdr:to>
      <xdr:col>4</xdr:col>
      <xdr:colOff>1571625</xdr:colOff>
      <xdr:row>4</xdr:row>
      <xdr:rowOff>1362075</xdr:rowOff>
    </xdr:to>
    <xdr:pic>
      <xdr:nvPicPr>
        <xdr:cNvPr id="33983" name="圖片 2">
          <a:extLst>
            <a:ext uri="{FF2B5EF4-FFF2-40B4-BE49-F238E27FC236}">
              <a16:creationId xmlns:a16="http://schemas.microsoft.com/office/drawing/2014/main" id="{00000000-0008-0000-0200-0000BF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47900"/>
          <a:ext cx="148590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1666875</xdr:colOff>
      <xdr:row>4</xdr:row>
      <xdr:rowOff>47625</xdr:rowOff>
    </xdr:from>
    <xdr:to>
      <xdr:col>4</xdr:col>
      <xdr:colOff>3505200</xdr:colOff>
      <xdr:row>4</xdr:row>
      <xdr:rowOff>1343025</xdr:rowOff>
    </xdr:to>
    <xdr:pic>
      <xdr:nvPicPr>
        <xdr:cNvPr id="33984" name="圖片 3">
          <a:extLst>
            <a:ext uri="{FF2B5EF4-FFF2-40B4-BE49-F238E27FC236}">
              <a16:creationId xmlns:a16="http://schemas.microsoft.com/office/drawing/2014/main" id="{00000000-0008-0000-0200-0000C0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2209800"/>
          <a:ext cx="1838325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5</xdr:row>
      <xdr:rowOff>85725</xdr:rowOff>
    </xdr:from>
    <xdr:to>
      <xdr:col>4</xdr:col>
      <xdr:colOff>1543050</xdr:colOff>
      <xdr:row>5</xdr:row>
      <xdr:rowOff>1352550</xdr:rowOff>
    </xdr:to>
    <xdr:pic>
      <xdr:nvPicPr>
        <xdr:cNvPr id="33985" name="圖片 4">
          <a:extLst>
            <a:ext uri="{FF2B5EF4-FFF2-40B4-BE49-F238E27FC236}">
              <a16:creationId xmlns:a16="http://schemas.microsoft.com/office/drawing/2014/main" id="{00000000-0008-0000-0200-0000C1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686175"/>
          <a:ext cx="144780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1657350</xdr:colOff>
      <xdr:row>5</xdr:row>
      <xdr:rowOff>133350</xdr:rowOff>
    </xdr:from>
    <xdr:to>
      <xdr:col>4</xdr:col>
      <xdr:colOff>4143375</xdr:colOff>
      <xdr:row>5</xdr:row>
      <xdr:rowOff>1304925</xdr:rowOff>
    </xdr:to>
    <xdr:pic>
      <xdr:nvPicPr>
        <xdr:cNvPr id="33986" name="圖片 6">
          <a:extLst>
            <a:ext uri="{FF2B5EF4-FFF2-40B4-BE49-F238E27FC236}">
              <a16:creationId xmlns:a16="http://schemas.microsoft.com/office/drawing/2014/main" id="{00000000-0008-0000-0200-0000C2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3733800"/>
          <a:ext cx="24860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4391025</xdr:colOff>
      <xdr:row>5</xdr:row>
      <xdr:rowOff>38100</xdr:rowOff>
    </xdr:from>
    <xdr:to>
      <xdr:col>4</xdr:col>
      <xdr:colOff>6572250</xdr:colOff>
      <xdr:row>5</xdr:row>
      <xdr:rowOff>1371600</xdr:rowOff>
    </xdr:to>
    <xdr:pic>
      <xdr:nvPicPr>
        <xdr:cNvPr id="33987" name="圖片 7">
          <a:extLst>
            <a:ext uri="{FF2B5EF4-FFF2-40B4-BE49-F238E27FC236}">
              <a16:creationId xmlns:a16="http://schemas.microsoft.com/office/drawing/2014/main" id="{00000000-0008-0000-0200-0000C3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1700" y="3638550"/>
          <a:ext cx="218122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3895725</xdr:colOff>
      <xdr:row>4</xdr:row>
      <xdr:rowOff>76200</xdr:rowOff>
    </xdr:from>
    <xdr:to>
      <xdr:col>4</xdr:col>
      <xdr:colOff>5934075</xdr:colOff>
      <xdr:row>4</xdr:row>
      <xdr:rowOff>1409700</xdr:rowOff>
    </xdr:to>
    <xdr:pic>
      <xdr:nvPicPr>
        <xdr:cNvPr id="33988" name="圖片 8">
          <a:extLst>
            <a:ext uri="{FF2B5EF4-FFF2-40B4-BE49-F238E27FC236}">
              <a16:creationId xmlns:a16="http://schemas.microsoft.com/office/drawing/2014/main" id="{00000000-0008-0000-0200-0000C4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2238375"/>
          <a:ext cx="20383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266700</xdr:colOff>
      <xdr:row>6</xdr:row>
      <xdr:rowOff>66675</xdr:rowOff>
    </xdr:from>
    <xdr:to>
      <xdr:col>4</xdr:col>
      <xdr:colOff>2286000</xdr:colOff>
      <xdr:row>6</xdr:row>
      <xdr:rowOff>1362075</xdr:rowOff>
    </xdr:to>
    <xdr:pic>
      <xdr:nvPicPr>
        <xdr:cNvPr id="33989" name="圖片 10">
          <a:extLst>
            <a:ext uri="{FF2B5EF4-FFF2-40B4-BE49-F238E27FC236}">
              <a16:creationId xmlns:a16="http://schemas.microsoft.com/office/drawing/2014/main" id="{00000000-0008-0000-0200-0000C5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105400"/>
          <a:ext cx="201930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2514600</xdr:colOff>
      <xdr:row>6</xdr:row>
      <xdr:rowOff>47625</xdr:rowOff>
    </xdr:from>
    <xdr:to>
      <xdr:col>4</xdr:col>
      <xdr:colOff>4381500</xdr:colOff>
      <xdr:row>6</xdr:row>
      <xdr:rowOff>1323975</xdr:rowOff>
    </xdr:to>
    <xdr:pic>
      <xdr:nvPicPr>
        <xdr:cNvPr id="33990" name="圖片 11">
          <a:extLst>
            <a:ext uri="{FF2B5EF4-FFF2-40B4-BE49-F238E27FC236}">
              <a16:creationId xmlns:a16="http://schemas.microsoft.com/office/drawing/2014/main" id="{00000000-0008-0000-0200-0000C6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5" y="5086350"/>
          <a:ext cx="186690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2362200</xdr:colOff>
      <xdr:row>3</xdr:row>
      <xdr:rowOff>47625</xdr:rowOff>
    </xdr:from>
    <xdr:to>
      <xdr:col>4</xdr:col>
      <xdr:colOff>3695700</xdr:colOff>
      <xdr:row>3</xdr:row>
      <xdr:rowOff>1400175</xdr:rowOff>
    </xdr:to>
    <xdr:pic>
      <xdr:nvPicPr>
        <xdr:cNvPr id="33991" name="圖片 12">
          <a:extLst>
            <a:ext uri="{FF2B5EF4-FFF2-40B4-BE49-F238E27FC236}">
              <a16:creationId xmlns:a16="http://schemas.microsoft.com/office/drawing/2014/main" id="{00000000-0008-0000-0200-0000C7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2875" y="771525"/>
          <a:ext cx="13335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D858"/>
  <sheetViews>
    <sheetView topLeftCell="A481" workbookViewId="0">
      <selection activeCell="H3" sqref="H3"/>
    </sheetView>
  </sheetViews>
  <sheetFormatPr defaultRowHeight="16.5"/>
  <sheetData>
    <row r="1" spans="1:4" ht="33">
      <c r="A1" s="2" t="s">
        <v>27</v>
      </c>
      <c r="B1" s="2" t="s">
        <v>28</v>
      </c>
      <c r="C1" s="2" t="s">
        <v>29</v>
      </c>
      <c r="D1" s="2" t="s">
        <v>30</v>
      </c>
    </row>
    <row r="2" spans="1:4" ht="49.5">
      <c r="A2" s="2" t="s">
        <v>124</v>
      </c>
      <c r="B2" s="2" t="s">
        <v>125</v>
      </c>
      <c r="C2" s="2" t="s">
        <v>126</v>
      </c>
      <c r="D2" s="2" t="s">
        <v>36</v>
      </c>
    </row>
    <row r="3" spans="1:4" ht="49.5">
      <c r="A3" s="2" t="s">
        <v>127</v>
      </c>
      <c r="B3" s="2" t="s">
        <v>128</v>
      </c>
      <c r="C3" s="2" t="s">
        <v>126</v>
      </c>
      <c r="D3" s="2" t="s">
        <v>36</v>
      </c>
    </row>
    <row r="4" spans="1:4" ht="49.5">
      <c r="A4" s="2" t="s">
        <v>129</v>
      </c>
      <c r="B4" s="2" t="s">
        <v>130</v>
      </c>
      <c r="C4" s="2" t="s">
        <v>126</v>
      </c>
      <c r="D4" s="2" t="s">
        <v>36</v>
      </c>
    </row>
    <row r="5" spans="1:4" ht="49.5">
      <c r="A5" s="2" t="s">
        <v>131</v>
      </c>
      <c r="B5" s="2" t="s">
        <v>132</v>
      </c>
      <c r="C5" s="2" t="s">
        <v>126</v>
      </c>
      <c r="D5" s="2" t="s">
        <v>36</v>
      </c>
    </row>
    <row r="6" spans="1:4" ht="49.5">
      <c r="A6" s="2" t="s">
        <v>133</v>
      </c>
      <c r="B6" s="2" t="s">
        <v>134</v>
      </c>
      <c r="C6" s="2" t="s">
        <v>2076</v>
      </c>
      <c r="D6" s="2" t="s">
        <v>36</v>
      </c>
    </row>
    <row r="7" spans="1:4" ht="49.5">
      <c r="A7" s="2" t="s">
        <v>135</v>
      </c>
      <c r="B7" s="2" t="s">
        <v>136</v>
      </c>
      <c r="C7" s="2" t="s">
        <v>2076</v>
      </c>
      <c r="D7" s="2" t="s">
        <v>36</v>
      </c>
    </row>
    <row r="8" spans="1:4" ht="49.5">
      <c r="A8" s="2" t="s">
        <v>137</v>
      </c>
      <c r="B8" s="2" t="s">
        <v>138</v>
      </c>
      <c r="C8" s="2" t="s">
        <v>2076</v>
      </c>
      <c r="D8" s="2" t="s">
        <v>36</v>
      </c>
    </row>
    <row r="9" spans="1:4" ht="49.5">
      <c r="A9" s="2" t="s">
        <v>139</v>
      </c>
      <c r="B9" s="2" t="s">
        <v>140</v>
      </c>
      <c r="C9" s="2" t="s">
        <v>2076</v>
      </c>
      <c r="D9" s="2" t="s">
        <v>36</v>
      </c>
    </row>
    <row r="10" spans="1:4" ht="49.5">
      <c r="A10" s="2" t="s">
        <v>141</v>
      </c>
      <c r="B10" s="2" t="s">
        <v>142</v>
      </c>
      <c r="C10" s="2" t="s">
        <v>2076</v>
      </c>
      <c r="D10" s="2" t="s">
        <v>36</v>
      </c>
    </row>
    <row r="11" spans="1:4" ht="49.5">
      <c r="A11" s="2" t="s">
        <v>143</v>
      </c>
      <c r="B11" s="2" t="s">
        <v>144</v>
      </c>
      <c r="C11" s="2" t="s">
        <v>2076</v>
      </c>
      <c r="D11" s="2" t="s">
        <v>36</v>
      </c>
    </row>
    <row r="12" spans="1:4" ht="33">
      <c r="A12" s="2" t="s">
        <v>145</v>
      </c>
      <c r="B12" s="2" t="s">
        <v>146</v>
      </c>
      <c r="C12" s="2" t="s">
        <v>2076</v>
      </c>
      <c r="D12" s="2" t="s">
        <v>36</v>
      </c>
    </row>
    <row r="13" spans="1:4" ht="33">
      <c r="A13" s="2" t="s">
        <v>147</v>
      </c>
      <c r="B13" s="2" t="s">
        <v>148</v>
      </c>
      <c r="C13" s="2" t="s">
        <v>2076</v>
      </c>
      <c r="D13" s="2" t="s">
        <v>36</v>
      </c>
    </row>
    <row r="14" spans="1:4" ht="33">
      <c r="A14" s="2" t="s">
        <v>108</v>
      </c>
      <c r="B14" s="2" t="s">
        <v>109</v>
      </c>
      <c r="C14" s="2" t="s">
        <v>2076</v>
      </c>
      <c r="D14" s="2" t="s">
        <v>34</v>
      </c>
    </row>
    <row r="15" spans="1:4" ht="33">
      <c r="A15" s="2" t="s">
        <v>110</v>
      </c>
      <c r="B15" s="2" t="s">
        <v>111</v>
      </c>
      <c r="C15" s="2" t="s">
        <v>2076</v>
      </c>
      <c r="D15" s="2" t="s">
        <v>34</v>
      </c>
    </row>
    <row r="16" spans="1:4" ht="33">
      <c r="A16" s="2" t="s">
        <v>112</v>
      </c>
      <c r="B16" s="2" t="s">
        <v>113</v>
      </c>
      <c r="C16" s="2" t="s">
        <v>2076</v>
      </c>
      <c r="D16" s="2" t="s">
        <v>30</v>
      </c>
    </row>
    <row r="17" spans="1:4" ht="33">
      <c r="A17" s="2" t="s">
        <v>114</v>
      </c>
      <c r="B17" s="2" t="s">
        <v>115</v>
      </c>
      <c r="C17" s="2" t="s">
        <v>2076</v>
      </c>
      <c r="D17" s="2" t="s">
        <v>30</v>
      </c>
    </row>
    <row r="18" spans="1:4" ht="33">
      <c r="A18" s="2" t="s">
        <v>116</v>
      </c>
      <c r="B18" s="2" t="s">
        <v>117</v>
      </c>
      <c r="C18" s="2" t="s">
        <v>2076</v>
      </c>
      <c r="D18" s="2" t="s">
        <v>30</v>
      </c>
    </row>
    <row r="19" spans="1:4" ht="33">
      <c r="A19" s="2" t="s">
        <v>118</v>
      </c>
      <c r="B19" s="2" t="s">
        <v>119</v>
      </c>
      <c r="C19" s="2" t="s">
        <v>2076</v>
      </c>
      <c r="D19" s="2" t="s">
        <v>30</v>
      </c>
    </row>
    <row r="20" spans="1:4" ht="33">
      <c r="A20" s="2" t="s">
        <v>120</v>
      </c>
      <c r="B20" s="2" t="s">
        <v>121</v>
      </c>
      <c r="C20" s="2" t="s">
        <v>2076</v>
      </c>
      <c r="D20" s="2" t="s">
        <v>30</v>
      </c>
    </row>
    <row r="21" spans="1:4" ht="33">
      <c r="A21" s="2" t="s">
        <v>122</v>
      </c>
      <c r="B21" s="2" t="s">
        <v>123</v>
      </c>
      <c r="C21" s="2" t="s">
        <v>2076</v>
      </c>
      <c r="D21" s="2" t="s">
        <v>30</v>
      </c>
    </row>
    <row r="22" spans="1:4" ht="66">
      <c r="A22" s="2" t="s">
        <v>206</v>
      </c>
      <c r="B22" s="2" t="s">
        <v>207</v>
      </c>
      <c r="C22" s="2" t="s">
        <v>208</v>
      </c>
      <c r="D22" s="2" t="s">
        <v>30</v>
      </c>
    </row>
    <row r="23" spans="1:4" ht="66">
      <c r="A23" s="2" t="s">
        <v>209</v>
      </c>
      <c r="B23" s="2" t="s">
        <v>210</v>
      </c>
      <c r="C23" s="2" t="s">
        <v>208</v>
      </c>
      <c r="D23" s="2" t="s">
        <v>34</v>
      </c>
    </row>
    <row r="24" spans="1:4" ht="66">
      <c r="A24" s="2" t="s">
        <v>211</v>
      </c>
      <c r="B24" s="2" t="s">
        <v>212</v>
      </c>
      <c r="C24" s="2" t="s">
        <v>208</v>
      </c>
      <c r="D24" s="2" t="s">
        <v>34</v>
      </c>
    </row>
    <row r="25" spans="1:4" ht="66">
      <c r="A25" s="2" t="s">
        <v>213</v>
      </c>
      <c r="B25" s="2" t="s">
        <v>214</v>
      </c>
      <c r="C25" s="2" t="s">
        <v>208</v>
      </c>
      <c r="D25" s="2" t="s">
        <v>34</v>
      </c>
    </row>
    <row r="26" spans="1:4" ht="66">
      <c r="A26" s="2" t="s">
        <v>215</v>
      </c>
      <c r="B26" s="2" t="s">
        <v>216</v>
      </c>
      <c r="C26" s="2" t="s">
        <v>208</v>
      </c>
      <c r="D26" s="2" t="s">
        <v>34</v>
      </c>
    </row>
    <row r="27" spans="1:4" ht="66">
      <c r="A27" s="2" t="s">
        <v>217</v>
      </c>
      <c r="B27" s="2" t="s">
        <v>218</v>
      </c>
      <c r="C27" s="2" t="s">
        <v>208</v>
      </c>
      <c r="D27" s="2" t="s">
        <v>30</v>
      </c>
    </row>
    <row r="28" spans="1:4" ht="33">
      <c r="A28" s="2" t="s">
        <v>32</v>
      </c>
      <c r="B28" s="2" t="s">
        <v>33</v>
      </c>
      <c r="C28" s="2" t="s">
        <v>29</v>
      </c>
      <c r="D28" s="2" t="s">
        <v>30</v>
      </c>
    </row>
    <row r="29" spans="1:4" ht="49.5">
      <c r="A29" s="2" t="s">
        <v>37</v>
      </c>
      <c r="B29" s="2" t="s">
        <v>38</v>
      </c>
      <c r="C29" s="2" t="s">
        <v>29</v>
      </c>
      <c r="D29" s="2" t="s">
        <v>36</v>
      </c>
    </row>
    <row r="30" spans="1:4" ht="33">
      <c r="A30" s="2" t="s">
        <v>40</v>
      </c>
      <c r="B30" s="2" t="s">
        <v>41</v>
      </c>
      <c r="C30" s="2" t="s">
        <v>29</v>
      </c>
      <c r="D30" s="2" t="s">
        <v>30</v>
      </c>
    </row>
    <row r="31" spans="1:4" ht="49.5">
      <c r="A31" s="2" t="s">
        <v>42</v>
      </c>
      <c r="B31" s="2" t="s">
        <v>43</v>
      </c>
      <c r="C31" s="2" t="s">
        <v>29</v>
      </c>
      <c r="D31" s="2" t="s">
        <v>30</v>
      </c>
    </row>
    <row r="32" spans="1:4" ht="49.5">
      <c r="A32" s="2" t="s">
        <v>44</v>
      </c>
      <c r="B32" s="2" t="s">
        <v>45</v>
      </c>
      <c r="C32" s="2" t="s">
        <v>29</v>
      </c>
      <c r="D32" s="2" t="s">
        <v>30</v>
      </c>
    </row>
    <row r="33" spans="1:4" ht="49.5">
      <c r="A33" s="2" t="s">
        <v>46</v>
      </c>
      <c r="B33" s="2" t="s">
        <v>47</v>
      </c>
      <c r="C33" s="2" t="s">
        <v>29</v>
      </c>
      <c r="D33" s="2" t="s">
        <v>30</v>
      </c>
    </row>
    <row r="34" spans="1:4" ht="49.5">
      <c r="A34" s="2" t="s">
        <v>48</v>
      </c>
      <c r="B34" s="2" t="s">
        <v>49</v>
      </c>
      <c r="C34" s="2" t="s">
        <v>29</v>
      </c>
      <c r="D34" s="2" t="s">
        <v>30</v>
      </c>
    </row>
    <row r="35" spans="1:4" ht="49.5">
      <c r="A35" s="2" t="s">
        <v>50</v>
      </c>
      <c r="B35" s="2" t="s">
        <v>51</v>
      </c>
      <c r="C35" s="2" t="s">
        <v>29</v>
      </c>
      <c r="D35" s="2" t="s">
        <v>36</v>
      </c>
    </row>
    <row r="36" spans="1:4" ht="49.5">
      <c r="A36" s="2" t="s">
        <v>52</v>
      </c>
      <c r="B36" s="2" t="s">
        <v>53</v>
      </c>
      <c r="C36" s="2" t="s">
        <v>29</v>
      </c>
      <c r="D36" s="2" t="s">
        <v>36</v>
      </c>
    </row>
    <row r="37" spans="1:4" ht="49.5">
      <c r="A37" s="2" t="s">
        <v>54</v>
      </c>
      <c r="B37" s="2" t="s">
        <v>55</v>
      </c>
      <c r="C37" s="2" t="s">
        <v>29</v>
      </c>
      <c r="D37" s="2" t="s">
        <v>36</v>
      </c>
    </row>
    <row r="38" spans="1:4" ht="66">
      <c r="A38" s="2" t="s">
        <v>56</v>
      </c>
      <c r="B38" s="2" t="s">
        <v>57</v>
      </c>
      <c r="C38" s="2" t="s">
        <v>29</v>
      </c>
      <c r="D38" s="2" t="s">
        <v>30</v>
      </c>
    </row>
    <row r="39" spans="1:4" ht="49.5">
      <c r="A39" s="2" t="s">
        <v>58</v>
      </c>
      <c r="B39" s="2" t="s">
        <v>59</v>
      </c>
      <c r="C39" s="2" t="s">
        <v>29</v>
      </c>
      <c r="D39" s="2" t="s">
        <v>30</v>
      </c>
    </row>
    <row r="40" spans="1:4" ht="66">
      <c r="A40" s="2" t="s">
        <v>60</v>
      </c>
      <c r="B40" s="2" t="s">
        <v>61</v>
      </c>
      <c r="C40" s="2" t="s">
        <v>29</v>
      </c>
      <c r="D40" s="2" t="s">
        <v>30</v>
      </c>
    </row>
    <row r="41" spans="1:4" ht="66">
      <c r="A41" s="2" t="s">
        <v>62</v>
      </c>
      <c r="B41" s="2" t="s">
        <v>63</v>
      </c>
      <c r="C41" s="2" t="s">
        <v>29</v>
      </c>
      <c r="D41" s="2" t="s">
        <v>30</v>
      </c>
    </row>
    <row r="42" spans="1:4" ht="66">
      <c r="A42" s="2" t="s">
        <v>64</v>
      </c>
      <c r="B42" s="2" t="s">
        <v>65</v>
      </c>
      <c r="C42" s="2" t="s">
        <v>29</v>
      </c>
      <c r="D42" s="2" t="s">
        <v>30</v>
      </c>
    </row>
    <row r="43" spans="1:4" ht="66">
      <c r="A43" s="2" t="s">
        <v>66</v>
      </c>
      <c r="B43" s="2" t="s">
        <v>67</v>
      </c>
      <c r="C43" s="2" t="s">
        <v>29</v>
      </c>
      <c r="D43" s="2" t="s">
        <v>30</v>
      </c>
    </row>
    <row r="44" spans="1:4" ht="66">
      <c r="A44" s="2" t="s">
        <v>68</v>
      </c>
      <c r="B44" s="2" t="s">
        <v>69</v>
      </c>
      <c r="C44" s="2" t="s">
        <v>29</v>
      </c>
      <c r="D44" s="2" t="s">
        <v>30</v>
      </c>
    </row>
    <row r="45" spans="1:4" ht="66">
      <c r="A45" s="2" t="s">
        <v>70</v>
      </c>
      <c r="B45" s="2" t="s">
        <v>71</v>
      </c>
      <c r="C45" s="2" t="s">
        <v>29</v>
      </c>
      <c r="D45" s="2" t="s">
        <v>30</v>
      </c>
    </row>
    <row r="46" spans="1:4" ht="66">
      <c r="A46" s="2" t="s">
        <v>72</v>
      </c>
      <c r="B46" s="2" t="s">
        <v>73</v>
      </c>
      <c r="C46" s="2" t="s">
        <v>29</v>
      </c>
      <c r="D46" s="2" t="s">
        <v>30</v>
      </c>
    </row>
    <row r="47" spans="1:4" ht="49.5">
      <c r="A47" s="2" t="s">
        <v>74</v>
      </c>
      <c r="B47" s="2" t="s">
        <v>75</v>
      </c>
      <c r="C47" s="2" t="s">
        <v>29</v>
      </c>
      <c r="D47" s="2" t="s">
        <v>36</v>
      </c>
    </row>
    <row r="48" spans="1:4" ht="33">
      <c r="A48" s="2" t="s">
        <v>76</v>
      </c>
      <c r="B48" s="2" t="s">
        <v>77</v>
      </c>
      <c r="C48" s="2" t="s">
        <v>29</v>
      </c>
      <c r="D48" s="2" t="s">
        <v>30</v>
      </c>
    </row>
    <row r="49" spans="1:4" ht="33">
      <c r="A49" s="2" t="s">
        <v>78</v>
      </c>
      <c r="B49" s="2" t="s">
        <v>79</v>
      </c>
      <c r="C49" s="2" t="s">
        <v>29</v>
      </c>
      <c r="D49" s="2" t="s">
        <v>30</v>
      </c>
    </row>
    <row r="50" spans="1:4" ht="49.5">
      <c r="A50" s="2" t="s">
        <v>80</v>
      </c>
      <c r="B50" s="2" t="s">
        <v>81</v>
      </c>
      <c r="C50" s="2" t="s">
        <v>29</v>
      </c>
      <c r="D50" s="2" t="s">
        <v>34</v>
      </c>
    </row>
    <row r="51" spans="1:4" ht="66">
      <c r="A51" s="2" t="s">
        <v>82</v>
      </c>
      <c r="B51" s="2" t="s">
        <v>83</v>
      </c>
      <c r="C51" s="2" t="s">
        <v>29</v>
      </c>
      <c r="D51" s="2" t="s">
        <v>36</v>
      </c>
    </row>
    <row r="52" spans="1:4" ht="49.5">
      <c r="A52" s="2" t="s">
        <v>84</v>
      </c>
      <c r="B52" s="2" t="s">
        <v>85</v>
      </c>
      <c r="C52" s="2" t="s">
        <v>29</v>
      </c>
      <c r="D52" s="2" t="s">
        <v>36</v>
      </c>
    </row>
    <row r="53" spans="1:4" ht="66">
      <c r="A53" s="2" t="s">
        <v>86</v>
      </c>
      <c r="B53" s="2" t="s">
        <v>87</v>
      </c>
      <c r="C53" s="2" t="s">
        <v>29</v>
      </c>
      <c r="D53" s="2" t="s">
        <v>30</v>
      </c>
    </row>
    <row r="54" spans="1:4" ht="66">
      <c r="A54" s="2" t="s">
        <v>88</v>
      </c>
      <c r="B54" s="2" t="s">
        <v>89</v>
      </c>
      <c r="C54" s="2" t="s">
        <v>29</v>
      </c>
      <c r="D54" s="2" t="s">
        <v>30</v>
      </c>
    </row>
    <row r="55" spans="1:4" ht="66">
      <c r="A55" s="2" t="s">
        <v>90</v>
      </c>
      <c r="B55" s="2" t="s">
        <v>91</v>
      </c>
      <c r="C55" s="2" t="s">
        <v>29</v>
      </c>
      <c r="D55" s="2" t="s">
        <v>30</v>
      </c>
    </row>
    <row r="56" spans="1:4" ht="66">
      <c r="A56" s="2" t="s">
        <v>92</v>
      </c>
      <c r="B56" s="2" t="s">
        <v>93</v>
      </c>
      <c r="C56" s="2" t="s">
        <v>29</v>
      </c>
      <c r="D56" s="2" t="s">
        <v>30</v>
      </c>
    </row>
    <row r="57" spans="1:4" ht="66">
      <c r="A57" s="2" t="s">
        <v>94</v>
      </c>
      <c r="B57" s="2" t="s">
        <v>95</v>
      </c>
      <c r="C57" s="2" t="s">
        <v>29</v>
      </c>
      <c r="D57" s="2" t="s">
        <v>30</v>
      </c>
    </row>
    <row r="58" spans="1:4" ht="66">
      <c r="A58" s="2" t="s">
        <v>96</v>
      </c>
      <c r="B58" s="2" t="s">
        <v>97</v>
      </c>
      <c r="C58" s="2" t="s">
        <v>29</v>
      </c>
      <c r="D58" s="2" t="s">
        <v>30</v>
      </c>
    </row>
    <row r="59" spans="1:4" ht="66">
      <c r="A59" s="2" t="s">
        <v>98</v>
      </c>
      <c r="B59" s="2" t="s">
        <v>99</v>
      </c>
      <c r="C59" s="2" t="s">
        <v>29</v>
      </c>
      <c r="D59" s="2" t="s">
        <v>34</v>
      </c>
    </row>
    <row r="60" spans="1:4" ht="66">
      <c r="A60" s="2" t="s">
        <v>100</v>
      </c>
      <c r="B60" s="2" t="s">
        <v>101</v>
      </c>
      <c r="C60" s="2" t="s">
        <v>29</v>
      </c>
      <c r="D60" s="2" t="s">
        <v>30</v>
      </c>
    </row>
    <row r="61" spans="1:4" ht="49.5">
      <c r="A61" s="2" t="s">
        <v>102</v>
      </c>
      <c r="B61" s="2" t="s">
        <v>103</v>
      </c>
      <c r="C61" s="2" t="s">
        <v>29</v>
      </c>
      <c r="D61" s="2" t="s">
        <v>30</v>
      </c>
    </row>
    <row r="62" spans="1:4" ht="33">
      <c r="A62" s="2" t="s">
        <v>104</v>
      </c>
      <c r="B62" s="2" t="s">
        <v>105</v>
      </c>
      <c r="C62" s="2" t="s">
        <v>29</v>
      </c>
      <c r="D62" s="2" t="s">
        <v>34</v>
      </c>
    </row>
    <row r="63" spans="1:4" ht="49.5">
      <c r="A63" s="2" t="s">
        <v>106</v>
      </c>
      <c r="B63" s="2" t="s">
        <v>107</v>
      </c>
      <c r="C63" s="2" t="s">
        <v>29</v>
      </c>
      <c r="D63" s="2" t="s">
        <v>34</v>
      </c>
    </row>
    <row r="64" spans="1:4" ht="33">
      <c r="A64" s="2" t="s">
        <v>222</v>
      </c>
      <c r="B64" s="2" t="s">
        <v>223</v>
      </c>
      <c r="C64" s="2" t="s">
        <v>35</v>
      </c>
      <c r="D64" s="2" t="s">
        <v>30</v>
      </c>
    </row>
    <row r="65" spans="1:4" ht="33">
      <c r="A65" s="2" t="s">
        <v>226</v>
      </c>
      <c r="B65" s="2" t="s">
        <v>227</v>
      </c>
      <c r="C65" s="2" t="s">
        <v>35</v>
      </c>
      <c r="D65" s="2" t="s">
        <v>34</v>
      </c>
    </row>
    <row r="66" spans="1:4" ht="33">
      <c r="A66" s="2" t="s">
        <v>246</v>
      </c>
      <c r="B66" s="2" t="s">
        <v>247</v>
      </c>
      <c r="C66" s="2" t="s">
        <v>35</v>
      </c>
      <c r="D66" s="2" t="s">
        <v>30</v>
      </c>
    </row>
    <row r="67" spans="1:4" ht="33">
      <c r="A67" s="2" t="s">
        <v>252</v>
      </c>
      <c r="B67" s="2" t="s">
        <v>253</v>
      </c>
      <c r="C67" s="2" t="s">
        <v>35</v>
      </c>
      <c r="D67" s="2" t="s">
        <v>30</v>
      </c>
    </row>
    <row r="68" spans="1:4" ht="33">
      <c r="A68" s="2" t="s">
        <v>254</v>
      </c>
      <c r="B68" s="2" t="s">
        <v>255</v>
      </c>
      <c r="C68" s="2" t="s">
        <v>35</v>
      </c>
      <c r="D68" s="2" t="s">
        <v>30</v>
      </c>
    </row>
    <row r="69" spans="1:4" ht="33">
      <c r="A69" s="2" t="s">
        <v>264</v>
      </c>
      <c r="B69" s="2" t="s">
        <v>265</v>
      </c>
      <c r="C69" s="2" t="s">
        <v>35</v>
      </c>
      <c r="D69" s="2" t="s">
        <v>30</v>
      </c>
    </row>
    <row r="70" spans="1:4" ht="49.5">
      <c r="A70" s="2" t="s">
        <v>266</v>
      </c>
      <c r="B70" s="2" t="s">
        <v>267</v>
      </c>
      <c r="C70" s="2" t="s">
        <v>35</v>
      </c>
      <c r="D70" s="2" t="s">
        <v>30</v>
      </c>
    </row>
    <row r="71" spans="1:4" ht="49.5">
      <c r="A71" s="2" t="s">
        <v>377</v>
      </c>
      <c r="B71" s="2" t="s">
        <v>378</v>
      </c>
      <c r="C71" s="2" t="s">
        <v>35</v>
      </c>
      <c r="D71" s="2" t="s">
        <v>30</v>
      </c>
    </row>
    <row r="72" spans="1:4" ht="33">
      <c r="A72" s="2" t="s">
        <v>439</v>
      </c>
      <c r="B72" s="2" t="s">
        <v>440</v>
      </c>
      <c r="C72" s="2" t="s">
        <v>35</v>
      </c>
      <c r="D72" s="2" t="s">
        <v>34</v>
      </c>
    </row>
    <row r="73" spans="1:4" ht="33">
      <c r="A73" s="2" t="s">
        <v>461</v>
      </c>
      <c r="B73" s="2" t="s">
        <v>462</v>
      </c>
      <c r="C73" s="2" t="s">
        <v>35</v>
      </c>
      <c r="D73" s="2" t="s">
        <v>34</v>
      </c>
    </row>
    <row r="74" spans="1:4" ht="49.5">
      <c r="A74" s="2" t="s">
        <v>503</v>
      </c>
      <c r="B74" s="2" t="s">
        <v>504</v>
      </c>
      <c r="C74" s="2" t="s">
        <v>35</v>
      </c>
      <c r="D74" s="2" t="s">
        <v>34</v>
      </c>
    </row>
    <row r="75" spans="1:4" ht="49.5">
      <c r="A75" s="2" t="s">
        <v>511</v>
      </c>
      <c r="B75" s="2" t="s">
        <v>512</v>
      </c>
      <c r="C75" s="2" t="s">
        <v>35</v>
      </c>
      <c r="D75" s="2" t="s">
        <v>30</v>
      </c>
    </row>
    <row r="76" spans="1:4" ht="49.5">
      <c r="A76" s="2" t="s">
        <v>515</v>
      </c>
      <c r="B76" s="2" t="s">
        <v>516</v>
      </c>
      <c r="C76" s="2" t="s">
        <v>35</v>
      </c>
      <c r="D76" s="2" t="s">
        <v>34</v>
      </c>
    </row>
    <row r="77" spans="1:4" ht="33">
      <c r="A77" s="2" t="s">
        <v>519</v>
      </c>
      <c r="B77" s="2" t="s">
        <v>520</v>
      </c>
      <c r="C77" s="2" t="s">
        <v>35</v>
      </c>
      <c r="D77" s="2" t="s">
        <v>36</v>
      </c>
    </row>
    <row r="78" spans="1:4" ht="33">
      <c r="A78" s="2" t="s">
        <v>561</v>
      </c>
      <c r="B78" s="2" t="s">
        <v>562</v>
      </c>
      <c r="C78" s="2" t="s">
        <v>35</v>
      </c>
      <c r="D78" s="2" t="s">
        <v>30</v>
      </c>
    </row>
    <row r="79" spans="1:4" ht="49.5">
      <c r="A79" s="2" t="s">
        <v>573</v>
      </c>
      <c r="B79" s="2" t="s">
        <v>574</v>
      </c>
      <c r="C79" s="2" t="s">
        <v>35</v>
      </c>
      <c r="D79" s="2" t="s">
        <v>34</v>
      </c>
    </row>
    <row r="80" spans="1:4" ht="49.5">
      <c r="A80" s="2" t="s">
        <v>609</v>
      </c>
      <c r="B80" s="2" t="s">
        <v>610</v>
      </c>
      <c r="C80" s="2" t="s">
        <v>35</v>
      </c>
      <c r="D80" s="2" t="s">
        <v>30</v>
      </c>
    </row>
    <row r="81" spans="1:4" ht="49.5">
      <c r="A81" s="2" t="s">
        <v>613</v>
      </c>
      <c r="B81" s="2" t="s">
        <v>614</v>
      </c>
      <c r="C81" s="2" t="s">
        <v>35</v>
      </c>
      <c r="D81" s="2" t="s">
        <v>36</v>
      </c>
    </row>
    <row r="82" spans="1:4" ht="66">
      <c r="A82" s="2" t="s">
        <v>687</v>
      </c>
      <c r="B82" s="2" t="s">
        <v>688</v>
      </c>
      <c r="C82" s="2" t="s">
        <v>35</v>
      </c>
      <c r="D82" s="2" t="s">
        <v>30</v>
      </c>
    </row>
    <row r="83" spans="1:4" ht="66">
      <c r="A83" s="2" t="s">
        <v>689</v>
      </c>
      <c r="B83" s="2" t="s">
        <v>690</v>
      </c>
      <c r="C83" s="2" t="s">
        <v>35</v>
      </c>
      <c r="D83" s="2" t="s">
        <v>34</v>
      </c>
    </row>
    <row r="84" spans="1:4" ht="33">
      <c r="A84" s="2" t="s">
        <v>691</v>
      </c>
      <c r="B84" s="2" t="s">
        <v>692</v>
      </c>
      <c r="C84" s="2" t="s">
        <v>35</v>
      </c>
      <c r="D84" s="2" t="s">
        <v>31</v>
      </c>
    </row>
    <row r="85" spans="1:4" ht="66">
      <c r="A85" s="2" t="s">
        <v>693</v>
      </c>
      <c r="B85" s="2" t="s">
        <v>694</v>
      </c>
      <c r="C85" s="2" t="s">
        <v>35</v>
      </c>
      <c r="D85" s="2" t="s">
        <v>34</v>
      </c>
    </row>
    <row r="86" spans="1:4" ht="49.5">
      <c r="A86" s="2" t="s">
        <v>707</v>
      </c>
      <c r="B86" s="2" t="s">
        <v>708</v>
      </c>
      <c r="C86" s="2" t="s">
        <v>35</v>
      </c>
      <c r="D86" s="2" t="s">
        <v>30</v>
      </c>
    </row>
    <row r="87" spans="1:4" ht="66">
      <c r="A87" s="2" t="s">
        <v>711</v>
      </c>
      <c r="B87" s="2" t="s">
        <v>712</v>
      </c>
      <c r="C87" s="2" t="s">
        <v>35</v>
      </c>
      <c r="D87" s="2" t="s">
        <v>30</v>
      </c>
    </row>
    <row r="88" spans="1:4" ht="33">
      <c r="A88" s="2" t="s">
        <v>713</v>
      </c>
      <c r="B88" s="2" t="s">
        <v>714</v>
      </c>
      <c r="C88" s="2" t="s">
        <v>35</v>
      </c>
      <c r="D88" s="2" t="s">
        <v>30</v>
      </c>
    </row>
    <row r="89" spans="1:4" ht="33">
      <c r="A89" s="2" t="s">
        <v>715</v>
      </c>
      <c r="B89" s="2" t="s">
        <v>716</v>
      </c>
      <c r="C89" s="2" t="s">
        <v>35</v>
      </c>
      <c r="D89" s="2" t="s">
        <v>30</v>
      </c>
    </row>
    <row r="90" spans="1:4" ht="33">
      <c r="A90" s="2" t="s">
        <v>717</v>
      </c>
      <c r="B90" s="2" t="s">
        <v>718</v>
      </c>
      <c r="C90" s="2" t="s">
        <v>35</v>
      </c>
      <c r="D90" s="2" t="s">
        <v>30</v>
      </c>
    </row>
    <row r="91" spans="1:4" ht="49.5">
      <c r="A91" s="2" t="s">
        <v>719</v>
      </c>
      <c r="B91" s="2" t="s">
        <v>720</v>
      </c>
      <c r="C91" s="2" t="s">
        <v>35</v>
      </c>
      <c r="D91" s="2" t="s">
        <v>30</v>
      </c>
    </row>
    <row r="92" spans="1:4" ht="49.5">
      <c r="A92" s="2" t="s">
        <v>721</v>
      </c>
      <c r="B92" s="2" t="s">
        <v>722</v>
      </c>
      <c r="C92" s="2" t="s">
        <v>35</v>
      </c>
      <c r="D92" s="2" t="s">
        <v>30</v>
      </c>
    </row>
    <row r="93" spans="1:4" ht="49.5">
      <c r="A93" s="2" t="s">
        <v>723</v>
      </c>
      <c r="B93" s="2" t="s">
        <v>724</v>
      </c>
      <c r="C93" s="2" t="s">
        <v>35</v>
      </c>
      <c r="D93" s="2" t="s">
        <v>30</v>
      </c>
    </row>
    <row r="94" spans="1:4" ht="66">
      <c r="A94" s="2" t="s">
        <v>731</v>
      </c>
      <c r="B94" s="2" t="s">
        <v>732</v>
      </c>
      <c r="C94" s="2" t="s">
        <v>35</v>
      </c>
      <c r="D94" s="2" t="s">
        <v>30</v>
      </c>
    </row>
    <row r="95" spans="1:4" ht="49.5">
      <c r="A95" s="2" t="s">
        <v>755</v>
      </c>
      <c r="B95" s="2" t="s">
        <v>756</v>
      </c>
      <c r="C95" s="2" t="s">
        <v>35</v>
      </c>
      <c r="D95" s="2" t="s">
        <v>30</v>
      </c>
    </row>
    <row r="96" spans="1:4" ht="33">
      <c r="A96" s="2" t="s">
        <v>969</v>
      </c>
      <c r="B96" s="2" t="s">
        <v>970</v>
      </c>
      <c r="C96" s="2" t="s">
        <v>35</v>
      </c>
      <c r="D96" s="2" t="s">
        <v>30</v>
      </c>
    </row>
    <row r="97" spans="1:4" ht="49.5">
      <c r="A97" s="2" t="s">
        <v>979</v>
      </c>
      <c r="B97" s="2" t="s">
        <v>980</v>
      </c>
      <c r="C97" s="2" t="s">
        <v>35</v>
      </c>
      <c r="D97" s="2" t="s">
        <v>34</v>
      </c>
    </row>
    <row r="98" spans="1:4" ht="49.5">
      <c r="A98" s="2" t="s">
        <v>1331</v>
      </c>
      <c r="B98" s="2" t="s">
        <v>1332</v>
      </c>
      <c r="C98" s="2" t="s">
        <v>35</v>
      </c>
      <c r="D98" s="2" t="s">
        <v>34</v>
      </c>
    </row>
    <row r="99" spans="1:4" ht="49.5">
      <c r="A99" s="2" t="s">
        <v>1349</v>
      </c>
      <c r="B99" s="2" t="s">
        <v>1350</v>
      </c>
      <c r="C99" s="2" t="s">
        <v>35</v>
      </c>
      <c r="D99" s="2" t="s">
        <v>30</v>
      </c>
    </row>
    <row r="100" spans="1:4" ht="49.5">
      <c r="A100" s="2" t="s">
        <v>1605</v>
      </c>
      <c r="B100" s="2" t="s">
        <v>1606</v>
      </c>
      <c r="C100" s="2" t="s">
        <v>35</v>
      </c>
      <c r="D100" s="2" t="s">
        <v>30</v>
      </c>
    </row>
    <row r="101" spans="1:4" ht="33">
      <c r="A101" s="2" t="s">
        <v>219</v>
      </c>
      <c r="B101" s="2" t="s">
        <v>220</v>
      </c>
      <c r="C101" s="2" t="s">
        <v>221</v>
      </c>
      <c r="D101" s="2" t="s">
        <v>30</v>
      </c>
    </row>
    <row r="102" spans="1:4" ht="33">
      <c r="A102" s="2" t="s">
        <v>224</v>
      </c>
      <c r="B102" s="2" t="s">
        <v>225</v>
      </c>
      <c r="C102" s="2" t="s">
        <v>221</v>
      </c>
      <c r="D102" s="2" t="s">
        <v>30</v>
      </c>
    </row>
    <row r="103" spans="1:4" ht="33">
      <c r="A103" s="2" t="s">
        <v>228</v>
      </c>
      <c r="B103" s="2" t="s">
        <v>229</v>
      </c>
      <c r="C103" s="2" t="s">
        <v>221</v>
      </c>
      <c r="D103" s="2" t="s">
        <v>34</v>
      </c>
    </row>
    <row r="104" spans="1:4" ht="33">
      <c r="A104" s="2" t="s">
        <v>244</v>
      </c>
      <c r="B104" s="2" t="s">
        <v>245</v>
      </c>
      <c r="C104" s="2" t="s">
        <v>221</v>
      </c>
      <c r="D104" s="2" t="s">
        <v>36</v>
      </c>
    </row>
    <row r="105" spans="1:4" ht="33">
      <c r="A105" s="2" t="s">
        <v>248</v>
      </c>
      <c r="B105" s="2" t="s">
        <v>249</v>
      </c>
      <c r="C105" s="2" t="s">
        <v>221</v>
      </c>
      <c r="D105" s="2" t="s">
        <v>30</v>
      </c>
    </row>
    <row r="106" spans="1:4" ht="33">
      <c r="A106" s="2" t="s">
        <v>250</v>
      </c>
      <c r="B106" s="2" t="s">
        <v>251</v>
      </c>
      <c r="C106" s="2" t="s">
        <v>221</v>
      </c>
      <c r="D106" s="2" t="s">
        <v>30</v>
      </c>
    </row>
    <row r="107" spans="1:4" ht="66">
      <c r="A107" s="2" t="s">
        <v>277</v>
      </c>
      <c r="B107" s="2" t="s">
        <v>278</v>
      </c>
      <c r="C107" s="2" t="s">
        <v>221</v>
      </c>
      <c r="D107" s="2" t="s">
        <v>36</v>
      </c>
    </row>
    <row r="108" spans="1:4" ht="49.5">
      <c r="A108" s="2" t="s">
        <v>279</v>
      </c>
      <c r="B108" s="2" t="s">
        <v>280</v>
      </c>
      <c r="C108" s="2" t="s">
        <v>221</v>
      </c>
      <c r="D108" s="2" t="s">
        <v>36</v>
      </c>
    </row>
    <row r="109" spans="1:4" ht="49.5">
      <c r="A109" s="2" t="s">
        <v>281</v>
      </c>
      <c r="B109" s="2" t="s">
        <v>282</v>
      </c>
      <c r="C109" s="2" t="s">
        <v>221</v>
      </c>
      <c r="D109" s="2" t="s">
        <v>36</v>
      </c>
    </row>
    <row r="110" spans="1:4" ht="49.5">
      <c r="A110" s="2" t="s">
        <v>283</v>
      </c>
      <c r="B110" s="2" t="s">
        <v>284</v>
      </c>
      <c r="C110" s="2" t="s">
        <v>221</v>
      </c>
      <c r="D110" s="2" t="s">
        <v>34</v>
      </c>
    </row>
    <row r="111" spans="1:4" ht="49.5">
      <c r="A111" s="2" t="s">
        <v>285</v>
      </c>
      <c r="B111" s="2" t="s">
        <v>286</v>
      </c>
      <c r="C111" s="2" t="s">
        <v>221</v>
      </c>
      <c r="D111" s="2" t="s">
        <v>34</v>
      </c>
    </row>
    <row r="112" spans="1:4" ht="49.5">
      <c r="A112" s="2" t="s">
        <v>297</v>
      </c>
      <c r="B112" s="2" t="s">
        <v>298</v>
      </c>
      <c r="C112" s="2" t="s">
        <v>221</v>
      </c>
      <c r="D112" s="2" t="s">
        <v>31</v>
      </c>
    </row>
    <row r="113" spans="1:4" ht="33">
      <c r="A113" s="2" t="s">
        <v>299</v>
      </c>
      <c r="B113" s="2" t="s">
        <v>300</v>
      </c>
      <c r="C113" s="2" t="s">
        <v>221</v>
      </c>
      <c r="D113" s="2" t="s">
        <v>31</v>
      </c>
    </row>
    <row r="114" spans="1:4" ht="49.5">
      <c r="A114" s="2" t="s">
        <v>305</v>
      </c>
      <c r="B114" s="2" t="s">
        <v>306</v>
      </c>
      <c r="C114" s="2" t="s">
        <v>221</v>
      </c>
      <c r="D114" s="2" t="s">
        <v>31</v>
      </c>
    </row>
    <row r="115" spans="1:4" ht="33">
      <c r="A115" s="2" t="s">
        <v>309</v>
      </c>
      <c r="B115" s="2" t="s">
        <v>310</v>
      </c>
      <c r="C115" s="2" t="s">
        <v>221</v>
      </c>
      <c r="D115" s="2" t="s">
        <v>31</v>
      </c>
    </row>
    <row r="116" spans="1:4" ht="49.5">
      <c r="A116" s="2" t="s">
        <v>315</v>
      </c>
      <c r="B116" s="2" t="s">
        <v>316</v>
      </c>
      <c r="C116" s="2" t="s">
        <v>221</v>
      </c>
      <c r="D116" s="2" t="s">
        <v>31</v>
      </c>
    </row>
    <row r="117" spans="1:4" ht="33">
      <c r="A117" s="2" t="s">
        <v>319</v>
      </c>
      <c r="B117" s="2" t="s">
        <v>320</v>
      </c>
      <c r="C117" s="2" t="s">
        <v>221</v>
      </c>
      <c r="D117" s="2" t="s">
        <v>31</v>
      </c>
    </row>
    <row r="118" spans="1:4" ht="49.5">
      <c r="A118" s="2" t="s">
        <v>327</v>
      </c>
      <c r="B118" s="2" t="s">
        <v>328</v>
      </c>
      <c r="C118" s="2" t="s">
        <v>221</v>
      </c>
      <c r="D118" s="2" t="s">
        <v>31</v>
      </c>
    </row>
    <row r="119" spans="1:4" ht="33">
      <c r="A119" s="2" t="s">
        <v>335</v>
      </c>
      <c r="B119" s="2" t="s">
        <v>336</v>
      </c>
      <c r="C119" s="2" t="s">
        <v>221</v>
      </c>
      <c r="D119" s="2" t="s">
        <v>31</v>
      </c>
    </row>
    <row r="120" spans="1:4" ht="49.5">
      <c r="A120" s="2" t="s">
        <v>341</v>
      </c>
      <c r="B120" s="2" t="s">
        <v>342</v>
      </c>
      <c r="C120" s="2" t="s">
        <v>221</v>
      </c>
      <c r="D120" s="2" t="s">
        <v>31</v>
      </c>
    </row>
    <row r="121" spans="1:4" ht="49.5">
      <c r="A121" s="2" t="s">
        <v>343</v>
      </c>
      <c r="B121" s="2" t="s">
        <v>344</v>
      </c>
      <c r="C121" s="2" t="s">
        <v>221</v>
      </c>
      <c r="D121" s="2" t="s">
        <v>31</v>
      </c>
    </row>
    <row r="122" spans="1:4" ht="49.5">
      <c r="A122" s="2" t="s">
        <v>347</v>
      </c>
      <c r="B122" s="2" t="s">
        <v>348</v>
      </c>
      <c r="C122" s="2" t="s">
        <v>221</v>
      </c>
      <c r="D122" s="2" t="s">
        <v>31</v>
      </c>
    </row>
    <row r="123" spans="1:4" ht="49.5">
      <c r="A123" s="2" t="s">
        <v>349</v>
      </c>
      <c r="B123" s="2" t="s">
        <v>350</v>
      </c>
      <c r="C123" s="2" t="s">
        <v>221</v>
      </c>
      <c r="D123" s="2" t="s">
        <v>31</v>
      </c>
    </row>
    <row r="124" spans="1:4" ht="49.5">
      <c r="A124" s="2" t="s">
        <v>351</v>
      </c>
      <c r="B124" s="2" t="s">
        <v>352</v>
      </c>
      <c r="C124" s="2" t="s">
        <v>221</v>
      </c>
      <c r="D124" s="2" t="s">
        <v>34</v>
      </c>
    </row>
    <row r="125" spans="1:4" ht="49.5">
      <c r="A125" s="2" t="s">
        <v>353</v>
      </c>
      <c r="B125" s="2" t="s">
        <v>354</v>
      </c>
      <c r="C125" s="2" t="s">
        <v>221</v>
      </c>
      <c r="D125" s="2" t="s">
        <v>31</v>
      </c>
    </row>
    <row r="126" spans="1:4" ht="33">
      <c r="A126" s="2" t="s">
        <v>357</v>
      </c>
      <c r="B126" s="2" t="s">
        <v>358</v>
      </c>
      <c r="C126" s="2" t="s">
        <v>221</v>
      </c>
      <c r="D126" s="2" t="s">
        <v>30</v>
      </c>
    </row>
    <row r="127" spans="1:4" ht="49.5">
      <c r="A127" s="2" t="s">
        <v>359</v>
      </c>
      <c r="B127" s="2" t="s">
        <v>360</v>
      </c>
      <c r="C127" s="2" t="s">
        <v>221</v>
      </c>
      <c r="D127" s="2" t="s">
        <v>31</v>
      </c>
    </row>
    <row r="128" spans="1:4" ht="49.5">
      <c r="A128" s="2" t="s">
        <v>361</v>
      </c>
      <c r="B128" s="2" t="s">
        <v>362</v>
      </c>
      <c r="C128" s="2" t="s">
        <v>221</v>
      </c>
      <c r="D128" s="2" t="s">
        <v>31</v>
      </c>
    </row>
    <row r="129" spans="1:4" ht="49.5">
      <c r="A129" s="2" t="s">
        <v>363</v>
      </c>
      <c r="B129" s="2" t="s">
        <v>364</v>
      </c>
      <c r="C129" s="2" t="s">
        <v>221</v>
      </c>
      <c r="D129" s="2" t="s">
        <v>31</v>
      </c>
    </row>
    <row r="130" spans="1:4" ht="49.5">
      <c r="A130" s="2" t="s">
        <v>365</v>
      </c>
      <c r="B130" s="2" t="s">
        <v>366</v>
      </c>
      <c r="C130" s="2" t="s">
        <v>221</v>
      </c>
      <c r="D130" s="2" t="s">
        <v>31</v>
      </c>
    </row>
    <row r="131" spans="1:4" ht="49.5">
      <c r="A131" s="2" t="s">
        <v>367</v>
      </c>
      <c r="B131" s="2" t="s">
        <v>368</v>
      </c>
      <c r="C131" s="2" t="s">
        <v>221</v>
      </c>
      <c r="D131" s="2" t="s">
        <v>31</v>
      </c>
    </row>
    <row r="132" spans="1:4" ht="49.5">
      <c r="A132" s="2" t="s">
        <v>369</v>
      </c>
      <c r="B132" s="2" t="s">
        <v>370</v>
      </c>
      <c r="C132" s="2" t="s">
        <v>221</v>
      </c>
      <c r="D132" s="2" t="s">
        <v>31</v>
      </c>
    </row>
    <row r="133" spans="1:4" ht="49.5">
      <c r="A133" s="2" t="s">
        <v>371</v>
      </c>
      <c r="B133" s="2" t="s">
        <v>372</v>
      </c>
      <c r="C133" s="2" t="s">
        <v>221</v>
      </c>
      <c r="D133" s="2" t="s">
        <v>31</v>
      </c>
    </row>
    <row r="134" spans="1:4" ht="49.5">
      <c r="A134" s="2" t="s">
        <v>373</v>
      </c>
      <c r="B134" s="2" t="s">
        <v>374</v>
      </c>
      <c r="C134" s="2" t="s">
        <v>221</v>
      </c>
      <c r="D134" s="2" t="s">
        <v>34</v>
      </c>
    </row>
    <row r="135" spans="1:4" ht="33">
      <c r="A135" s="2" t="s">
        <v>375</v>
      </c>
      <c r="B135" s="2" t="s">
        <v>376</v>
      </c>
      <c r="C135" s="2" t="s">
        <v>221</v>
      </c>
      <c r="D135" s="2" t="s">
        <v>34</v>
      </c>
    </row>
    <row r="136" spans="1:4" ht="49.5">
      <c r="A136" s="2" t="s">
        <v>381</v>
      </c>
      <c r="B136" s="2" t="s">
        <v>382</v>
      </c>
      <c r="C136" s="2" t="s">
        <v>221</v>
      </c>
      <c r="D136" s="2" t="s">
        <v>31</v>
      </c>
    </row>
    <row r="137" spans="1:4" ht="49.5">
      <c r="A137" s="2" t="s">
        <v>385</v>
      </c>
      <c r="B137" s="2" t="s">
        <v>386</v>
      </c>
      <c r="C137" s="2" t="s">
        <v>221</v>
      </c>
      <c r="D137" s="2" t="s">
        <v>30</v>
      </c>
    </row>
    <row r="138" spans="1:4" ht="49.5">
      <c r="A138" s="2" t="s">
        <v>387</v>
      </c>
      <c r="B138" s="2" t="s">
        <v>388</v>
      </c>
      <c r="C138" s="2" t="s">
        <v>221</v>
      </c>
      <c r="D138" s="2" t="s">
        <v>31</v>
      </c>
    </row>
    <row r="139" spans="1:4" ht="49.5">
      <c r="A139" s="2" t="s">
        <v>389</v>
      </c>
      <c r="B139" s="2" t="s">
        <v>390</v>
      </c>
      <c r="C139" s="2" t="s">
        <v>221</v>
      </c>
      <c r="D139" s="2" t="s">
        <v>31</v>
      </c>
    </row>
    <row r="140" spans="1:4" ht="33">
      <c r="A140" s="2" t="s">
        <v>393</v>
      </c>
      <c r="B140" s="2" t="s">
        <v>394</v>
      </c>
      <c r="C140" s="2" t="s">
        <v>221</v>
      </c>
      <c r="D140" s="2" t="s">
        <v>31</v>
      </c>
    </row>
    <row r="141" spans="1:4" ht="33">
      <c r="A141" s="2" t="s">
        <v>395</v>
      </c>
      <c r="B141" s="2" t="s">
        <v>396</v>
      </c>
      <c r="C141" s="2" t="s">
        <v>221</v>
      </c>
      <c r="D141" s="2" t="s">
        <v>31</v>
      </c>
    </row>
    <row r="142" spans="1:4" ht="33">
      <c r="A142" s="2" t="s">
        <v>401</v>
      </c>
      <c r="B142" s="2" t="s">
        <v>402</v>
      </c>
      <c r="C142" s="2" t="s">
        <v>221</v>
      </c>
      <c r="D142" s="2" t="s">
        <v>34</v>
      </c>
    </row>
    <row r="143" spans="1:4" ht="33">
      <c r="A143" s="2" t="s">
        <v>403</v>
      </c>
      <c r="B143" s="2" t="s">
        <v>404</v>
      </c>
      <c r="C143" s="2" t="s">
        <v>221</v>
      </c>
      <c r="D143" s="2" t="s">
        <v>30</v>
      </c>
    </row>
    <row r="144" spans="1:4" ht="49.5">
      <c r="A144" s="2" t="s">
        <v>407</v>
      </c>
      <c r="B144" s="2" t="s">
        <v>408</v>
      </c>
      <c r="C144" s="2" t="s">
        <v>221</v>
      </c>
      <c r="D144" s="2" t="s">
        <v>31</v>
      </c>
    </row>
    <row r="145" spans="1:4" ht="33">
      <c r="A145" s="2" t="s">
        <v>411</v>
      </c>
      <c r="B145" s="2" t="s">
        <v>412</v>
      </c>
      <c r="C145" s="2" t="s">
        <v>221</v>
      </c>
      <c r="D145" s="2" t="s">
        <v>31</v>
      </c>
    </row>
    <row r="146" spans="1:4" ht="49.5">
      <c r="A146" s="2" t="s">
        <v>417</v>
      </c>
      <c r="B146" s="2" t="s">
        <v>418</v>
      </c>
      <c r="C146" s="2" t="s">
        <v>221</v>
      </c>
      <c r="D146" s="2" t="s">
        <v>31</v>
      </c>
    </row>
    <row r="147" spans="1:4" ht="49.5">
      <c r="A147" s="2" t="s">
        <v>419</v>
      </c>
      <c r="B147" s="2" t="s">
        <v>420</v>
      </c>
      <c r="C147" s="2" t="s">
        <v>221</v>
      </c>
      <c r="D147" s="2" t="s">
        <v>31</v>
      </c>
    </row>
    <row r="148" spans="1:4" ht="49.5">
      <c r="A148" s="2" t="s">
        <v>423</v>
      </c>
      <c r="B148" s="2" t="s">
        <v>424</v>
      </c>
      <c r="C148" s="2" t="s">
        <v>221</v>
      </c>
      <c r="D148" s="2" t="s">
        <v>31</v>
      </c>
    </row>
    <row r="149" spans="1:4" ht="49.5">
      <c r="A149" s="2" t="s">
        <v>425</v>
      </c>
      <c r="B149" s="2" t="s">
        <v>426</v>
      </c>
      <c r="C149" s="2" t="s">
        <v>221</v>
      </c>
      <c r="D149" s="2" t="s">
        <v>31</v>
      </c>
    </row>
    <row r="150" spans="1:4" ht="49.5">
      <c r="A150" s="2" t="s">
        <v>431</v>
      </c>
      <c r="B150" s="2" t="s">
        <v>432</v>
      </c>
      <c r="C150" s="2" t="s">
        <v>221</v>
      </c>
      <c r="D150" s="2" t="s">
        <v>31</v>
      </c>
    </row>
    <row r="151" spans="1:4" ht="49.5">
      <c r="A151" s="2" t="s">
        <v>433</v>
      </c>
      <c r="B151" s="2" t="s">
        <v>434</v>
      </c>
      <c r="C151" s="2" t="s">
        <v>221</v>
      </c>
      <c r="D151" s="2" t="s">
        <v>34</v>
      </c>
    </row>
    <row r="152" spans="1:4" ht="49.5">
      <c r="A152" s="2" t="s">
        <v>435</v>
      </c>
      <c r="B152" s="2" t="s">
        <v>436</v>
      </c>
      <c r="C152" s="2" t="s">
        <v>221</v>
      </c>
      <c r="D152" s="2" t="s">
        <v>31</v>
      </c>
    </row>
    <row r="153" spans="1:4" ht="49.5">
      <c r="A153" s="2" t="s">
        <v>437</v>
      </c>
      <c r="B153" s="2" t="s">
        <v>438</v>
      </c>
      <c r="C153" s="2" t="s">
        <v>221</v>
      </c>
      <c r="D153" s="2" t="s">
        <v>31</v>
      </c>
    </row>
    <row r="154" spans="1:4" ht="49.5">
      <c r="A154" s="2" t="s">
        <v>441</v>
      </c>
      <c r="B154" s="2" t="s">
        <v>442</v>
      </c>
      <c r="C154" s="2" t="s">
        <v>221</v>
      </c>
      <c r="D154" s="2" t="s">
        <v>31</v>
      </c>
    </row>
    <row r="155" spans="1:4" ht="49.5">
      <c r="A155" s="2" t="s">
        <v>445</v>
      </c>
      <c r="B155" s="2" t="s">
        <v>446</v>
      </c>
      <c r="C155" s="2" t="s">
        <v>221</v>
      </c>
      <c r="D155" s="2" t="s">
        <v>34</v>
      </c>
    </row>
    <row r="156" spans="1:4" ht="49.5">
      <c r="A156" s="2" t="s">
        <v>449</v>
      </c>
      <c r="B156" s="2" t="s">
        <v>450</v>
      </c>
      <c r="C156" s="2" t="s">
        <v>221</v>
      </c>
      <c r="D156" s="2" t="s">
        <v>31</v>
      </c>
    </row>
    <row r="157" spans="1:4" ht="49.5">
      <c r="A157" s="2" t="s">
        <v>453</v>
      </c>
      <c r="B157" s="2" t="s">
        <v>454</v>
      </c>
      <c r="C157" s="2" t="s">
        <v>221</v>
      </c>
      <c r="D157" s="2" t="s">
        <v>31</v>
      </c>
    </row>
    <row r="158" spans="1:4" ht="49.5">
      <c r="A158" s="2" t="s">
        <v>455</v>
      </c>
      <c r="B158" s="2" t="s">
        <v>456</v>
      </c>
      <c r="C158" s="2" t="s">
        <v>221</v>
      </c>
      <c r="D158" s="2" t="s">
        <v>31</v>
      </c>
    </row>
    <row r="159" spans="1:4" ht="49.5">
      <c r="A159" s="2" t="s">
        <v>457</v>
      </c>
      <c r="B159" s="2" t="s">
        <v>458</v>
      </c>
      <c r="C159" s="2" t="s">
        <v>221</v>
      </c>
      <c r="D159" s="2" t="s">
        <v>31</v>
      </c>
    </row>
    <row r="160" spans="1:4" ht="49.5">
      <c r="A160" s="2" t="s">
        <v>465</v>
      </c>
      <c r="B160" s="2" t="s">
        <v>466</v>
      </c>
      <c r="C160" s="2" t="s">
        <v>221</v>
      </c>
      <c r="D160" s="2" t="s">
        <v>31</v>
      </c>
    </row>
    <row r="161" spans="1:4" ht="49.5">
      <c r="A161" s="2" t="s">
        <v>467</v>
      </c>
      <c r="B161" s="2" t="s">
        <v>468</v>
      </c>
      <c r="C161" s="2" t="s">
        <v>221</v>
      </c>
      <c r="D161" s="2" t="s">
        <v>31</v>
      </c>
    </row>
    <row r="162" spans="1:4" ht="49.5">
      <c r="A162" s="2" t="s">
        <v>469</v>
      </c>
      <c r="B162" s="2" t="s">
        <v>470</v>
      </c>
      <c r="C162" s="2" t="s">
        <v>221</v>
      </c>
      <c r="D162" s="2" t="s">
        <v>31</v>
      </c>
    </row>
    <row r="163" spans="1:4" ht="49.5">
      <c r="A163" s="2" t="s">
        <v>471</v>
      </c>
      <c r="B163" s="2" t="s">
        <v>472</v>
      </c>
      <c r="C163" s="2" t="s">
        <v>221</v>
      </c>
      <c r="D163" s="2" t="s">
        <v>31</v>
      </c>
    </row>
    <row r="164" spans="1:4" ht="49.5">
      <c r="A164" s="2" t="s">
        <v>473</v>
      </c>
      <c r="B164" s="2" t="s">
        <v>474</v>
      </c>
      <c r="C164" s="2" t="s">
        <v>221</v>
      </c>
      <c r="D164" s="2" t="s">
        <v>31</v>
      </c>
    </row>
    <row r="165" spans="1:4" ht="49.5">
      <c r="A165" s="2" t="s">
        <v>477</v>
      </c>
      <c r="B165" s="2" t="s">
        <v>478</v>
      </c>
      <c r="C165" s="2" t="s">
        <v>221</v>
      </c>
      <c r="D165" s="2" t="s">
        <v>31</v>
      </c>
    </row>
    <row r="166" spans="1:4" ht="49.5">
      <c r="A166" s="2" t="s">
        <v>479</v>
      </c>
      <c r="B166" s="2" t="s">
        <v>480</v>
      </c>
      <c r="C166" s="2" t="s">
        <v>221</v>
      </c>
      <c r="D166" s="2" t="s">
        <v>31</v>
      </c>
    </row>
    <row r="167" spans="1:4" ht="49.5">
      <c r="A167" s="2" t="s">
        <v>481</v>
      </c>
      <c r="B167" s="2" t="s">
        <v>482</v>
      </c>
      <c r="C167" s="2" t="s">
        <v>221</v>
      </c>
      <c r="D167" s="2" t="s">
        <v>34</v>
      </c>
    </row>
    <row r="168" spans="1:4" ht="33">
      <c r="A168" s="2" t="s">
        <v>483</v>
      </c>
      <c r="B168" s="2" t="s">
        <v>484</v>
      </c>
      <c r="C168" s="2" t="s">
        <v>221</v>
      </c>
      <c r="D168" s="2" t="s">
        <v>30</v>
      </c>
    </row>
    <row r="169" spans="1:4" ht="49.5">
      <c r="A169" s="2" t="s">
        <v>485</v>
      </c>
      <c r="B169" s="2" t="s">
        <v>486</v>
      </c>
      <c r="C169" s="2" t="s">
        <v>221</v>
      </c>
      <c r="D169" s="2" t="s">
        <v>31</v>
      </c>
    </row>
    <row r="170" spans="1:4" ht="49.5">
      <c r="A170" s="2" t="s">
        <v>487</v>
      </c>
      <c r="B170" s="2" t="s">
        <v>488</v>
      </c>
      <c r="C170" s="2" t="s">
        <v>221</v>
      </c>
      <c r="D170" s="2" t="s">
        <v>31</v>
      </c>
    </row>
    <row r="171" spans="1:4" ht="49.5">
      <c r="A171" s="2" t="s">
        <v>489</v>
      </c>
      <c r="B171" s="2" t="s">
        <v>490</v>
      </c>
      <c r="C171" s="2" t="s">
        <v>221</v>
      </c>
      <c r="D171" s="2" t="s">
        <v>31</v>
      </c>
    </row>
    <row r="172" spans="1:4" ht="49.5">
      <c r="A172" s="2" t="s">
        <v>491</v>
      </c>
      <c r="B172" s="2" t="s">
        <v>492</v>
      </c>
      <c r="C172" s="2" t="s">
        <v>221</v>
      </c>
      <c r="D172" s="2" t="s">
        <v>31</v>
      </c>
    </row>
    <row r="173" spans="1:4" ht="49.5">
      <c r="A173" s="2" t="s">
        <v>493</v>
      </c>
      <c r="B173" s="2" t="s">
        <v>494</v>
      </c>
      <c r="C173" s="2" t="s">
        <v>221</v>
      </c>
      <c r="D173" s="2" t="s">
        <v>34</v>
      </c>
    </row>
    <row r="174" spans="1:4" ht="49.5">
      <c r="A174" s="2" t="s">
        <v>495</v>
      </c>
      <c r="B174" s="2" t="s">
        <v>496</v>
      </c>
      <c r="C174" s="2" t="s">
        <v>221</v>
      </c>
      <c r="D174" s="2" t="s">
        <v>31</v>
      </c>
    </row>
    <row r="175" spans="1:4" ht="49.5">
      <c r="A175" s="2" t="s">
        <v>497</v>
      </c>
      <c r="B175" s="2" t="s">
        <v>498</v>
      </c>
      <c r="C175" s="2" t="s">
        <v>221</v>
      </c>
      <c r="D175" s="2" t="s">
        <v>31</v>
      </c>
    </row>
    <row r="176" spans="1:4" ht="49.5">
      <c r="A176" s="2" t="s">
        <v>499</v>
      </c>
      <c r="B176" s="2" t="s">
        <v>500</v>
      </c>
      <c r="C176" s="2" t="s">
        <v>221</v>
      </c>
      <c r="D176" s="2" t="s">
        <v>31</v>
      </c>
    </row>
    <row r="177" spans="1:4" ht="33">
      <c r="A177" s="2" t="s">
        <v>501</v>
      </c>
      <c r="B177" s="2" t="s">
        <v>502</v>
      </c>
      <c r="C177" s="2" t="s">
        <v>221</v>
      </c>
      <c r="D177" s="2" t="s">
        <v>34</v>
      </c>
    </row>
    <row r="178" spans="1:4" ht="49.5">
      <c r="A178" s="2" t="s">
        <v>505</v>
      </c>
      <c r="B178" s="2" t="s">
        <v>506</v>
      </c>
      <c r="C178" s="2" t="s">
        <v>221</v>
      </c>
      <c r="D178" s="2" t="s">
        <v>34</v>
      </c>
    </row>
    <row r="179" spans="1:4" ht="49.5">
      <c r="A179" s="2" t="s">
        <v>507</v>
      </c>
      <c r="B179" s="2" t="s">
        <v>508</v>
      </c>
      <c r="C179" s="2" t="s">
        <v>221</v>
      </c>
      <c r="D179" s="2" t="s">
        <v>31</v>
      </c>
    </row>
    <row r="180" spans="1:4" ht="49.5">
      <c r="A180" s="2" t="s">
        <v>509</v>
      </c>
      <c r="B180" s="2" t="s">
        <v>510</v>
      </c>
      <c r="C180" s="2" t="s">
        <v>221</v>
      </c>
      <c r="D180" s="2" t="s">
        <v>30</v>
      </c>
    </row>
    <row r="181" spans="1:4" ht="49.5">
      <c r="A181" s="2" t="s">
        <v>513</v>
      </c>
      <c r="B181" s="2" t="s">
        <v>514</v>
      </c>
      <c r="C181" s="2" t="s">
        <v>221</v>
      </c>
      <c r="D181" s="2" t="s">
        <v>31</v>
      </c>
    </row>
    <row r="182" spans="1:4" ht="33">
      <c r="A182" s="2" t="s">
        <v>517</v>
      </c>
      <c r="B182" s="2" t="s">
        <v>518</v>
      </c>
      <c r="C182" s="2" t="s">
        <v>221</v>
      </c>
      <c r="D182" s="2" t="s">
        <v>34</v>
      </c>
    </row>
    <row r="183" spans="1:4" ht="49.5">
      <c r="A183" s="2" t="s">
        <v>521</v>
      </c>
      <c r="B183" s="2" t="s">
        <v>522</v>
      </c>
      <c r="C183" s="2" t="s">
        <v>221</v>
      </c>
      <c r="D183" s="2" t="s">
        <v>31</v>
      </c>
    </row>
    <row r="184" spans="1:4" ht="49.5">
      <c r="A184" s="2" t="s">
        <v>529</v>
      </c>
      <c r="B184" s="2" t="s">
        <v>530</v>
      </c>
      <c r="C184" s="2" t="s">
        <v>221</v>
      </c>
      <c r="D184" s="2" t="s">
        <v>31</v>
      </c>
    </row>
    <row r="185" spans="1:4" ht="49.5">
      <c r="A185" s="2" t="s">
        <v>539</v>
      </c>
      <c r="B185" s="2" t="s">
        <v>540</v>
      </c>
      <c r="C185" s="2" t="s">
        <v>221</v>
      </c>
      <c r="D185" s="2" t="s">
        <v>31</v>
      </c>
    </row>
    <row r="186" spans="1:4" ht="49.5">
      <c r="A186" s="2" t="s">
        <v>543</v>
      </c>
      <c r="B186" s="2" t="s">
        <v>544</v>
      </c>
      <c r="C186" s="2" t="s">
        <v>221</v>
      </c>
      <c r="D186" s="2" t="s">
        <v>31</v>
      </c>
    </row>
    <row r="187" spans="1:4" ht="49.5">
      <c r="A187" s="2" t="s">
        <v>545</v>
      </c>
      <c r="B187" s="2" t="s">
        <v>546</v>
      </c>
      <c r="C187" s="2" t="s">
        <v>221</v>
      </c>
      <c r="D187" s="2" t="s">
        <v>31</v>
      </c>
    </row>
    <row r="188" spans="1:4" ht="66">
      <c r="A188" s="2" t="s">
        <v>549</v>
      </c>
      <c r="B188" s="2" t="s">
        <v>550</v>
      </c>
      <c r="C188" s="2" t="s">
        <v>221</v>
      </c>
      <c r="D188" s="2" t="s">
        <v>30</v>
      </c>
    </row>
    <row r="189" spans="1:4" ht="49.5">
      <c r="A189" s="2" t="s">
        <v>557</v>
      </c>
      <c r="B189" s="2" t="s">
        <v>558</v>
      </c>
      <c r="C189" s="2" t="s">
        <v>221</v>
      </c>
      <c r="D189" s="2" t="s">
        <v>30</v>
      </c>
    </row>
    <row r="190" spans="1:4" ht="49.5">
      <c r="A190" s="2" t="s">
        <v>559</v>
      </c>
      <c r="B190" s="2" t="s">
        <v>560</v>
      </c>
      <c r="C190" s="2" t="s">
        <v>221</v>
      </c>
      <c r="D190" s="2" t="s">
        <v>31</v>
      </c>
    </row>
    <row r="191" spans="1:4" ht="49.5">
      <c r="A191" s="2" t="s">
        <v>575</v>
      </c>
      <c r="B191" s="2" t="s">
        <v>576</v>
      </c>
      <c r="C191" s="2" t="s">
        <v>221</v>
      </c>
      <c r="D191" s="2" t="s">
        <v>30</v>
      </c>
    </row>
    <row r="192" spans="1:4" ht="66">
      <c r="A192" s="2" t="s">
        <v>577</v>
      </c>
      <c r="B192" s="2" t="s">
        <v>578</v>
      </c>
      <c r="C192" s="2" t="s">
        <v>221</v>
      </c>
      <c r="D192" s="2" t="s">
        <v>30</v>
      </c>
    </row>
    <row r="193" spans="1:4" ht="49.5">
      <c r="A193" s="2" t="s">
        <v>579</v>
      </c>
      <c r="B193" s="2" t="s">
        <v>580</v>
      </c>
      <c r="C193" s="2" t="s">
        <v>221</v>
      </c>
      <c r="D193" s="2" t="s">
        <v>30</v>
      </c>
    </row>
    <row r="194" spans="1:4" ht="49.5">
      <c r="A194" s="2" t="s">
        <v>581</v>
      </c>
      <c r="B194" s="2" t="s">
        <v>582</v>
      </c>
      <c r="C194" s="2" t="s">
        <v>221</v>
      </c>
      <c r="D194" s="2" t="s">
        <v>31</v>
      </c>
    </row>
    <row r="195" spans="1:4" ht="49.5">
      <c r="A195" s="2" t="s">
        <v>583</v>
      </c>
      <c r="B195" s="2" t="s">
        <v>584</v>
      </c>
      <c r="C195" s="2" t="s">
        <v>221</v>
      </c>
      <c r="D195" s="2" t="s">
        <v>34</v>
      </c>
    </row>
    <row r="196" spans="1:4" ht="49.5">
      <c r="A196" s="2" t="s">
        <v>585</v>
      </c>
      <c r="B196" s="2" t="s">
        <v>586</v>
      </c>
      <c r="C196" s="2" t="s">
        <v>221</v>
      </c>
      <c r="D196" s="2" t="s">
        <v>31</v>
      </c>
    </row>
    <row r="197" spans="1:4" ht="66">
      <c r="A197" s="2" t="s">
        <v>605</v>
      </c>
      <c r="B197" s="2" t="s">
        <v>606</v>
      </c>
      <c r="C197" s="2" t="s">
        <v>221</v>
      </c>
      <c r="D197" s="2" t="s">
        <v>36</v>
      </c>
    </row>
    <row r="198" spans="1:4" ht="49.5">
      <c r="A198" s="2" t="s">
        <v>607</v>
      </c>
      <c r="B198" s="2" t="s">
        <v>608</v>
      </c>
      <c r="C198" s="2" t="s">
        <v>221</v>
      </c>
      <c r="D198" s="2" t="s">
        <v>30</v>
      </c>
    </row>
    <row r="199" spans="1:4" ht="49.5">
      <c r="A199" s="2" t="s">
        <v>611</v>
      </c>
      <c r="B199" s="2" t="s">
        <v>612</v>
      </c>
      <c r="C199" s="2" t="s">
        <v>221</v>
      </c>
      <c r="D199" s="2" t="s">
        <v>30</v>
      </c>
    </row>
    <row r="200" spans="1:4" ht="82.5">
      <c r="A200" s="2" t="s">
        <v>623</v>
      </c>
      <c r="B200" s="2" t="s">
        <v>624</v>
      </c>
      <c r="C200" s="2" t="s">
        <v>221</v>
      </c>
      <c r="D200" s="2" t="s">
        <v>31</v>
      </c>
    </row>
    <row r="201" spans="1:4" ht="82.5">
      <c r="A201" s="2" t="s">
        <v>625</v>
      </c>
      <c r="B201" s="2" t="s">
        <v>626</v>
      </c>
      <c r="C201" s="2" t="s">
        <v>221</v>
      </c>
      <c r="D201" s="2" t="s">
        <v>31</v>
      </c>
    </row>
    <row r="202" spans="1:4" ht="49.5">
      <c r="A202" s="2" t="s">
        <v>681</v>
      </c>
      <c r="B202" s="2" t="s">
        <v>682</v>
      </c>
      <c r="C202" s="2" t="s">
        <v>221</v>
      </c>
      <c r="D202" s="2" t="s">
        <v>34</v>
      </c>
    </row>
    <row r="203" spans="1:4" ht="49.5">
      <c r="A203" s="2" t="s">
        <v>695</v>
      </c>
      <c r="B203" s="2" t="s">
        <v>696</v>
      </c>
      <c r="C203" s="2" t="s">
        <v>221</v>
      </c>
      <c r="D203" s="2" t="s">
        <v>31</v>
      </c>
    </row>
    <row r="204" spans="1:4" ht="49.5">
      <c r="A204" s="2" t="s">
        <v>697</v>
      </c>
      <c r="B204" s="2" t="s">
        <v>698</v>
      </c>
      <c r="C204" s="2" t="s">
        <v>221</v>
      </c>
      <c r="D204" s="2" t="s">
        <v>31</v>
      </c>
    </row>
    <row r="205" spans="1:4" ht="49.5">
      <c r="A205" s="2" t="s">
        <v>699</v>
      </c>
      <c r="B205" s="2" t="s">
        <v>700</v>
      </c>
      <c r="C205" s="2" t="s">
        <v>221</v>
      </c>
      <c r="D205" s="2" t="s">
        <v>31</v>
      </c>
    </row>
    <row r="206" spans="1:4" ht="49.5">
      <c r="A206" s="2" t="s">
        <v>709</v>
      </c>
      <c r="B206" s="2" t="s">
        <v>710</v>
      </c>
      <c r="C206" s="2" t="s">
        <v>221</v>
      </c>
      <c r="D206" s="2" t="s">
        <v>31</v>
      </c>
    </row>
    <row r="207" spans="1:4" ht="66">
      <c r="A207" s="2" t="s">
        <v>725</v>
      </c>
      <c r="B207" s="2" t="s">
        <v>726</v>
      </c>
      <c r="C207" s="2" t="s">
        <v>221</v>
      </c>
      <c r="D207" s="2" t="s">
        <v>30</v>
      </c>
    </row>
    <row r="208" spans="1:4" ht="66">
      <c r="A208" s="2" t="s">
        <v>727</v>
      </c>
      <c r="B208" s="2" t="s">
        <v>728</v>
      </c>
      <c r="C208" s="2" t="s">
        <v>221</v>
      </c>
      <c r="D208" s="2" t="s">
        <v>30</v>
      </c>
    </row>
    <row r="209" spans="1:4" ht="49.5">
      <c r="A209" s="2" t="s">
        <v>729</v>
      </c>
      <c r="B209" s="2" t="s">
        <v>730</v>
      </c>
      <c r="C209" s="2" t="s">
        <v>221</v>
      </c>
      <c r="D209" s="2" t="s">
        <v>30</v>
      </c>
    </row>
    <row r="210" spans="1:4" ht="49.5">
      <c r="A210" s="2" t="s">
        <v>733</v>
      </c>
      <c r="B210" s="2" t="s">
        <v>734</v>
      </c>
      <c r="C210" s="2" t="s">
        <v>221</v>
      </c>
      <c r="D210" s="2" t="s">
        <v>30</v>
      </c>
    </row>
    <row r="211" spans="1:4" ht="49.5">
      <c r="A211" s="2" t="s">
        <v>735</v>
      </c>
      <c r="B211" s="2" t="s">
        <v>736</v>
      </c>
      <c r="C211" s="2" t="s">
        <v>221</v>
      </c>
      <c r="D211" s="2" t="s">
        <v>30</v>
      </c>
    </row>
    <row r="212" spans="1:4" ht="49.5">
      <c r="A212" s="2" t="s">
        <v>737</v>
      </c>
      <c r="B212" s="2" t="s">
        <v>738</v>
      </c>
      <c r="C212" s="2" t="s">
        <v>221</v>
      </c>
      <c r="D212" s="2" t="s">
        <v>30</v>
      </c>
    </row>
    <row r="213" spans="1:4" ht="49.5">
      <c r="A213" s="2" t="s">
        <v>739</v>
      </c>
      <c r="B213" s="2" t="s">
        <v>740</v>
      </c>
      <c r="C213" s="2" t="s">
        <v>221</v>
      </c>
      <c r="D213" s="2" t="s">
        <v>36</v>
      </c>
    </row>
    <row r="214" spans="1:4" ht="49.5">
      <c r="A214" s="2" t="s">
        <v>741</v>
      </c>
      <c r="B214" s="2" t="s">
        <v>742</v>
      </c>
      <c r="C214" s="2" t="s">
        <v>221</v>
      </c>
      <c r="D214" s="2" t="s">
        <v>34</v>
      </c>
    </row>
    <row r="215" spans="1:4" ht="49.5">
      <c r="A215" s="2" t="s">
        <v>743</v>
      </c>
      <c r="B215" s="2" t="s">
        <v>744</v>
      </c>
      <c r="C215" s="2" t="s">
        <v>221</v>
      </c>
      <c r="D215" s="2" t="s">
        <v>30</v>
      </c>
    </row>
    <row r="216" spans="1:4" ht="49.5">
      <c r="A216" s="2" t="s">
        <v>745</v>
      </c>
      <c r="B216" s="2" t="s">
        <v>746</v>
      </c>
      <c r="C216" s="2" t="s">
        <v>221</v>
      </c>
      <c r="D216" s="2" t="s">
        <v>30</v>
      </c>
    </row>
    <row r="217" spans="1:4" ht="49.5">
      <c r="A217" s="2" t="s">
        <v>747</v>
      </c>
      <c r="B217" s="2" t="s">
        <v>748</v>
      </c>
      <c r="C217" s="2" t="s">
        <v>221</v>
      </c>
      <c r="D217" s="2" t="s">
        <v>30</v>
      </c>
    </row>
    <row r="218" spans="1:4" ht="49.5">
      <c r="A218" s="2" t="s">
        <v>749</v>
      </c>
      <c r="B218" s="2" t="s">
        <v>750</v>
      </c>
      <c r="C218" s="2" t="s">
        <v>221</v>
      </c>
      <c r="D218" s="2" t="s">
        <v>30</v>
      </c>
    </row>
    <row r="219" spans="1:4" ht="66">
      <c r="A219" s="2" t="s">
        <v>751</v>
      </c>
      <c r="B219" s="2" t="s">
        <v>752</v>
      </c>
      <c r="C219" s="2" t="s">
        <v>221</v>
      </c>
      <c r="D219" s="2" t="s">
        <v>34</v>
      </c>
    </row>
    <row r="220" spans="1:4" ht="49.5">
      <c r="A220" s="2" t="s">
        <v>753</v>
      </c>
      <c r="B220" s="2" t="s">
        <v>754</v>
      </c>
      <c r="C220" s="2" t="s">
        <v>221</v>
      </c>
      <c r="D220" s="2" t="s">
        <v>30</v>
      </c>
    </row>
    <row r="221" spans="1:4" ht="49.5">
      <c r="A221" s="2" t="s">
        <v>787</v>
      </c>
      <c r="B221" s="2" t="s">
        <v>788</v>
      </c>
      <c r="C221" s="2" t="s">
        <v>221</v>
      </c>
      <c r="D221" s="2" t="s">
        <v>31</v>
      </c>
    </row>
    <row r="222" spans="1:4" ht="49.5">
      <c r="A222" s="2" t="s">
        <v>791</v>
      </c>
      <c r="B222" s="2" t="s">
        <v>792</v>
      </c>
      <c r="C222" s="2" t="s">
        <v>221</v>
      </c>
      <c r="D222" s="2" t="s">
        <v>31</v>
      </c>
    </row>
    <row r="223" spans="1:4" ht="49.5">
      <c r="A223" s="2" t="s">
        <v>793</v>
      </c>
      <c r="B223" s="2" t="s">
        <v>794</v>
      </c>
      <c r="C223" s="2" t="s">
        <v>221</v>
      </c>
      <c r="D223" s="2" t="s">
        <v>31</v>
      </c>
    </row>
    <row r="224" spans="1:4" ht="66">
      <c r="A224" s="2" t="s">
        <v>811</v>
      </c>
      <c r="B224" s="2" t="s">
        <v>812</v>
      </c>
      <c r="C224" s="2" t="s">
        <v>221</v>
      </c>
      <c r="D224" s="2" t="s">
        <v>31</v>
      </c>
    </row>
    <row r="225" spans="1:4" ht="66">
      <c r="A225" s="2" t="s">
        <v>813</v>
      </c>
      <c r="B225" s="2" t="s">
        <v>814</v>
      </c>
      <c r="C225" s="2" t="s">
        <v>221</v>
      </c>
      <c r="D225" s="2" t="s">
        <v>31</v>
      </c>
    </row>
    <row r="226" spans="1:4" ht="66">
      <c r="A226" s="2" t="s">
        <v>815</v>
      </c>
      <c r="B226" s="2" t="s">
        <v>816</v>
      </c>
      <c r="C226" s="2" t="s">
        <v>221</v>
      </c>
      <c r="D226" s="2" t="s">
        <v>31</v>
      </c>
    </row>
    <row r="227" spans="1:4" ht="66">
      <c r="A227" s="2" t="s">
        <v>817</v>
      </c>
      <c r="B227" s="2" t="s">
        <v>818</v>
      </c>
      <c r="C227" s="2" t="s">
        <v>221</v>
      </c>
      <c r="D227" s="2" t="s">
        <v>31</v>
      </c>
    </row>
    <row r="228" spans="1:4" ht="66">
      <c r="A228" s="2" t="s">
        <v>839</v>
      </c>
      <c r="B228" s="2" t="s">
        <v>840</v>
      </c>
      <c r="C228" s="2" t="s">
        <v>221</v>
      </c>
      <c r="D228" s="2" t="s">
        <v>31</v>
      </c>
    </row>
    <row r="229" spans="1:4" ht="66">
      <c r="A229" s="2" t="s">
        <v>841</v>
      </c>
      <c r="B229" s="2" t="s">
        <v>842</v>
      </c>
      <c r="C229" s="2" t="s">
        <v>221</v>
      </c>
      <c r="D229" s="2" t="s">
        <v>31</v>
      </c>
    </row>
    <row r="230" spans="1:4" ht="66">
      <c r="A230" s="2" t="s">
        <v>843</v>
      </c>
      <c r="B230" s="2" t="s">
        <v>844</v>
      </c>
      <c r="C230" s="2" t="s">
        <v>221</v>
      </c>
      <c r="D230" s="2" t="s">
        <v>31</v>
      </c>
    </row>
    <row r="231" spans="1:4" ht="66">
      <c r="A231" s="2" t="s">
        <v>883</v>
      </c>
      <c r="B231" s="2" t="s">
        <v>884</v>
      </c>
      <c r="C231" s="2" t="s">
        <v>221</v>
      </c>
      <c r="D231" s="2" t="s">
        <v>31</v>
      </c>
    </row>
    <row r="232" spans="1:4" ht="66">
      <c r="A232" s="2" t="s">
        <v>919</v>
      </c>
      <c r="B232" s="2" t="s">
        <v>920</v>
      </c>
      <c r="C232" s="2" t="s">
        <v>221</v>
      </c>
      <c r="D232" s="2" t="s">
        <v>31</v>
      </c>
    </row>
    <row r="233" spans="1:4" ht="66">
      <c r="A233" s="2" t="s">
        <v>921</v>
      </c>
      <c r="B233" s="2" t="s">
        <v>922</v>
      </c>
      <c r="C233" s="2" t="s">
        <v>221</v>
      </c>
      <c r="D233" s="2" t="s">
        <v>31</v>
      </c>
    </row>
    <row r="234" spans="1:4" ht="66">
      <c r="A234" s="2" t="s">
        <v>925</v>
      </c>
      <c r="B234" s="2" t="s">
        <v>926</v>
      </c>
      <c r="C234" s="2" t="s">
        <v>221</v>
      </c>
      <c r="D234" s="2" t="s">
        <v>31</v>
      </c>
    </row>
    <row r="235" spans="1:4" ht="66">
      <c r="A235" s="2" t="s">
        <v>927</v>
      </c>
      <c r="B235" s="2" t="s">
        <v>928</v>
      </c>
      <c r="C235" s="2" t="s">
        <v>221</v>
      </c>
      <c r="D235" s="2" t="s">
        <v>31</v>
      </c>
    </row>
    <row r="236" spans="1:4" ht="66">
      <c r="A236" s="2" t="s">
        <v>929</v>
      </c>
      <c r="B236" s="2" t="s">
        <v>930</v>
      </c>
      <c r="C236" s="2" t="s">
        <v>221</v>
      </c>
      <c r="D236" s="2" t="s">
        <v>31</v>
      </c>
    </row>
    <row r="237" spans="1:4" ht="49.5">
      <c r="A237" s="2" t="s">
        <v>965</v>
      </c>
      <c r="B237" s="2" t="s">
        <v>966</v>
      </c>
      <c r="C237" s="2" t="s">
        <v>221</v>
      </c>
      <c r="D237" s="2" t="s">
        <v>30</v>
      </c>
    </row>
    <row r="238" spans="1:4" ht="49.5">
      <c r="A238" s="2" t="s">
        <v>967</v>
      </c>
      <c r="B238" s="2" t="s">
        <v>968</v>
      </c>
      <c r="C238" s="2" t="s">
        <v>221</v>
      </c>
      <c r="D238" s="2" t="s">
        <v>30</v>
      </c>
    </row>
    <row r="239" spans="1:4" ht="33">
      <c r="A239" s="2" t="s">
        <v>971</v>
      </c>
      <c r="B239" s="2" t="s">
        <v>972</v>
      </c>
      <c r="C239" s="2" t="s">
        <v>221</v>
      </c>
      <c r="D239" s="2" t="s">
        <v>30</v>
      </c>
    </row>
    <row r="240" spans="1:4" ht="33">
      <c r="A240" s="2" t="s">
        <v>973</v>
      </c>
      <c r="B240" s="2" t="s">
        <v>974</v>
      </c>
      <c r="C240" s="2" t="s">
        <v>221</v>
      </c>
      <c r="D240" s="2" t="s">
        <v>30</v>
      </c>
    </row>
    <row r="241" spans="1:4" ht="49.5">
      <c r="A241" s="2" t="s">
        <v>975</v>
      </c>
      <c r="B241" s="2" t="s">
        <v>976</v>
      </c>
      <c r="C241" s="2" t="s">
        <v>221</v>
      </c>
      <c r="D241" s="2" t="s">
        <v>36</v>
      </c>
    </row>
    <row r="242" spans="1:4" ht="49.5">
      <c r="A242" s="2" t="s">
        <v>981</v>
      </c>
      <c r="B242" s="2" t="s">
        <v>982</v>
      </c>
      <c r="C242" s="2" t="s">
        <v>221</v>
      </c>
      <c r="D242" s="2" t="s">
        <v>31</v>
      </c>
    </row>
    <row r="243" spans="1:4" ht="49.5">
      <c r="A243" s="2" t="s">
        <v>1015</v>
      </c>
      <c r="B243" s="2" t="s">
        <v>1016</v>
      </c>
      <c r="C243" s="2" t="s">
        <v>221</v>
      </c>
      <c r="D243" s="2" t="s">
        <v>31</v>
      </c>
    </row>
    <row r="244" spans="1:4" ht="49.5">
      <c r="A244" s="2" t="s">
        <v>1017</v>
      </c>
      <c r="B244" s="2" t="s">
        <v>1018</v>
      </c>
      <c r="C244" s="2" t="s">
        <v>221</v>
      </c>
      <c r="D244" s="2" t="s">
        <v>31</v>
      </c>
    </row>
    <row r="245" spans="1:4" ht="49.5">
      <c r="A245" s="2" t="s">
        <v>1019</v>
      </c>
      <c r="B245" s="2" t="s">
        <v>1020</v>
      </c>
      <c r="C245" s="2" t="s">
        <v>221</v>
      </c>
      <c r="D245" s="2" t="s">
        <v>31</v>
      </c>
    </row>
    <row r="246" spans="1:4" ht="49.5">
      <c r="A246" s="2" t="s">
        <v>1021</v>
      </c>
      <c r="B246" s="2" t="s">
        <v>1022</v>
      </c>
      <c r="C246" s="2" t="s">
        <v>221</v>
      </c>
      <c r="D246" s="2" t="s">
        <v>31</v>
      </c>
    </row>
    <row r="247" spans="1:4" ht="49.5">
      <c r="A247" s="2" t="s">
        <v>1023</v>
      </c>
      <c r="B247" s="2" t="s">
        <v>1024</v>
      </c>
      <c r="C247" s="2" t="s">
        <v>221</v>
      </c>
      <c r="D247" s="2" t="s">
        <v>31</v>
      </c>
    </row>
    <row r="248" spans="1:4" ht="49.5">
      <c r="A248" s="2" t="s">
        <v>1025</v>
      </c>
      <c r="B248" s="2" t="s">
        <v>1026</v>
      </c>
      <c r="C248" s="2" t="s">
        <v>221</v>
      </c>
      <c r="D248" s="2" t="s">
        <v>31</v>
      </c>
    </row>
    <row r="249" spans="1:4" ht="49.5">
      <c r="A249" s="2" t="s">
        <v>1027</v>
      </c>
      <c r="B249" s="2" t="s">
        <v>1028</v>
      </c>
      <c r="C249" s="2" t="s">
        <v>221</v>
      </c>
      <c r="D249" s="2" t="s">
        <v>31</v>
      </c>
    </row>
    <row r="250" spans="1:4" ht="49.5">
      <c r="A250" s="2" t="s">
        <v>1029</v>
      </c>
      <c r="B250" s="2" t="s">
        <v>1030</v>
      </c>
      <c r="C250" s="2" t="s">
        <v>221</v>
      </c>
      <c r="D250" s="2" t="s">
        <v>31</v>
      </c>
    </row>
    <row r="251" spans="1:4" ht="49.5">
      <c r="A251" s="2" t="s">
        <v>1031</v>
      </c>
      <c r="B251" s="2" t="s">
        <v>1032</v>
      </c>
      <c r="C251" s="2" t="s">
        <v>221</v>
      </c>
      <c r="D251" s="2" t="s">
        <v>31</v>
      </c>
    </row>
    <row r="252" spans="1:4" ht="49.5">
      <c r="A252" s="2" t="s">
        <v>1033</v>
      </c>
      <c r="B252" s="2" t="s">
        <v>1034</v>
      </c>
      <c r="C252" s="2" t="s">
        <v>221</v>
      </c>
      <c r="D252" s="2" t="s">
        <v>31</v>
      </c>
    </row>
    <row r="253" spans="1:4" ht="49.5">
      <c r="A253" s="2" t="s">
        <v>1035</v>
      </c>
      <c r="B253" s="2" t="s">
        <v>1036</v>
      </c>
      <c r="C253" s="2" t="s">
        <v>221</v>
      </c>
      <c r="D253" s="2" t="s">
        <v>31</v>
      </c>
    </row>
    <row r="254" spans="1:4" ht="49.5">
      <c r="A254" s="2" t="s">
        <v>1037</v>
      </c>
      <c r="B254" s="2" t="s">
        <v>1038</v>
      </c>
      <c r="C254" s="2" t="s">
        <v>221</v>
      </c>
      <c r="D254" s="2" t="s">
        <v>31</v>
      </c>
    </row>
    <row r="255" spans="1:4" ht="49.5">
      <c r="A255" s="2" t="s">
        <v>1039</v>
      </c>
      <c r="B255" s="2" t="s">
        <v>1040</v>
      </c>
      <c r="C255" s="2" t="s">
        <v>221</v>
      </c>
      <c r="D255" s="2" t="s">
        <v>31</v>
      </c>
    </row>
    <row r="256" spans="1:4" ht="49.5">
      <c r="A256" s="2" t="s">
        <v>1041</v>
      </c>
      <c r="B256" s="2" t="s">
        <v>1042</v>
      </c>
      <c r="C256" s="2" t="s">
        <v>221</v>
      </c>
      <c r="D256" s="2" t="s">
        <v>31</v>
      </c>
    </row>
    <row r="257" spans="1:4" ht="49.5">
      <c r="A257" s="2" t="s">
        <v>1043</v>
      </c>
      <c r="B257" s="2" t="s">
        <v>1044</v>
      </c>
      <c r="C257" s="2" t="s">
        <v>221</v>
      </c>
      <c r="D257" s="2" t="s">
        <v>31</v>
      </c>
    </row>
    <row r="258" spans="1:4" ht="49.5">
      <c r="A258" s="2" t="s">
        <v>1045</v>
      </c>
      <c r="B258" s="2" t="s">
        <v>1046</v>
      </c>
      <c r="C258" s="2" t="s">
        <v>221</v>
      </c>
      <c r="D258" s="2" t="s">
        <v>31</v>
      </c>
    </row>
    <row r="259" spans="1:4" ht="49.5">
      <c r="A259" s="2" t="s">
        <v>1049</v>
      </c>
      <c r="B259" s="2" t="s">
        <v>1050</v>
      </c>
      <c r="C259" s="2" t="s">
        <v>221</v>
      </c>
      <c r="D259" s="2" t="s">
        <v>31</v>
      </c>
    </row>
    <row r="260" spans="1:4" ht="49.5">
      <c r="A260" s="2" t="s">
        <v>1051</v>
      </c>
      <c r="B260" s="2" t="s">
        <v>1052</v>
      </c>
      <c r="C260" s="2" t="s">
        <v>221</v>
      </c>
      <c r="D260" s="2" t="s">
        <v>31</v>
      </c>
    </row>
    <row r="261" spans="1:4" ht="49.5">
      <c r="A261" s="2" t="s">
        <v>1053</v>
      </c>
      <c r="B261" s="2" t="s">
        <v>1054</v>
      </c>
      <c r="C261" s="2" t="s">
        <v>221</v>
      </c>
      <c r="D261" s="2" t="s">
        <v>34</v>
      </c>
    </row>
    <row r="262" spans="1:4" ht="49.5">
      <c r="A262" s="2" t="s">
        <v>1055</v>
      </c>
      <c r="B262" s="2" t="s">
        <v>1056</v>
      </c>
      <c r="C262" s="2" t="s">
        <v>221</v>
      </c>
      <c r="D262" s="2" t="s">
        <v>31</v>
      </c>
    </row>
    <row r="263" spans="1:4" ht="49.5">
      <c r="A263" s="2" t="s">
        <v>1063</v>
      </c>
      <c r="B263" s="2" t="s">
        <v>1064</v>
      </c>
      <c r="C263" s="2" t="s">
        <v>221</v>
      </c>
      <c r="D263" s="2" t="s">
        <v>31</v>
      </c>
    </row>
    <row r="264" spans="1:4" ht="49.5">
      <c r="A264" s="2" t="s">
        <v>1065</v>
      </c>
      <c r="B264" s="2" t="s">
        <v>1066</v>
      </c>
      <c r="C264" s="2" t="s">
        <v>221</v>
      </c>
      <c r="D264" s="2" t="s">
        <v>31</v>
      </c>
    </row>
    <row r="265" spans="1:4" ht="49.5">
      <c r="A265" s="2" t="s">
        <v>1067</v>
      </c>
      <c r="B265" s="2" t="s">
        <v>1068</v>
      </c>
      <c r="C265" s="2" t="s">
        <v>221</v>
      </c>
      <c r="D265" s="2" t="s">
        <v>31</v>
      </c>
    </row>
    <row r="266" spans="1:4" ht="49.5">
      <c r="A266" s="2" t="s">
        <v>1073</v>
      </c>
      <c r="B266" s="2" t="s">
        <v>1074</v>
      </c>
      <c r="C266" s="2" t="s">
        <v>221</v>
      </c>
      <c r="D266" s="2" t="s">
        <v>31</v>
      </c>
    </row>
    <row r="267" spans="1:4" ht="49.5">
      <c r="A267" s="2" t="s">
        <v>1075</v>
      </c>
      <c r="B267" s="2" t="s">
        <v>1076</v>
      </c>
      <c r="C267" s="2" t="s">
        <v>221</v>
      </c>
      <c r="D267" s="2" t="s">
        <v>31</v>
      </c>
    </row>
    <row r="268" spans="1:4" ht="49.5">
      <c r="A268" s="2" t="s">
        <v>1077</v>
      </c>
      <c r="B268" s="2" t="s">
        <v>1078</v>
      </c>
      <c r="C268" s="2" t="s">
        <v>221</v>
      </c>
      <c r="D268" s="2" t="s">
        <v>31</v>
      </c>
    </row>
    <row r="269" spans="1:4" ht="49.5">
      <c r="A269" s="2" t="s">
        <v>1079</v>
      </c>
      <c r="B269" s="2" t="s">
        <v>1080</v>
      </c>
      <c r="C269" s="2" t="s">
        <v>221</v>
      </c>
      <c r="D269" s="2" t="s">
        <v>31</v>
      </c>
    </row>
    <row r="270" spans="1:4" ht="49.5">
      <c r="A270" s="2" t="s">
        <v>1081</v>
      </c>
      <c r="B270" s="2" t="s">
        <v>1082</v>
      </c>
      <c r="C270" s="2" t="s">
        <v>221</v>
      </c>
      <c r="D270" s="2" t="s">
        <v>31</v>
      </c>
    </row>
    <row r="271" spans="1:4" ht="49.5">
      <c r="A271" s="2" t="s">
        <v>1083</v>
      </c>
      <c r="B271" s="2" t="s">
        <v>1084</v>
      </c>
      <c r="C271" s="2" t="s">
        <v>221</v>
      </c>
      <c r="D271" s="2" t="s">
        <v>31</v>
      </c>
    </row>
    <row r="272" spans="1:4" ht="49.5">
      <c r="A272" s="2" t="s">
        <v>1085</v>
      </c>
      <c r="B272" s="2" t="s">
        <v>1086</v>
      </c>
      <c r="C272" s="2" t="s">
        <v>221</v>
      </c>
      <c r="D272" s="2" t="s">
        <v>31</v>
      </c>
    </row>
    <row r="273" spans="1:4" ht="49.5">
      <c r="A273" s="2" t="s">
        <v>1087</v>
      </c>
      <c r="B273" s="2" t="s">
        <v>1088</v>
      </c>
      <c r="C273" s="2" t="s">
        <v>221</v>
      </c>
      <c r="D273" s="2" t="s">
        <v>31</v>
      </c>
    </row>
    <row r="274" spans="1:4" ht="49.5">
      <c r="A274" s="2" t="s">
        <v>1089</v>
      </c>
      <c r="B274" s="2" t="s">
        <v>1090</v>
      </c>
      <c r="C274" s="2" t="s">
        <v>221</v>
      </c>
      <c r="D274" s="2" t="s">
        <v>31</v>
      </c>
    </row>
    <row r="275" spans="1:4" ht="49.5">
      <c r="A275" s="2" t="s">
        <v>1091</v>
      </c>
      <c r="B275" s="2" t="s">
        <v>1092</v>
      </c>
      <c r="C275" s="2" t="s">
        <v>221</v>
      </c>
      <c r="D275" s="2" t="s">
        <v>31</v>
      </c>
    </row>
    <row r="276" spans="1:4" ht="49.5">
      <c r="A276" s="2" t="s">
        <v>1093</v>
      </c>
      <c r="B276" s="2" t="s">
        <v>1094</v>
      </c>
      <c r="C276" s="2" t="s">
        <v>221</v>
      </c>
      <c r="D276" s="2" t="s">
        <v>31</v>
      </c>
    </row>
    <row r="277" spans="1:4" ht="49.5">
      <c r="A277" s="2" t="s">
        <v>1095</v>
      </c>
      <c r="B277" s="2" t="s">
        <v>1096</v>
      </c>
      <c r="C277" s="2" t="s">
        <v>221</v>
      </c>
      <c r="D277" s="2" t="s">
        <v>31</v>
      </c>
    </row>
    <row r="278" spans="1:4" ht="49.5">
      <c r="A278" s="2" t="s">
        <v>1097</v>
      </c>
      <c r="B278" s="2" t="s">
        <v>1098</v>
      </c>
      <c r="C278" s="2" t="s">
        <v>221</v>
      </c>
      <c r="D278" s="2" t="s">
        <v>31</v>
      </c>
    </row>
    <row r="279" spans="1:4" ht="49.5">
      <c r="A279" s="2" t="s">
        <v>1099</v>
      </c>
      <c r="B279" s="2" t="s">
        <v>1100</v>
      </c>
      <c r="C279" s="2" t="s">
        <v>221</v>
      </c>
      <c r="D279" s="2" t="s">
        <v>31</v>
      </c>
    </row>
    <row r="280" spans="1:4" ht="49.5">
      <c r="A280" s="2" t="s">
        <v>1101</v>
      </c>
      <c r="B280" s="2" t="s">
        <v>1102</v>
      </c>
      <c r="C280" s="2" t="s">
        <v>221</v>
      </c>
      <c r="D280" s="2" t="s">
        <v>31</v>
      </c>
    </row>
    <row r="281" spans="1:4" ht="49.5">
      <c r="A281" s="2" t="s">
        <v>1103</v>
      </c>
      <c r="B281" s="2" t="s">
        <v>1104</v>
      </c>
      <c r="C281" s="2" t="s">
        <v>221</v>
      </c>
      <c r="D281" s="2" t="s">
        <v>31</v>
      </c>
    </row>
    <row r="282" spans="1:4" ht="49.5">
      <c r="A282" s="2" t="s">
        <v>1107</v>
      </c>
      <c r="B282" s="2" t="s">
        <v>1108</v>
      </c>
      <c r="C282" s="2" t="s">
        <v>221</v>
      </c>
      <c r="D282" s="2" t="s">
        <v>31</v>
      </c>
    </row>
    <row r="283" spans="1:4" ht="49.5">
      <c r="A283" s="2" t="s">
        <v>1111</v>
      </c>
      <c r="B283" s="2" t="s">
        <v>1112</v>
      </c>
      <c r="C283" s="2" t="s">
        <v>221</v>
      </c>
      <c r="D283" s="2" t="s">
        <v>31</v>
      </c>
    </row>
    <row r="284" spans="1:4" ht="49.5">
      <c r="A284" s="2" t="s">
        <v>1135</v>
      </c>
      <c r="B284" s="2" t="s">
        <v>1136</v>
      </c>
      <c r="C284" s="2" t="s">
        <v>221</v>
      </c>
      <c r="D284" s="2" t="s">
        <v>31</v>
      </c>
    </row>
    <row r="285" spans="1:4" ht="49.5">
      <c r="A285" s="2" t="s">
        <v>1137</v>
      </c>
      <c r="B285" s="2" t="s">
        <v>1138</v>
      </c>
      <c r="C285" s="2" t="s">
        <v>221</v>
      </c>
      <c r="D285" s="2" t="s">
        <v>31</v>
      </c>
    </row>
    <row r="286" spans="1:4" ht="49.5">
      <c r="A286" s="2" t="s">
        <v>1145</v>
      </c>
      <c r="B286" s="2" t="s">
        <v>1146</v>
      </c>
      <c r="C286" s="2" t="s">
        <v>221</v>
      </c>
      <c r="D286" s="2" t="s">
        <v>31</v>
      </c>
    </row>
    <row r="287" spans="1:4" ht="49.5">
      <c r="A287" s="2" t="s">
        <v>1149</v>
      </c>
      <c r="B287" s="2" t="s">
        <v>1150</v>
      </c>
      <c r="C287" s="2" t="s">
        <v>221</v>
      </c>
      <c r="D287" s="2" t="s">
        <v>31</v>
      </c>
    </row>
    <row r="288" spans="1:4" ht="49.5">
      <c r="A288" s="2" t="s">
        <v>1153</v>
      </c>
      <c r="B288" s="2" t="s">
        <v>1154</v>
      </c>
      <c r="C288" s="2" t="s">
        <v>221</v>
      </c>
      <c r="D288" s="2" t="s">
        <v>34</v>
      </c>
    </row>
    <row r="289" spans="1:4" ht="49.5">
      <c r="A289" s="2" t="s">
        <v>1155</v>
      </c>
      <c r="B289" s="2" t="s">
        <v>1156</v>
      </c>
      <c r="C289" s="2" t="s">
        <v>221</v>
      </c>
      <c r="D289" s="2" t="s">
        <v>31</v>
      </c>
    </row>
    <row r="290" spans="1:4" ht="49.5">
      <c r="A290" s="2" t="s">
        <v>1157</v>
      </c>
      <c r="B290" s="2" t="s">
        <v>1158</v>
      </c>
      <c r="C290" s="2" t="s">
        <v>221</v>
      </c>
      <c r="D290" s="2" t="s">
        <v>31</v>
      </c>
    </row>
    <row r="291" spans="1:4" ht="49.5">
      <c r="A291" s="2" t="s">
        <v>1159</v>
      </c>
      <c r="B291" s="2" t="s">
        <v>1160</v>
      </c>
      <c r="C291" s="2" t="s">
        <v>221</v>
      </c>
      <c r="D291" s="2" t="s">
        <v>31</v>
      </c>
    </row>
    <row r="292" spans="1:4" ht="49.5">
      <c r="A292" s="2" t="s">
        <v>1163</v>
      </c>
      <c r="B292" s="2" t="s">
        <v>1164</v>
      </c>
      <c r="C292" s="2" t="s">
        <v>221</v>
      </c>
      <c r="D292" s="2" t="s">
        <v>31</v>
      </c>
    </row>
    <row r="293" spans="1:4" ht="49.5">
      <c r="A293" s="2" t="s">
        <v>1165</v>
      </c>
      <c r="B293" s="2" t="s">
        <v>1166</v>
      </c>
      <c r="C293" s="2" t="s">
        <v>221</v>
      </c>
      <c r="D293" s="2" t="s">
        <v>31</v>
      </c>
    </row>
    <row r="294" spans="1:4" ht="49.5">
      <c r="A294" s="2" t="s">
        <v>1167</v>
      </c>
      <c r="B294" s="2" t="s">
        <v>1168</v>
      </c>
      <c r="C294" s="2" t="s">
        <v>221</v>
      </c>
      <c r="D294" s="2" t="s">
        <v>31</v>
      </c>
    </row>
    <row r="295" spans="1:4" ht="49.5">
      <c r="A295" s="2" t="s">
        <v>1169</v>
      </c>
      <c r="B295" s="2" t="s">
        <v>1170</v>
      </c>
      <c r="C295" s="2" t="s">
        <v>221</v>
      </c>
      <c r="D295" s="2" t="s">
        <v>31</v>
      </c>
    </row>
    <row r="296" spans="1:4" ht="49.5">
      <c r="A296" s="2" t="s">
        <v>1171</v>
      </c>
      <c r="B296" s="2" t="s">
        <v>1172</v>
      </c>
      <c r="C296" s="2" t="s">
        <v>221</v>
      </c>
      <c r="D296" s="2" t="s">
        <v>31</v>
      </c>
    </row>
    <row r="297" spans="1:4" ht="49.5">
      <c r="A297" s="2" t="s">
        <v>1173</v>
      </c>
      <c r="B297" s="2" t="s">
        <v>1174</v>
      </c>
      <c r="C297" s="2" t="s">
        <v>221</v>
      </c>
      <c r="D297" s="2" t="s">
        <v>31</v>
      </c>
    </row>
    <row r="298" spans="1:4" ht="49.5">
      <c r="A298" s="2" t="s">
        <v>1175</v>
      </c>
      <c r="B298" s="2" t="s">
        <v>1176</v>
      </c>
      <c r="C298" s="2" t="s">
        <v>221</v>
      </c>
      <c r="D298" s="2" t="s">
        <v>31</v>
      </c>
    </row>
    <row r="299" spans="1:4" ht="49.5">
      <c r="A299" s="2" t="s">
        <v>1177</v>
      </c>
      <c r="B299" s="2" t="s">
        <v>1178</v>
      </c>
      <c r="C299" s="2" t="s">
        <v>221</v>
      </c>
      <c r="D299" s="2" t="s">
        <v>31</v>
      </c>
    </row>
    <row r="300" spans="1:4" ht="49.5">
      <c r="A300" s="2" t="s">
        <v>1193</v>
      </c>
      <c r="B300" s="2" t="s">
        <v>1194</v>
      </c>
      <c r="C300" s="2" t="s">
        <v>221</v>
      </c>
      <c r="D300" s="2" t="s">
        <v>31</v>
      </c>
    </row>
    <row r="301" spans="1:4" ht="49.5">
      <c r="A301" s="2" t="s">
        <v>1195</v>
      </c>
      <c r="B301" s="2" t="s">
        <v>1196</v>
      </c>
      <c r="C301" s="2" t="s">
        <v>221</v>
      </c>
      <c r="D301" s="2" t="s">
        <v>31</v>
      </c>
    </row>
    <row r="302" spans="1:4" ht="49.5">
      <c r="A302" s="2" t="s">
        <v>1197</v>
      </c>
      <c r="B302" s="2" t="s">
        <v>1198</v>
      </c>
      <c r="C302" s="2" t="s">
        <v>221</v>
      </c>
      <c r="D302" s="2" t="s">
        <v>31</v>
      </c>
    </row>
    <row r="303" spans="1:4" ht="49.5">
      <c r="A303" s="2" t="s">
        <v>1199</v>
      </c>
      <c r="B303" s="2" t="s">
        <v>1200</v>
      </c>
      <c r="C303" s="2" t="s">
        <v>221</v>
      </c>
      <c r="D303" s="2" t="s">
        <v>31</v>
      </c>
    </row>
    <row r="304" spans="1:4" ht="49.5">
      <c r="A304" s="2" t="s">
        <v>1201</v>
      </c>
      <c r="B304" s="2" t="s">
        <v>1202</v>
      </c>
      <c r="C304" s="2" t="s">
        <v>221</v>
      </c>
      <c r="D304" s="2" t="s">
        <v>31</v>
      </c>
    </row>
    <row r="305" spans="1:4" ht="49.5">
      <c r="A305" s="2" t="s">
        <v>1205</v>
      </c>
      <c r="B305" s="2" t="s">
        <v>1206</v>
      </c>
      <c r="C305" s="2" t="s">
        <v>221</v>
      </c>
      <c r="D305" s="2" t="s">
        <v>31</v>
      </c>
    </row>
    <row r="306" spans="1:4" ht="49.5">
      <c r="A306" s="2" t="s">
        <v>1211</v>
      </c>
      <c r="B306" s="2" t="s">
        <v>1212</v>
      </c>
      <c r="C306" s="2" t="s">
        <v>221</v>
      </c>
      <c r="D306" s="2" t="s">
        <v>31</v>
      </c>
    </row>
    <row r="307" spans="1:4" ht="49.5">
      <c r="A307" s="2" t="s">
        <v>1215</v>
      </c>
      <c r="B307" s="2" t="s">
        <v>1216</v>
      </c>
      <c r="C307" s="2" t="s">
        <v>221</v>
      </c>
      <c r="D307" s="2" t="s">
        <v>31</v>
      </c>
    </row>
    <row r="308" spans="1:4" ht="49.5">
      <c r="A308" s="2" t="s">
        <v>1217</v>
      </c>
      <c r="B308" s="2" t="s">
        <v>1218</v>
      </c>
      <c r="C308" s="2" t="s">
        <v>221</v>
      </c>
      <c r="D308" s="2" t="s">
        <v>31</v>
      </c>
    </row>
    <row r="309" spans="1:4" ht="49.5">
      <c r="A309" s="2" t="s">
        <v>1219</v>
      </c>
      <c r="B309" s="2" t="s">
        <v>1220</v>
      </c>
      <c r="C309" s="2" t="s">
        <v>221</v>
      </c>
      <c r="D309" s="2" t="s">
        <v>31</v>
      </c>
    </row>
    <row r="310" spans="1:4" ht="49.5">
      <c r="A310" s="2" t="s">
        <v>1221</v>
      </c>
      <c r="B310" s="2" t="s">
        <v>1222</v>
      </c>
      <c r="C310" s="2" t="s">
        <v>221</v>
      </c>
      <c r="D310" s="2" t="s">
        <v>31</v>
      </c>
    </row>
    <row r="311" spans="1:4" ht="49.5">
      <c r="A311" s="2" t="s">
        <v>1223</v>
      </c>
      <c r="B311" s="2" t="s">
        <v>1224</v>
      </c>
      <c r="C311" s="2" t="s">
        <v>221</v>
      </c>
      <c r="D311" s="2" t="s">
        <v>31</v>
      </c>
    </row>
    <row r="312" spans="1:4" ht="49.5">
      <c r="A312" s="2" t="s">
        <v>1225</v>
      </c>
      <c r="B312" s="2" t="s">
        <v>1226</v>
      </c>
      <c r="C312" s="2" t="s">
        <v>221</v>
      </c>
      <c r="D312" s="2" t="s">
        <v>31</v>
      </c>
    </row>
    <row r="313" spans="1:4" ht="49.5">
      <c r="A313" s="2" t="s">
        <v>1227</v>
      </c>
      <c r="B313" s="2" t="s">
        <v>1228</v>
      </c>
      <c r="C313" s="2" t="s">
        <v>221</v>
      </c>
      <c r="D313" s="2" t="s">
        <v>31</v>
      </c>
    </row>
    <row r="314" spans="1:4" ht="49.5">
      <c r="A314" s="2" t="s">
        <v>1229</v>
      </c>
      <c r="B314" s="2" t="s">
        <v>1230</v>
      </c>
      <c r="C314" s="2" t="s">
        <v>221</v>
      </c>
      <c r="D314" s="2" t="s">
        <v>31</v>
      </c>
    </row>
    <row r="315" spans="1:4" ht="49.5">
      <c r="A315" s="2" t="s">
        <v>1231</v>
      </c>
      <c r="B315" s="2" t="s">
        <v>1232</v>
      </c>
      <c r="C315" s="2" t="s">
        <v>221</v>
      </c>
      <c r="D315" s="2" t="s">
        <v>31</v>
      </c>
    </row>
    <row r="316" spans="1:4" ht="49.5">
      <c r="A316" s="2" t="s">
        <v>1233</v>
      </c>
      <c r="B316" s="2" t="s">
        <v>1234</v>
      </c>
      <c r="C316" s="2" t="s">
        <v>221</v>
      </c>
      <c r="D316" s="2" t="s">
        <v>31</v>
      </c>
    </row>
    <row r="317" spans="1:4" ht="49.5">
      <c r="A317" s="2" t="s">
        <v>1235</v>
      </c>
      <c r="B317" s="2" t="s">
        <v>1236</v>
      </c>
      <c r="C317" s="2" t="s">
        <v>221</v>
      </c>
      <c r="D317" s="2" t="s">
        <v>31</v>
      </c>
    </row>
    <row r="318" spans="1:4" ht="49.5">
      <c r="A318" s="2" t="s">
        <v>1237</v>
      </c>
      <c r="B318" s="2" t="s">
        <v>1238</v>
      </c>
      <c r="C318" s="2" t="s">
        <v>221</v>
      </c>
      <c r="D318" s="2" t="s">
        <v>31</v>
      </c>
    </row>
    <row r="319" spans="1:4" ht="49.5">
      <c r="A319" s="2" t="s">
        <v>1239</v>
      </c>
      <c r="B319" s="2" t="s">
        <v>1240</v>
      </c>
      <c r="C319" s="2" t="s">
        <v>221</v>
      </c>
      <c r="D319" s="2" t="s">
        <v>31</v>
      </c>
    </row>
    <row r="320" spans="1:4" ht="49.5">
      <c r="A320" s="2" t="s">
        <v>1241</v>
      </c>
      <c r="B320" s="2" t="s">
        <v>1242</v>
      </c>
      <c r="C320" s="2" t="s">
        <v>221</v>
      </c>
      <c r="D320" s="2" t="s">
        <v>31</v>
      </c>
    </row>
    <row r="321" spans="1:4" ht="49.5">
      <c r="A321" s="2" t="s">
        <v>1243</v>
      </c>
      <c r="B321" s="2" t="s">
        <v>1244</v>
      </c>
      <c r="C321" s="2" t="s">
        <v>221</v>
      </c>
      <c r="D321" s="2" t="s">
        <v>31</v>
      </c>
    </row>
    <row r="322" spans="1:4" ht="49.5">
      <c r="A322" s="2" t="s">
        <v>1245</v>
      </c>
      <c r="B322" s="2" t="s">
        <v>1246</v>
      </c>
      <c r="C322" s="2" t="s">
        <v>221</v>
      </c>
      <c r="D322" s="2" t="s">
        <v>31</v>
      </c>
    </row>
    <row r="323" spans="1:4" ht="49.5">
      <c r="A323" s="2" t="s">
        <v>1247</v>
      </c>
      <c r="B323" s="2" t="s">
        <v>1248</v>
      </c>
      <c r="C323" s="2" t="s">
        <v>221</v>
      </c>
      <c r="D323" s="2" t="s">
        <v>31</v>
      </c>
    </row>
    <row r="324" spans="1:4" ht="49.5">
      <c r="A324" s="2" t="s">
        <v>1249</v>
      </c>
      <c r="B324" s="2" t="s">
        <v>1250</v>
      </c>
      <c r="C324" s="2" t="s">
        <v>221</v>
      </c>
      <c r="D324" s="2" t="s">
        <v>31</v>
      </c>
    </row>
    <row r="325" spans="1:4" ht="49.5">
      <c r="A325" s="2" t="s">
        <v>1251</v>
      </c>
      <c r="B325" s="2" t="s">
        <v>1252</v>
      </c>
      <c r="C325" s="2" t="s">
        <v>221</v>
      </c>
      <c r="D325" s="2" t="s">
        <v>31</v>
      </c>
    </row>
    <row r="326" spans="1:4" ht="49.5">
      <c r="A326" s="2" t="s">
        <v>1253</v>
      </c>
      <c r="B326" s="2" t="s">
        <v>1254</v>
      </c>
      <c r="C326" s="2" t="s">
        <v>221</v>
      </c>
      <c r="D326" s="2" t="s">
        <v>31</v>
      </c>
    </row>
    <row r="327" spans="1:4" ht="49.5">
      <c r="A327" s="2" t="s">
        <v>1255</v>
      </c>
      <c r="B327" s="2" t="s">
        <v>1256</v>
      </c>
      <c r="C327" s="2" t="s">
        <v>221</v>
      </c>
      <c r="D327" s="2" t="s">
        <v>31</v>
      </c>
    </row>
    <row r="328" spans="1:4" ht="49.5">
      <c r="A328" s="2" t="s">
        <v>1257</v>
      </c>
      <c r="B328" s="2" t="s">
        <v>1258</v>
      </c>
      <c r="C328" s="2" t="s">
        <v>221</v>
      </c>
      <c r="D328" s="2" t="s">
        <v>31</v>
      </c>
    </row>
    <row r="329" spans="1:4" ht="49.5">
      <c r="A329" s="2" t="s">
        <v>1259</v>
      </c>
      <c r="B329" s="2" t="s">
        <v>1260</v>
      </c>
      <c r="C329" s="2" t="s">
        <v>221</v>
      </c>
      <c r="D329" s="2" t="s">
        <v>31</v>
      </c>
    </row>
    <row r="330" spans="1:4" ht="49.5">
      <c r="A330" s="2" t="s">
        <v>1261</v>
      </c>
      <c r="B330" s="2" t="s">
        <v>1262</v>
      </c>
      <c r="C330" s="2" t="s">
        <v>221</v>
      </c>
      <c r="D330" s="2" t="s">
        <v>31</v>
      </c>
    </row>
    <row r="331" spans="1:4" ht="49.5">
      <c r="A331" s="2" t="s">
        <v>1263</v>
      </c>
      <c r="B331" s="2" t="s">
        <v>1264</v>
      </c>
      <c r="C331" s="2" t="s">
        <v>221</v>
      </c>
      <c r="D331" s="2" t="s">
        <v>31</v>
      </c>
    </row>
    <row r="332" spans="1:4" ht="49.5">
      <c r="A332" s="2" t="s">
        <v>1265</v>
      </c>
      <c r="B332" s="2" t="s">
        <v>1266</v>
      </c>
      <c r="C332" s="2" t="s">
        <v>221</v>
      </c>
      <c r="D332" s="2" t="s">
        <v>31</v>
      </c>
    </row>
    <row r="333" spans="1:4" ht="49.5">
      <c r="A333" s="2" t="s">
        <v>1267</v>
      </c>
      <c r="B333" s="2" t="s">
        <v>1268</v>
      </c>
      <c r="C333" s="2" t="s">
        <v>221</v>
      </c>
      <c r="D333" s="2" t="s">
        <v>31</v>
      </c>
    </row>
    <row r="334" spans="1:4" ht="49.5">
      <c r="A334" s="2" t="s">
        <v>1269</v>
      </c>
      <c r="B334" s="2" t="s">
        <v>1270</v>
      </c>
      <c r="C334" s="2" t="s">
        <v>221</v>
      </c>
      <c r="D334" s="2" t="s">
        <v>31</v>
      </c>
    </row>
    <row r="335" spans="1:4" ht="49.5">
      <c r="A335" s="2" t="s">
        <v>1271</v>
      </c>
      <c r="B335" s="2" t="s">
        <v>1272</v>
      </c>
      <c r="C335" s="2" t="s">
        <v>221</v>
      </c>
      <c r="D335" s="2" t="s">
        <v>31</v>
      </c>
    </row>
    <row r="336" spans="1:4" ht="49.5">
      <c r="A336" s="2" t="s">
        <v>1273</v>
      </c>
      <c r="B336" s="2" t="s">
        <v>1274</v>
      </c>
      <c r="C336" s="2" t="s">
        <v>221</v>
      </c>
      <c r="D336" s="2" t="s">
        <v>31</v>
      </c>
    </row>
    <row r="337" spans="1:4" ht="49.5">
      <c r="A337" s="2" t="s">
        <v>1275</v>
      </c>
      <c r="B337" s="2" t="s">
        <v>1276</v>
      </c>
      <c r="C337" s="2" t="s">
        <v>221</v>
      </c>
      <c r="D337" s="2" t="s">
        <v>31</v>
      </c>
    </row>
    <row r="338" spans="1:4" ht="49.5">
      <c r="A338" s="2" t="s">
        <v>1277</v>
      </c>
      <c r="B338" s="2" t="s">
        <v>1278</v>
      </c>
      <c r="C338" s="2" t="s">
        <v>221</v>
      </c>
      <c r="D338" s="2" t="s">
        <v>31</v>
      </c>
    </row>
    <row r="339" spans="1:4" ht="49.5">
      <c r="A339" s="2" t="s">
        <v>1279</v>
      </c>
      <c r="B339" s="2" t="s">
        <v>1280</v>
      </c>
      <c r="C339" s="2" t="s">
        <v>221</v>
      </c>
      <c r="D339" s="2" t="s">
        <v>31</v>
      </c>
    </row>
    <row r="340" spans="1:4" ht="49.5">
      <c r="A340" s="2" t="s">
        <v>1281</v>
      </c>
      <c r="B340" s="2" t="s">
        <v>1282</v>
      </c>
      <c r="C340" s="2" t="s">
        <v>221</v>
      </c>
      <c r="D340" s="2" t="s">
        <v>31</v>
      </c>
    </row>
    <row r="341" spans="1:4" ht="49.5">
      <c r="A341" s="2" t="s">
        <v>1283</v>
      </c>
      <c r="B341" s="2" t="s">
        <v>1284</v>
      </c>
      <c r="C341" s="2" t="s">
        <v>221</v>
      </c>
      <c r="D341" s="2" t="s">
        <v>31</v>
      </c>
    </row>
    <row r="342" spans="1:4" ht="49.5">
      <c r="A342" s="2" t="s">
        <v>1285</v>
      </c>
      <c r="B342" s="2" t="s">
        <v>1286</v>
      </c>
      <c r="C342" s="2" t="s">
        <v>221</v>
      </c>
      <c r="D342" s="2" t="s">
        <v>31</v>
      </c>
    </row>
    <row r="343" spans="1:4" ht="49.5">
      <c r="A343" s="2" t="s">
        <v>1287</v>
      </c>
      <c r="B343" s="2" t="s">
        <v>1288</v>
      </c>
      <c r="C343" s="2" t="s">
        <v>221</v>
      </c>
      <c r="D343" s="2" t="s">
        <v>31</v>
      </c>
    </row>
    <row r="344" spans="1:4" ht="49.5">
      <c r="A344" s="2" t="s">
        <v>1289</v>
      </c>
      <c r="B344" s="2" t="s">
        <v>1290</v>
      </c>
      <c r="C344" s="2" t="s">
        <v>221</v>
      </c>
      <c r="D344" s="2" t="s">
        <v>31</v>
      </c>
    </row>
    <row r="345" spans="1:4" ht="49.5">
      <c r="A345" s="2" t="s">
        <v>1291</v>
      </c>
      <c r="B345" s="2" t="s">
        <v>1292</v>
      </c>
      <c r="C345" s="2" t="s">
        <v>221</v>
      </c>
      <c r="D345" s="2" t="s">
        <v>31</v>
      </c>
    </row>
    <row r="346" spans="1:4" ht="49.5">
      <c r="A346" s="2" t="s">
        <v>1293</v>
      </c>
      <c r="B346" s="2" t="s">
        <v>1294</v>
      </c>
      <c r="C346" s="2" t="s">
        <v>221</v>
      </c>
      <c r="D346" s="2" t="s">
        <v>31</v>
      </c>
    </row>
    <row r="347" spans="1:4" ht="49.5">
      <c r="A347" s="2" t="s">
        <v>1295</v>
      </c>
      <c r="B347" s="2" t="s">
        <v>1296</v>
      </c>
      <c r="C347" s="2" t="s">
        <v>221</v>
      </c>
      <c r="D347" s="2" t="s">
        <v>31</v>
      </c>
    </row>
    <row r="348" spans="1:4" ht="49.5">
      <c r="A348" s="2" t="s">
        <v>1297</v>
      </c>
      <c r="B348" s="2" t="s">
        <v>1298</v>
      </c>
      <c r="C348" s="2" t="s">
        <v>221</v>
      </c>
      <c r="D348" s="2" t="s">
        <v>31</v>
      </c>
    </row>
    <row r="349" spans="1:4" ht="49.5">
      <c r="A349" s="2" t="s">
        <v>1299</v>
      </c>
      <c r="B349" s="2" t="s">
        <v>1300</v>
      </c>
      <c r="C349" s="2" t="s">
        <v>221</v>
      </c>
      <c r="D349" s="2" t="s">
        <v>31</v>
      </c>
    </row>
    <row r="350" spans="1:4" ht="49.5">
      <c r="A350" s="2" t="s">
        <v>1301</v>
      </c>
      <c r="B350" s="2" t="s">
        <v>1302</v>
      </c>
      <c r="C350" s="2" t="s">
        <v>221</v>
      </c>
      <c r="D350" s="2" t="s">
        <v>31</v>
      </c>
    </row>
    <row r="351" spans="1:4" ht="49.5">
      <c r="A351" s="2" t="s">
        <v>1303</v>
      </c>
      <c r="B351" s="2" t="s">
        <v>1304</v>
      </c>
      <c r="C351" s="2" t="s">
        <v>221</v>
      </c>
      <c r="D351" s="2" t="s">
        <v>31</v>
      </c>
    </row>
    <row r="352" spans="1:4" ht="49.5">
      <c r="A352" s="2" t="s">
        <v>1305</v>
      </c>
      <c r="B352" s="2" t="s">
        <v>1306</v>
      </c>
      <c r="C352" s="2" t="s">
        <v>221</v>
      </c>
      <c r="D352" s="2" t="s">
        <v>31</v>
      </c>
    </row>
    <row r="353" spans="1:4" ht="49.5">
      <c r="A353" s="2" t="s">
        <v>1307</v>
      </c>
      <c r="B353" s="2" t="s">
        <v>1308</v>
      </c>
      <c r="C353" s="2" t="s">
        <v>221</v>
      </c>
      <c r="D353" s="2" t="s">
        <v>31</v>
      </c>
    </row>
    <row r="354" spans="1:4" ht="49.5">
      <c r="A354" s="2" t="s">
        <v>1309</v>
      </c>
      <c r="B354" s="2" t="s">
        <v>1310</v>
      </c>
      <c r="C354" s="2" t="s">
        <v>221</v>
      </c>
      <c r="D354" s="2" t="s">
        <v>36</v>
      </c>
    </row>
    <row r="355" spans="1:4" ht="49.5">
      <c r="A355" s="2" t="s">
        <v>1311</v>
      </c>
      <c r="B355" s="2" t="s">
        <v>1312</v>
      </c>
      <c r="C355" s="2" t="s">
        <v>221</v>
      </c>
      <c r="D355" s="2" t="s">
        <v>31</v>
      </c>
    </row>
    <row r="356" spans="1:4" ht="49.5">
      <c r="A356" s="2" t="s">
        <v>1313</v>
      </c>
      <c r="B356" s="2" t="s">
        <v>1314</v>
      </c>
      <c r="C356" s="2" t="s">
        <v>221</v>
      </c>
      <c r="D356" s="2" t="s">
        <v>31</v>
      </c>
    </row>
    <row r="357" spans="1:4" ht="49.5">
      <c r="A357" s="2" t="s">
        <v>1315</v>
      </c>
      <c r="B357" s="2" t="s">
        <v>1316</v>
      </c>
      <c r="C357" s="2" t="s">
        <v>221</v>
      </c>
      <c r="D357" s="2" t="s">
        <v>31</v>
      </c>
    </row>
    <row r="358" spans="1:4" ht="49.5">
      <c r="A358" s="2" t="s">
        <v>1317</v>
      </c>
      <c r="B358" s="2" t="s">
        <v>1318</v>
      </c>
      <c r="C358" s="2" t="s">
        <v>221</v>
      </c>
      <c r="D358" s="2" t="s">
        <v>31</v>
      </c>
    </row>
    <row r="359" spans="1:4" ht="49.5">
      <c r="A359" s="2" t="s">
        <v>1319</v>
      </c>
      <c r="B359" s="2" t="s">
        <v>1320</v>
      </c>
      <c r="C359" s="2" t="s">
        <v>221</v>
      </c>
      <c r="D359" s="2" t="s">
        <v>31</v>
      </c>
    </row>
    <row r="360" spans="1:4" ht="49.5">
      <c r="A360" s="2" t="s">
        <v>1321</v>
      </c>
      <c r="B360" s="2" t="s">
        <v>1322</v>
      </c>
      <c r="C360" s="2" t="s">
        <v>221</v>
      </c>
      <c r="D360" s="2" t="s">
        <v>31</v>
      </c>
    </row>
    <row r="361" spans="1:4" ht="49.5">
      <c r="A361" s="2" t="s">
        <v>1323</v>
      </c>
      <c r="B361" s="2" t="s">
        <v>1324</v>
      </c>
      <c r="C361" s="2" t="s">
        <v>221</v>
      </c>
      <c r="D361" s="2" t="s">
        <v>31</v>
      </c>
    </row>
    <row r="362" spans="1:4" ht="49.5">
      <c r="A362" s="2" t="s">
        <v>1325</v>
      </c>
      <c r="B362" s="2" t="s">
        <v>1326</v>
      </c>
      <c r="C362" s="2" t="s">
        <v>221</v>
      </c>
      <c r="D362" s="2" t="s">
        <v>31</v>
      </c>
    </row>
    <row r="363" spans="1:4" ht="49.5">
      <c r="A363" s="2" t="s">
        <v>1327</v>
      </c>
      <c r="B363" s="2" t="s">
        <v>1328</v>
      </c>
      <c r="C363" s="2" t="s">
        <v>221</v>
      </c>
      <c r="D363" s="2" t="s">
        <v>31</v>
      </c>
    </row>
    <row r="364" spans="1:4" ht="49.5">
      <c r="A364" s="2" t="s">
        <v>1329</v>
      </c>
      <c r="B364" s="2" t="s">
        <v>1330</v>
      </c>
      <c r="C364" s="2" t="s">
        <v>221</v>
      </c>
      <c r="D364" s="2" t="s">
        <v>31</v>
      </c>
    </row>
    <row r="365" spans="1:4" ht="49.5">
      <c r="A365" s="2" t="s">
        <v>1333</v>
      </c>
      <c r="B365" s="2" t="s">
        <v>1334</v>
      </c>
      <c r="C365" s="2" t="s">
        <v>221</v>
      </c>
      <c r="D365" s="2" t="s">
        <v>31</v>
      </c>
    </row>
    <row r="366" spans="1:4" ht="49.5">
      <c r="A366" s="2" t="s">
        <v>1335</v>
      </c>
      <c r="B366" s="2" t="s">
        <v>1336</v>
      </c>
      <c r="C366" s="2" t="s">
        <v>221</v>
      </c>
      <c r="D366" s="2" t="s">
        <v>31</v>
      </c>
    </row>
    <row r="367" spans="1:4" ht="49.5">
      <c r="A367" s="2" t="s">
        <v>1347</v>
      </c>
      <c r="B367" s="2" t="s">
        <v>1348</v>
      </c>
      <c r="C367" s="2" t="s">
        <v>221</v>
      </c>
      <c r="D367" s="2" t="s">
        <v>31</v>
      </c>
    </row>
    <row r="368" spans="1:4" ht="82.5">
      <c r="A368" s="2" t="s">
        <v>1351</v>
      </c>
      <c r="B368" s="2" t="s">
        <v>1352</v>
      </c>
      <c r="C368" s="2" t="s">
        <v>221</v>
      </c>
      <c r="D368" s="2" t="s">
        <v>31</v>
      </c>
    </row>
    <row r="369" spans="1:4" ht="82.5">
      <c r="A369" s="2" t="s">
        <v>1353</v>
      </c>
      <c r="B369" s="2" t="s">
        <v>1354</v>
      </c>
      <c r="C369" s="2" t="s">
        <v>221</v>
      </c>
      <c r="D369" s="2" t="s">
        <v>31</v>
      </c>
    </row>
    <row r="370" spans="1:4" ht="66">
      <c r="A370" s="2" t="s">
        <v>1355</v>
      </c>
      <c r="B370" s="2" t="s">
        <v>1356</v>
      </c>
      <c r="C370" s="2" t="s">
        <v>221</v>
      </c>
      <c r="D370" s="2" t="s">
        <v>30</v>
      </c>
    </row>
    <row r="371" spans="1:4" ht="66">
      <c r="A371" s="2" t="s">
        <v>1357</v>
      </c>
      <c r="B371" s="2" t="s">
        <v>1358</v>
      </c>
      <c r="C371" s="2" t="s">
        <v>221</v>
      </c>
      <c r="D371" s="2" t="s">
        <v>36</v>
      </c>
    </row>
    <row r="372" spans="1:4" ht="49.5">
      <c r="A372" s="2" t="s">
        <v>1383</v>
      </c>
      <c r="B372" s="2" t="s">
        <v>1384</v>
      </c>
      <c r="C372" s="2" t="s">
        <v>221</v>
      </c>
      <c r="D372" s="2" t="s">
        <v>31</v>
      </c>
    </row>
    <row r="373" spans="1:4" ht="49.5">
      <c r="A373" s="2" t="s">
        <v>1389</v>
      </c>
      <c r="B373" s="2" t="s">
        <v>1390</v>
      </c>
      <c r="C373" s="2" t="s">
        <v>221</v>
      </c>
      <c r="D373" s="2" t="s">
        <v>31</v>
      </c>
    </row>
    <row r="374" spans="1:4" ht="49.5">
      <c r="A374" s="2" t="s">
        <v>1397</v>
      </c>
      <c r="B374" s="2" t="s">
        <v>1398</v>
      </c>
      <c r="C374" s="2" t="s">
        <v>221</v>
      </c>
      <c r="D374" s="2" t="s">
        <v>34</v>
      </c>
    </row>
    <row r="375" spans="1:4" ht="33">
      <c r="A375" s="2" t="s">
        <v>1399</v>
      </c>
      <c r="B375" s="2" t="s">
        <v>1400</v>
      </c>
      <c r="C375" s="2" t="s">
        <v>221</v>
      </c>
      <c r="D375" s="2" t="s">
        <v>34</v>
      </c>
    </row>
    <row r="376" spans="1:4" ht="33">
      <c r="A376" s="2" t="s">
        <v>1401</v>
      </c>
      <c r="B376" s="2" t="s">
        <v>1402</v>
      </c>
      <c r="C376" s="2" t="s">
        <v>221</v>
      </c>
      <c r="D376" s="2" t="s">
        <v>31</v>
      </c>
    </row>
    <row r="377" spans="1:4" ht="66">
      <c r="A377" s="2" t="s">
        <v>1497</v>
      </c>
      <c r="B377" s="2" t="s">
        <v>1498</v>
      </c>
      <c r="C377" s="2" t="s">
        <v>221</v>
      </c>
      <c r="D377" s="2" t="s">
        <v>31</v>
      </c>
    </row>
    <row r="378" spans="1:4" ht="49.5">
      <c r="A378" s="2" t="s">
        <v>1501</v>
      </c>
      <c r="B378" s="2" t="s">
        <v>1502</v>
      </c>
      <c r="C378" s="2" t="s">
        <v>221</v>
      </c>
      <c r="D378" s="2" t="s">
        <v>31</v>
      </c>
    </row>
    <row r="379" spans="1:4" ht="66">
      <c r="A379" s="2" t="s">
        <v>1503</v>
      </c>
      <c r="B379" s="2" t="s">
        <v>1504</v>
      </c>
      <c r="C379" s="2" t="s">
        <v>221</v>
      </c>
      <c r="D379" s="2" t="s">
        <v>31</v>
      </c>
    </row>
    <row r="380" spans="1:4" ht="49.5">
      <c r="A380" s="2" t="s">
        <v>1505</v>
      </c>
      <c r="B380" s="2" t="s">
        <v>1506</v>
      </c>
      <c r="C380" s="2" t="s">
        <v>221</v>
      </c>
      <c r="D380" s="2" t="s">
        <v>31</v>
      </c>
    </row>
    <row r="381" spans="1:4" ht="49.5">
      <c r="A381" s="2" t="s">
        <v>1507</v>
      </c>
      <c r="B381" s="2" t="s">
        <v>1508</v>
      </c>
      <c r="C381" s="2" t="s">
        <v>221</v>
      </c>
      <c r="D381" s="2" t="s">
        <v>31</v>
      </c>
    </row>
    <row r="382" spans="1:4" ht="66">
      <c r="A382" s="2" t="s">
        <v>1509</v>
      </c>
      <c r="B382" s="2" t="s">
        <v>1510</v>
      </c>
      <c r="C382" s="2" t="s">
        <v>221</v>
      </c>
      <c r="D382" s="2" t="s">
        <v>31</v>
      </c>
    </row>
    <row r="383" spans="1:4" ht="49.5">
      <c r="A383" s="2" t="s">
        <v>1525</v>
      </c>
      <c r="B383" s="2" t="s">
        <v>1526</v>
      </c>
      <c r="C383" s="2" t="s">
        <v>221</v>
      </c>
      <c r="D383" s="2" t="s">
        <v>31</v>
      </c>
    </row>
    <row r="384" spans="1:4" ht="66">
      <c r="A384" s="2" t="s">
        <v>1529</v>
      </c>
      <c r="B384" s="2" t="s">
        <v>1530</v>
      </c>
      <c r="C384" s="2" t="s">
        <v>221</v>
      </c>
      <c r="D384" s="2" t="s">
        <v>31</v>
      </c>
    </row>
    <row r="385" spans="1:4" ht="49.5">
      <c r="A385" s="2" t="s">
        <v>1531</v>
      </c>
      <c r="B385" s="2" t="s">
        <v>1532</v>
      </c>
      <c r="C385" s="2" t="s">
        <v>221</v>
      </c>
      <c r="D385" s="2" t="s">
        <v>31</v>
      </c>
    </row>
    <row r="386" spans="1:4" ht="49.5">
      <c r="A386" s="2" t="s">
        <v>1533</v>
      </c>
      <c r="B386" s="2" t="s">
        <v>1534</v>
      </c>
      <c r="C386" s="2" t="s">
        <v>221</v>
      </c>
      <c r="D386" s="2" t="s">
        <v>31</v>
      </c>
    </row>
    <row r="387" spans="1:4" ht="66">
      <c r="A387" s="2" t="s">
        <v>1537</v>
      </c>
      <c r="B387" s="2" t="s">
        <v>1538</v>
      </c>
      <c r="C387" s="2" t="s">
        <v>221</v>
      </c>
      <c r="D387" s="2" t="s">
        <v>31</v>
      </c>
    </row>
    <row r="388" spans="1:4" ht="66">
      <c r="A388" s="2" t="s">
        <v>1541</v>
      </c>
      <c r="B388" s="2" t="s">
        <v>1542</v>
      </c>
      <c r="C388" s="2" t="s">
        <v>221</v>
      </c>
      <c r="D388" s="2" t="s">
        <v>31</v>
      </c>
    </row>
    <row r="389" spans="1:4" ht="66">
      <c r="A389" s="2" t="s">
        <v>1543</v>
      </c>
      <c r="B389" s="2" t="s">
        <v>1544</v>
      </c>
      <c r="C389" s="2" t="s">
        <v>221</v>
      </c>
      <c r="D389" s="2" t="s">
        <v>31</v>
      </c>
    </row>
    <row r="390" spans="1:4" ht="66">
      <c r="A390" s="2" t="s">
        <v>1545</v>
      </c>
      <c r="B390" s="2" t="s">
        <v>1546</v>
      </c>
      <c r="C390" s="2" t="s">
        <v>221</v>
      </c>
      <c r="D390" s="2" t="s">
        <v>31</v>
      </c>
    </row>
    <row r="391" spans="1:4" ht="49.5">
      <c r="A391" s="2" t="s">
        <v>1547</v>
      </c>
      <c r="B391" s="2" t="s">
        <v>1548</v>
      </c>
      <c r="C391" s="2" t="s">
        <v>221</v>
      </c>
      <c r="D391" s="2" t="s">
        <v>31</v>
      </c>
    </row>
    <row r="392" spans="1:4" ht="49.5">
      <c r="A392" s="2" t="s">
        <v>1561</v>
      </c>
      <c r="B392" s="2" t="s">
        <v>1562</v>
      </c>
      <c r="C392" s="2" t="s">
        <v>221</v>
      </c>
      <c r="D392" s="2" t="s">
        <v>31</v>
      </c>
    </row>
    <row r="393" spans="1:4" ht="66">
      <c r="A393" s="2" t="s">
        <v>1565</v>
      </c>
      <c r="B393" s="2" t="s">
        <v>1566</v>
      </c>
      <c r="C393" s="2" t="s">
        <v>221</v>
      </c>
      <c r="D393" s="2" t="s">
        <v>31</v>
      </c>
    </row>
    <row r="394" spans="1:4" ht="66">
      <c r="A394" s="2" t="s">
        <v>1567</v>
      </c>
      <c r="B394" s="2" t="s">
        <v>1568</v>
      </c>
      <c r="C394" s="2" t="s">
        <v>221</v>
      </c>
      <c r="D394" s="2" t="s">
        <v>31</v>
      </c>
    </row>
    <row r="395" spans="1:4" ht="66">
      <c r="A395" s="2" t="s">
        <v>1571</v>
      </c>
      <c r="B395" s="2" t="s">
        <v>1572</v>
      </c>
      <c r="C395" s="2" t="s">
        <v>221</v>
      </c>
      <c r="D395" s="2" t="s">
        <v>31</v>
      </c>
    </row>
    <row r="396" spans="1:4" ht="66">
      <c r="A396" s="2" t="s">
        <v>1573</v>
      </c>
      <c r="B396" s="2" t="s">
        <v>1574</v>
      </c>
      <c r="C396" s="2" t="s">
        <v>221</v>
      </c>
      <c r="D396" s="2" t="s">
        <v>31</v>
      </c>
    </row>
    <row r="397" spans="1:4" ht="49.5">
      <c r="A397" s="2" t="s">
        <v>1575</v>
      </c>
      <c r="B397" s="2" t="s">
        <v>1576</v>
      </c>
      <c r="C397" s="2" t="s">
        <v>221</v>
      </c>
      <c r="D397" s="2" t="s">
        <v>31</v>
      </c>
    </row>
    <row r="398" spans="1:4" ht="49.5">
      <c r="A398" s="2" t="s">
        <v>1577</v>
      </c>
      <c r="B398" s="2" t="s">
        <v>1578</v>
      </c>
      <c r="C398" s="2" t="s">
        <v>221</v>
      </c>
      <c r="D398" s="2" t="s">
        <v>31</v>
      </c>
    </row>
    <row r="399" spans="1:4" ht="49.5">
      <c r="A399" s="2" t="s">
        <v>1579</v>
      </c>
      <c r="B399" s="2" t="s">
        <v>1580</v>
      </c>
      <c r="C399" s="2" t="s">
        <v>221</v>
      </c>
      <c r="D399" s="2" t="s">
        <v>31</v>
      </c>
    </row>
    <row r="400" spans="1:4" ht="49.5">
      <c r="A400" s="2" t="s">
        <v>1581</v>
      </c>
      <c r="B400" s="2" t="s">
        <v>1582</v>
      </c>
      <c r="C400" s="2" t="s">
        <v>221</v>
      </c>
      <c r="D400" s="2" t="s">
        <v>31</v>
      </c>
    </row>
    <row r="401" spans="1:4" ht="49.5">
      <c r="A401" s="2" t="s">
        <v>1583</v>
      </c>
      <c r="B401" s="2" t="s">
        <v>1584</v>
      </c>
      <c r="C401" s="2" t="s">
        <v>221</v>
      </c>
      <c r="D401" s="2" t="s">
        <v>31</v>
      </c>
    </row>
    <row r="402" spans="1:4" ht="66">
      <c r="A402" s="2" t="s">
        <v>1585</v>
      </c>
      <c r="B402" s="2" t="s">
        <v>1586</v>
      </c>
      <c r="C402" s="2" t="s">
        <v>221</v>
      </c>
      <c r="D402" s="2" t="s">
        <v>31</v>
      </c>
    </row>
    <row r="403" spans="1:4" ht="49.5">
      <c r="A403" s="2" t="s">
        <v>1587</v>
      </c>
      <c r="B403" s="2" t="s">
        <v>1588</v>
      </c>
      <c r="C403" s="2" t="s">
        <v>221</v>
      </c>
      <c r="D403" s="2" t="s">
        <v>31</v>
      </c>
    </row>
    <row r="404" spans="1:4" ht="49.5">
      <c r="A404" s="2" t="s">
        <v>1589</v>
      </c>
      <c r="B404" s="2" t="s">
        <v>1590</v>
      </c>
      <c r="C404" s="2" t="s">
        <v>221</v>
      </c>
      <c r="D404" s="2" t="s">
        <v>31</v>
      </c>
    </row>
    <row r="405" spans="1:4" ht="66">
      <c r="A405" s="2" t="s">
        <v>1591</v>
      </c>
      <c r="B405" s="2" t="s">
        <v>1592</v>
      </c>
      <c r="C405" s="2" t="s">
        <v>221</v>
      </c>
      <c r="D405" s="2" t="s">
        <v>31</v>
      </c>
    </row>
    <row r="406" spans="1:4" ht="66">
      <c r="A406" s="2" t="s">
        <v>1593</v>
      </c>
      <c r="B406" s="2" t="s">
        <v>1594</v>
      </c>
      <c r="C406" s="2" t="s">
        <v>221</v>
      </c>
      <c r="D406" s="2" t="s">
        <v>31</v>
      </c>
    </row>
    <row r="407" spans="1:4" ht="49.5">
      <c r="A407" s="2" t="s">
        <v>1601</v>
      </c>
      <c r="B407" s="2" t="s">
        <v>1602</v>
      </c>
      <c r="C407" s="2" t="s">
        <v>221</v>
      </c>
      <c r="D407" s="2" t="s">
        <v>31</v>
      </c>
    </row>
    <row r="408" spans="1:4" ht="49.5">
      <c r="A408" s="2" t="s">
        <v>1603</v>
      </c>
      <c r="B408" s="2" t="s">
        <v>1604</v>
      </c>
      <c r="C408" s="2" t="s">
        <v>221</v>
      </c>
      <c r="D408" s="2" t="s">
        <v>31</v>
      </c>
    </row>
    <row r="409" spans="1:4" ht="49.5">
      <c r="A409" s="2" t="s">
        <v>1607</v>
      </c>
      <c r="B409" s="2" t="s">
        <v>1608</v>
      </c>
      <c r="C409" s="2" t="s">
        <v>221</v>
      </c>
      <c r="D409" s="2" t="s">
        <v>31</v>
      </c>
    </row>
    <row r="410" spans="1:4" ht="49.5">
      <c r="A410" s="2" t="s">
        <v>1609</v>
      </c>
      <c r="B410" s="2" t="s">
        <v>1610</v>
      </c>
      <c r="C410" s="2" t="s">
        <v>221</v>
      </c>
      <c r="D410" s="2" t="s">
        <v>31</v>
      </c>
    </row>
    <row r="411" spans="1:4" ht="49.5">
      <c r="A411" s="2" t="s">
        <v>1669</v>
      </c>
      <c r="B411" s="2" t="s">
        <v>1670</v>
      </c>
      <c r="C411" s="2" t="s">
        <v>221</v>
      </c>
      <c r="D411" s="2" t="s">
        <v>31</v>
      </c>
    </row>
    <row r="412" spans="1:4" ht="49.5">
      <c r="A412" s="2" t="s">
        <v>1673</v>
      </c>
      <c r="B412" s="2" t="s">
        <v>1674</v>
      </c>
      <c r="C412" s="2" t="s">
        <v>221</v>
      </c>
      <c r="D412" s="2" t="s">
        <v>31</v>
      </c>
    </row>
    <row r="413" spans="1:4" ht="49.5">
      <c r="A413" s="2" t="s">
        <v>1675</v>
      </c>
      <c r="B413" s="2" t="s">
        <v>1676</v>
      </c>
      <c r="C413" s="2" t="s">
        <v>221</v>
      </c>
      <c r="D413" s="2" t="s">
        <v>31</v>
      </c>
    </row>
    <row r="414" spans="1:4" ht="49.5">
      <c r="A414" s="2" t="s">
        <v>1677</v>
      </c>
      <c r="B414" s="2" t="s">
        <v>1678</v>
      </c>
      <c r="C414" s="2" t="s">
        <v>221</v>
      </c>
      <c r="D414" s="2" t="s">
        <v>31</v>
      </c>
    </row>
    <row r="415" spans="1:4" ht="49.5">
      <c r="A415" s="2" t="s">
        <v>1679</v>
      </c>
      <c r="B415" s="2" t="s">
        <v>1680</v>
      </c>
      <c r="C415" s="2" t="s">
        <v>221</v>
      </c>
      <c r="D415" s="2" t="s">
        <v>31</v>
      </c>
    </row>
    <row r="416" spans="1:4" ht="49.5">
      <c r="A416" s="2" t="s">
        <v>1681</v>
      </c>
      <c r="B416" s="2" t="s">
        <v>1682</v>
      </c>
      <c r="C416" s="2" t="s">
        <v>221</v>
      </c>
      <c r="D416" s="2" t="s">
        <v>31</v>
      </c>
    </row>
    <row r="417" spans="1:4" ht="49.5">
      <c r="A417" s="2" t="s">
        <v>1683</v>
      </c>
      <c r="B417" s="2" t="s">
        <v>1684</v>
      </c>
      <c r="C417" s="2" t="s">
        <v>221</v>
      </c>
      <c r="D417" s="2" t="s">
        <v>31</v>
      </c>
    </row>
    <row r="418" spans="1:4" ht="49.5">
      <c r="A418" s="2" t="s">
        <v>1685</v>
      </c>
      <c r="B418" s="2" t="s">
        <v>1686</v>
      </c>
      <c r="C418" s="2" t="s">
        <v>221</v>
      </c>
      <c r="D418" s="2" t="s">
        <v>36</v>
      </c>
    </row>
    <row r="419" spans="1:4" ht="49.5">
      <c r="A419" s="2" t="s">
        <v>1687</v>
      </c>
      <c r="B419" s="2" t="s">
        <v>1688</v>
      </c>
      <c r="C419" s="2" t="s">
        <v>221</v>
      </c>
      <c r="D419" s="2" t="s">
        <v>31</v>
      </c>
    </row>
    <row r="420" spans="1:4" ht="49.5">
      <c r="A420" s="2" t="s">
        <v>1689</v>
      </c>
      <c r="B420" s="2" t="s">
        <v>1690</v>
      </c>
      <c r="C420" s="2" t="s">
        <v>221</v>
      </c>
      <c r="D420" s="2" t="s">
        <v>31</v>
      </c>
    </row>
    <row r="421" spans="1:4" ht="49.5">
      <c r="A421" s="2" t="s">
        <v>1731</v>
      </c>
      <c r="B421" s="2" t="s">
        <v>1732</v>
      </c>
      <c r="C421" s="2" t="s">
        <v>221</v>
      </c>
      <c r="D421" s="2" t="s">
        <v>31</v>
      </c>
    </row>
    <row r="422" spans="1:4" ht="49.5">
      <c r="A422" s="2" t="s">
        <v>1733</v>
      </c>
      <c r="B422" s="2" t="s">
        <v>1734</v>
      </c>
      <c r="C422" s="2" t="s">
        <v>221</v>
      </c>
      <c r="D422" s="2" t="s">
        <v>36</v>
      </c>
    </row>
    <row r="423" spans="1:4" ht="49.5">
      <c r="A423" s="2" t="s">
        <v>1735</v>
      </c>
      <c r="B423" s="2" t="s">
        <v>1736</v>
      </c>
      <c r="C423" s="2" t="s">
        <v>221</v>
      </c>
      <c r="D423" s="2" t="s">
        <v>31</v>
      </c>
    </row>
    <row r="424" spans="1:4" ht="49.5">
      <c r="A424" s="2" t="s">
        <v>1737</v>
      </c>
      <c r="B424" s="2" t="s">
        <v>1738</v>
      </c>
      <c r="C424" s="2" t="s">
        <v>221</v>
      </c>
      <c r="D424" s="2" t="s">
        <v>31</v>
      </c>
    </row>
    <row r="425" spans="1:4" ht="49.5">
      <c r="A425" s="2" t="s">
        <v>1739</v>
      </c>
      <c r="B425" s="2" t="s">
        <v>1740</v>
      </c>
      <c r="C425" s="2" t="s">
        <v>221</v>
      </c>
      <c r="D425" s="2" t="s">
        <v>31</v>
      </c>
    </row>
    <row r="426" spans="1:4" ht="49.5">
      <c r="A426" s="2" t="s">
        <v>1741</v>
      </c>
      <c r="B426" s="2" t="s">
        <v>1742</v>
      </c>
      <c r="C426" s="2" t="s">
        <v>221</v>
      </c>
      <c r="D426" s="2" t="s">
        <v>31</v>
      </c>
    </row>
    <row r="427" spans="1:4" ht="49.5">
      <c r="A427" s="2" t="s">
        <v>1743</v>
      </c>
      <c r="B427" s="2" t="s">
        <v>1744</v>
      </c>
      <c r="C427" s="2" t="s">
        <v>221</v>
      </c>
      <c r="D427" s="2" t="s">
        <v>31</v>
      </c>
    </row>
    <row r="428" spans="1:4" ht="49.5">
      <c r="A428" s="2" t="s">
        <v>1745</v>
      </c>
      <c r="B428" s="2" t="s">
        <v>1746</v>
      </c>
      <c r="C428" s="2" t="s">
        <v>221</v>
      </c>
      <c r="D428" s="2" t="s">
        <v>31</v>
      </c>
    </row>
    <row r="429" spans="1:4" ht="49.5">
      <c r="A429" s="2" t="s">
        <v>1747</v>
      </c>
      <c r="B429" s="2" t="s">
        <v>1748</v>
      </c>
      <c r="C429" s="2" t="s">
        <v>221</v>
      </c>
      <c r="D429" s="2" t="s">
        <v>31</v>
      </c>
    </row>
    <row r="430" spans="1:4" ht="49.5">
      <c r="A430" s="2" t="s">
        <v>1749</v>
      </c>
      <c r="B430" s="2" t="s">
        <v>1750</v>
      </c>
      <c r="C430" s="2" t="s">
        <v>221</v>
      </c>
      <c r="D430" s="2" t="s">
        <v>31</v>
      </c>
    </row>
    <row r="431" spans="1:4" ht="49.5">
      <c r="A431" s="2" t="s">
        <v>1751</v>
      </c>
      <c r="B431" s="2" t="s">
        <v>1752</v>
      </c>
      <c r="C431" s="2" t="s">
        <v>221</v>
      </c>
      <c r="D431" s="2" t="s">
        <v>31</v>
      </c>
    </row>
    <row r="432" spans="1:4" ht="49.5">
      <c r="A432" s="2" t="s">
        <v>1753</v>
      </c>
      <c r="B432" s="2" t="s">
        <v>1754</v>
      </c>
      <c r="C432" s="2" t="s">
        <v>221</v>
      </c>
      <c r="D432" s="2" t="s">
        <v>31</v>
      </c>
    </row>
    <row r="433" spans="1:4" ht="66">
      <c r="A433" s="2" t="s">
        <v>150</v>
      </c>
      <c r="B433" s="2" t="s">
        <v>151</v>
      </c>
      <c r="C433" s="2" t="s">
        <v>149</v>
      </c>
      <c r="D433" s="2" t="s">
        <v>36</v>
      </c>
    </row>
    <row r="434" spans="1:4" ht="66">
      <c r="A434" s="2" t="s">
        <v>152</v>
      </c>
      <c r="B434" s="2" t="s">
        <v>153</v>
      </c>
      <c r="C434" s="2" t="s">
        <v>149</v>
      </c>
      <c r="D434" s="2" t="s">
        <v>36</v>
      </c>
    </row>
    <row r="435" spans="1:4" ht="66">
      <c r="A435" s="2" t="s">
        <v>154</v>
      </c>
      <c r="B435" s="2" t="s">
        <v>155</v>
      </c>
      <c r="C435" s="2" t="s">
        <v>149</v>
      </c>
      <c r="D435" s="2" t="s">
        <v>36</v>
      </c>
    </row>
    <row r="436" spans="1:4" ht="66">
      <c r="A436" s="2" t="s">
        <v>156</v>
      </c>
      <c r="B436" s="2" t="s">
        <v>157</v>
      </c>
      <c r="C436" s="2" t="s">
        <v>149</v>
      </c>
      <c r="D436" s="2" t="s">
        <v>34</v>
      </c>
    </row>
    <row r="437" spans="1:4" ht="66">
      <c r="A437" s="2" t="s">
        <v>158</v>
      </c>
      <c r="B437" s="2" t="s">
        <v>159</v>
      </c>
      <c r="C437" s="2" t="s">
        <v>149</v>
      </c>
      <c r="D437" s="2" t="s">
        <v>36</v>
      </c>
    </row>
    <row r="438" spans="1:4" ht="66">
      <c r="A438" s="2" t="s">
        <v>160</v>
      </c>
      <c r="B438" s="2" t="s">
        <v>161</v>
      </c>
      <c r="C438" s="2" t="s">
        <v>149</v>
      </c>
      <c r="D438" s="2" t="s">
        <v>36</v>
      </c>
    </row>
    <row r="439" spans="1:4" ht="66">
      <c r="A439" s="2" t="s">
        <v>162</v>
      </c>
      <c r="B439" s="2" t="s">
        <v>163</v>
      </c>
      <c r="C439" s="2" t="s">
        <v>149</v>
      </c>
      <c r="D439" s="2" t="s">
        <v>30</v>
      </c>
    </row>
    <row r="440" spans="1:4" ht="49.5">
      <c r="A440" s="2" t="s">
        <v>164</v>
      </c>
      <c r="B440" s="2" t="s">
        <v>165</v>
      </c>
      <c r="C440" s="2" t="s">
        <v>149</v>
      </c>
      <c r="D440" s="2" t="s">
        <v>36</v>
      </c>
    </row>
    <row r="441" spans="1:4" ht="49.5">
      <c r="A441" s="2" t="s">
        <v>166</v>
      </c>
      <c r="B441" s="2" t="s">
        <v>167</v>
      </c>
      <c r="C441" s="2" t="s">
        <v>149</v>
      </c>
      <c r="D441" s="2" t="s">
        <v>36</v>
      </c>
    </row>
    <row r="442" spans="1:4" ht="49.5">
      <c r="A442" s="2" t="s">
        <v>168</v>
      </c>
      <c r="B442" s="2" t="s">
        <v>169</v>
      </c>
      <c r="C442" s="2" t="s">
        <v>149</v>
      </c>
      <c r="D442" s="2" t="s">
        <v>34</v>
      </c>
    </row>
    <row r="443" spans="1:4" ht="49.5">
      <c r="A443" s="2" t="s">
        <v>170</v>
      </c>
      <c r="B443" s="2" t="s">
        <v>171</v>
      </c>
      <c r="C443" s="2" t="s">
        <v>149</v>
      </c>
      <c r="D443" s="2" t="s">
        <v>36</v>
      </c>
    </row>
    <row r="444" spans="1:4" ht="49.5">
      <c r="A444" s="2" t="s">
        <v>172</v>
      </c>
      <c r="B444" s="2" t="s">
        <v>173</v>
      </c>
      <c r="C444" s="2" t="s">
        <v>149</v>
      </c>
      <c r="D444" s="2" t="s">
        <v>30</v>
      </c>
    </row>
    <row r="445" spans="1:4" ht="49.5">
      <c r="A445" s="2" t="s">
        <v>174</v>
      </c>
      <c r="B445" s="2" t="s">
        <v>175</v>
      </c>
      <c r="C445" s="2" t="s">
        <v>149</v>
      </c>
      <c r="D445" s="2" t="s">
        <v>36</v>
      </c>
    </row>
    <row r="446" spans="1:4" ht="49.5">
      <c r="A446" s="2" t="s">
        <v>176</v>
      </c>
      <c r="B446" s="2" t="s">
        <v>177</v>
      </c>
      <c r="C446" s="2" t="s">
        <v>149</v>
      </c>
      <c r="D446" s="2" t="s">
        <v>36</v>
      </c>
    </row>
    <row r="447" spans="1:4" ht="49.5">
      <c r="A447" s="2" t="s">
        <v>178</v>
      </c>
      <c r="B447" s="2" t="s">
        <v>179</v>
      </c>
      <c r="C447" s="2" t="s">
        <v>149</v>
      </c>
      <c r="D447" s="2" t="s">
        <v>36</v>
      </c>
    </row>
    <row r="448" spans="1:4" ht="49.5">
      <c r="A448" s="2" t="s">
        <v>180</v>
      </c>
      <c r="B448" s="2" t="s">
        <v>181</v>
      </c>
      <c r="C448" s="2" t="s">
        <v>149</v>
      </c>
      <c r="D448" s="2" t="s">
        <v>36</v>
      </c>
    </row>
    <row r="449" spans="1:4" ht="49.5">
      <c r="A449" s="2" t="s">
        <v>182</v>
      </c>
      <c r="B449" s="2" t="s">
        <v>183</v>
      </c>
      <c r="C449" s="2" t="s">
        <v>149</v>
      </c>
      <c r="D449" s="2" t="s">
        <v>36</v>
      </c>
    </row>
    <row r="450" spans="1:4" ht="49.5">
      <c r="A450" s="2" t="s">
        <v>184</v>
      </c>
      <c r="B450" s="2" t="s">
        <v>185</v>
      </c>
      <c r="C450" s="2" t="s">
        <v>149</v>
      </c>
      <c r="D450" s="2" t="s">
        <v>36</v>
      </c>
    </row>
    <row r="451" spans="1:4" ht="49.5">
      <c r="A451" s="2" t="s">
        <v>186</v>
      </c>
      <c r="B451" s="2" t="s">
        <v>187</v>
      </c>
      <c r="C451" s="2" t="s">
        <v>149</v>
      </c>
      <c r="D451" s="2" t="s">
        <v>36</v>
      </c>
    </row>
    <row r="452" spans="1:4" ht="49.5">
      <c r="A452" s="2" t="s">
        <v>188</v>
      </c>
      <c r="B452" s="2" t="s">
        <v>189</v>
      </c>
      <c r="C452" s="2" t="s">
        <v>149</v>
      </c>
      <c r="D452" s="2" t="s">
        <v>36</v>
      </c>
    </row>
    <row r="453" spans="1:4" ht="49.5">
      <c r="A453" s="2" t="s">
        <v>190</v>
      </c>
      <c r="B453" s="2" t="s">
        <v>191</v>
      </c>
      <c r="C453" s="2" t="s">
        <v>149</v>
      </c>
      <c r="D453" s="2" t="s">
        <v>34</v>
      </c>
    </row>
    <row r="454" spans="1:4" ht="49.5">
      <c r="A454" s="2" t="s">
        <v>192</v>
      </c>
      <c r="B454" s="2" t="s">
        <v>193</v>
      </c>
      <c r="C454" s="2" t="s">
        <v>149</v>
      </c>
      <c r="D454" s="2" t="s">
        <v>36</v>
      </c>
    </row>
    <row r="455" spans="1:4" ht="49.5">
      <c r="A455" s="2" t="s">
        <v>194</v>
      </c>
      <c r="B455" s="2" t="s">
        <v>195</v>
      </c>
      <c r="C455" s="2" t="s">
        <v>149</v>
      </c>
      <c r="D455" s="2" t="s">
        <v>34</v>
      </c>
    </row>
    <row r="456" spans="1:4" ht="49.5">
      <c r="A456" s="2" t="s">
        <v>196</v>
      </c>
      <c r="B456" s="2" t="s">
        <v>197</v>
      </c>
      <c r="C456" s="2" t="s">
        <v>149</v>
      </c>
      <c r="D456" s="2" t="s">
        <v>36</v>
      </c>
    </row>
    <row r="457" spans="1:4" ht="49.5">
      <c r="A457" s="2" t="s">
        <v>198</v>
      </c>
      <c r="B457" s="2" t="s">
        <v>199</v>
      </c>
      <c r="C457" s="2" t="s">
        <v>149</v>
      </c>
      <c r="D457" s="2" t="s">
        <v>36</v>
      </c>
    </row>
    <row r="458" spans="1:4" ht="49.5">
      <c r="A458" s="2" t="s">
        <v>200</v>
      </c>
      <c r="B458" s="2" t="s">
        <v>201</v>
      </c>
      <c r="C458" s="2" t="s">
        <v>149</v>
      </c>
      <c r="D458" s="2" t="s">
        <v>30</v>
      </c>
    </row>
    <row r="459" spans="1:4" ht="66">
      <c r="A459" s="2" t="s">
        <v>202</v>
      </c>
      <c r="B459" s="2" t="s">
        <v>203</v>
      </c>
      <c r="C459" s="2" t="s">
        <v>149</v>
      </c>
      <c r="D459" s="2" t="s">
        <v>36</v>
      </c>
    </row>
    <row r="460" spans="1:4" ht="66">
      <c r="A460" s="2" t="s">
        <v>204</v>
      </c>
      <c r="B460" s="2" t="s">
        <v>205</v>
      </c>
      <c r="C460" s="2" t="s">
        <v>149</v>
      </c>
      <c r="D460" s="2" t="s">
        <v>30</v>
      </c>
    </row>
    <row r="461" spans="1:4" ht="33">
      <c r="A461" s="2" t="s">
        <v>230</v>
      </c>
      <c r="B461" s="2" t="s">
        <v>231</v>
      </c>
      <c r="C461" s="2" t="s">
        <v>39</v>
      </c>
      <c r="D461" s="2" t="s">
        <v>36</v>
      </c>
    </row>
    <row r="462" spans="1:4" ht="33">
      <c r="A462" s="2" t="s">
        <v>232</v>
      </c>
      <c r="B462" s="2" t="s">
        <v>233</v>
      </c>
      <c r="C462" s="2" t="s">
        <v>39</v>
      </c>
      <c r="D462" s="2" t="s">
        <v>31</v>
      </c>
    </row>
    <row r="463" spans="1:4" ht="33">
      <c r="A463" s="2" t="s">
        <v>234</v>
      </c>
      <c r="B463" s="2" t="s">
        <v>235</v>
      </c>
      <c r="C463" s="2" t="s">
        <v>39</v>
      </c>
      <c r="D463" s="2" t="s">
        <v>36</v>
      </c>
    </row>
    <row r="464" spans="1:4" ht="33">
      <c r="A464" s="2" t="s">
        <v>236</v>
      </c>
      <c r="B464" s="2" t="s">
        <v>237</v>
      </c>
      <c r="C464" s="2" t="s">
        <v>39</v>
      </c>
      <c r="D464" s="2" t="s">
        <v>31</v>
      </c>
    </row>
    <row r="465" spans="1:4" ht="33">
      <c r="A465" s="2" t="s">
        <v>238</v>
      </c>
      <c r="B465" s="2" t="s">
        <v>239</v>
      </c>
      <c r="C465" s="2" t="s">
        <v>39</v>
      </c>
      <c r="D465" s="2" t="s">
        <v>31</v>
      </c>
    </row>
    <row r="466" spans="1:4" ht="33">
      <c r="A466" s="2" t="s">
        <v>240</v>
      </c>
      <c r="B466" s="2" t="s">
        <v>241</v>
      </c>
      <c r="C466" s="2" t="s">
        <v>39</v>
      </c>
      <c r="D466" s="2" t="s">
        <v>36</v>
      </c>
    </row>
    <row r="467" spans="1:4" ht="33">
      <c r="A467" s="2" t="s">
        <v>242</v>
      </c>
      <c r="B467" s="2" t="s">
        <v>243</v>
      </c>
      <c r="C467" s="2" t="s">
        <v>39</v>
      </c>
      <c r="D467" s="2" t="s">
        <v>34</v>
      </c>
    </row>
    <row r="468" spans="1:4" ht="49.5">
      <c r="A468" s="2" t="s">
        <v>256</v>
      </c>
      <c r="B468" s="2" t="s">
        <v>257</v>
      </c>
      <c r="C468" s="2" t="s">
        <v>39</v>
      </c>
      <c r="D468" s="2" t="s">
        <v>31</v>
      </c>
    </row>
    <row r="469" spans="1:4" ht="49.5">
      <c r="A469" s="2" t="s">
        <v>258</v>
      </c>
      <c r="B469" s="2" t="s">
        <v>259</v>
      </c>
      <c r="C469" s="2" t="s">
        <v>39</v>
      </c>
      <c r="D469" s="2" t="s">
        <v>31</v>
      </c>
    </row>
    <row r="470" spans="1:4" ht="49.5">
      <c r="A470" s="2" t="s">
        <v>260</v>
      </c>
      <c r="B470" s="2" t="s">
        <v>261</v>
      </c>
      <c r="C470" s="2" t="s">
        <v>39</v>
      </c>
      <c r="D470" s="2" t="s">
        <v>31</v>
      </c>
    </row>
    <row r="471" spans="1:4" ht="49.5">
      <c r="A471" s="2" t="s">
        <v>262</v>
      </c>
      <c r="B471" s="2" t="s">
        <v>263</v>
      </c>
      <c r="C471" s="2" t="s">
        <v>39</v>
      </c>
      <c r="D471" s="2" t="s">
        <v>31</v>
      </c>
    </row>
    <row r="472" spans="1:4" ht="49.5">
      <c r="A472" s="2" t="s">
        <v>269</v>
      </c>
      <c r="B472" s="2" t="s">
        <v>270</v>
      </c>
      <c r="C472" s="2" t="s">
        <v>39</v>
      </c>
      <c r="D472" s="2" t="s">
        <v>31</v>
      </c>
    </row>
    <row r="473" spans="1:4" ht="49.5">
      <c r="A473" s="2" t="s">
        <v>271</v>
      </c>
      <c r="B473" s="2" t="s">
        <v>272</v>
      </c>
      <c r="C473" s="2" t="s">
        <v>39</v>
      </c>
      <c r="D473" s="2" t="s">
        <v>31</v>
      </c>
    </row>
    <row r="474" spans="1:4" ht="49.5">
      <c r="A474" s="2" t="s">
        <v>273</v>
      </c>
      <c r="B474" s="2" t="s">
        <v>274</v>
      </c>
      <c r="C474" s="2" t="s">
        <v>39</v>
      </c>
      <c r="D474" s="2" t="s">
        <v>31</v>
      </c>
    </row>
    <row r="475" spans="1:4" ht="49.5">
      <c r="A475" s="2" t="s">
        <v>275</v>
      </c>
      <c r="B475" s="2" t="s">
        <v>276</v>
      </c>
      <c r="C475" s="2" t="s">
        <v>39</v>
      </c>
      <c r="D475" s="2" t="s">
        <v>31</v>
      </c>
    </row>
    <row r="476" spans="1:4" ht="49.5">
      <c r="A476" s="2" t="s">
        <v>295</v>
      </c>
      <c r="B476" s="2" t="s">
        <v>296</v>
      </c>
      <c r="C476" s="2" t="s">
        <v>39</v>
      </c>
      <c r="D476" s="2" t="s">
        <v>31</v>
      </c>
    </row>
    <row r="477" spans="1:4" ht="49.5">
      <c r="A477" s="2" t="s">
        <v>303</v>
      </c>
      <c r="B477" s="2" t="s">
        <v>304</v>
      </c>
      <c r="C477" s="2" t="s">
        <v>39</v>
      </c>
      <c r="D477" s="2" t="s">
        <v>31</v>
      </c>
    </row>
    <row r="478" spans="1:4" ht="49.5">
      <c r="A478" s="2" t="s">
        <v>311</v>
      </c>
      <c r="B478" s="2" t="s">
        <v>312</v>
      </c>
      <c r="C478" s="2" t="s">
        <v>39</v>
      </c>
      <c r="D478" s="2" t="s">
        <v>31</v>
      </c>
    </row>
    <row r="479" spans="1:4" ht="49.5">
      <c r="A479" s="2" t="s">
        <v>317</v>
      </c>
      <c r="B479" s="2" t="s">
        <v>318</v>
      </c>
      <c r="C479" s="2" t="s">
        <v>39</v>
      </c>
      <c r="D479" s="2" t="s">
        <v>31</v>
      </c>
    </row>
    <row r="480" spans="1:4" ht="49.5">
      <c r="A480" s="2" t="s">
        <v>321</v>
      </c>
      <c r="B480" s="2" t="s">
        <v>322</v>
      </c>
      <c r="C480" s="2" t="s">
        <v>39</v>
      </c>
      <c r="D480" s="2" t="s">
        <v>31</v>
      </c>
    </row>
    <row r="481" spans="1:4" ht="49.5">
      <c r="A481" s="2" t="s">
        <v>323</v>
      </c>
      <c r="B481" s="2" t="s">
        <v>324</v>
      </c>
      <c r="C481" s="2" t="s">
        <v>39</v>
      </c>
      <c r="D481" s="2" t="s">
        <v>31</v>
      </c>
    </row>
    <row r="482" spans="1:4" ht="49.5">
      <c r="A482" s="2" t="s">
        <v>325</v>
      </c>
      <c r="B482" s="2" t="s">
        <v>326</v>
      </c>
      <c r="C482" s="2" t="s">
        <v>39</v>
      </c>
      <c r="D482" s="2" t="s">
        <v>31</v>
      </c>
    </row>
    <row r="483" spans="1:4" ht="49.5">
      <c r="A483" s="2" t="s">
        <v>329</v>
      </c>
      <c r="B483" s="2" t="s">
        <v>330</v>
      </c>
      <c r="C483" s="2" t="s">
        <v>39</v>
      </c>
      <c r="D483" s="2" t="s">
        <v>31</v>
      </c>
    </row>
    <row r="484" spans="1:4" ht="49.5">
      <c r="A484" s="2" t="s">
        <v>331</v>
      </c>
      <c r="B484" s="2" t="s">
        <v>332</v>
      </c>
      <c r="C484" s="2" t="s">
        <v>39</v>
      </c>
      <c r="D484" s="2" t="s">
        <v>31</v>
      </c>
    </row>
    <row r="485" spans="1:4" ht="49.5">
      <c r="A485" s="2" t="s">
        <v>333</v>
      </c>
      <c r="B485" s="2" t="s">
        <v>334</v>
      </c>
      <c r="C485" s="2" t="s">
        <v>39</v>
      </c>
      <c r="D485" s="2" t="s">
        <v>31</v>
      </c>
    </row>
    <row r="486" spans="1:4" ht="49.5">
      <c r="A486" s="2" t="s">
        <v>339</v>
      </c>
      <c r="B486" s="2" t="s">
        <v>340</v>
      </c>
      <c r="C486" s="2" t="s">
        <v>39</v>
      </c>
      <c r="D486" s="2" t="s">
        <v>31</v>
      </c>
    </row>
    <row r="487" spans="1:4" ht="49.5">
      <c r="A487" s="2" t="s">
        <v>345</v>
      </c>
      <c r="B487" s="2" t="s">
        <v>346</v>
      </c>
      <c r="C487" s="2" t="s">
        <v>39</v>
      </c>
      <c r="D487" s="2" t="s">
        <v>31</v>
      </c>
    </row>
    <row r="488" spans="1:4" ht="49.5">
      <c r="A488" s="2" t="s">
        <v>379</v>
      </c>
      <c r="B488" s="2" t="s">
        <v>380</v>
      </c>
      <c r="C488" s="2" t="s">
        <v>39</v>
      </c>
      <c r="D488" s="2" t="s">
        <v>34</v>
      </c>
    </row>
    <row r="489" spans="1:4" ht="49.5">
      <c r="A489" s="2" t="s">
        <v>391</v>
      </c>
      <c r="B489" s="2" t="s">
        <v>392</v>
      </c>
      <c r="C489" s="2" t="s">
        <v>39</v>
      </c>
      <c r="D489" s="2" t="s">
        <v>34</v>
      </c>
    </row>
    <row r="490" spans="1:4" ht="49.5">
      <c r="A490" s="2" t="s">
        <v>405</v>
      </c>
      <c r="B490" s="2" t="s">
        <v>406</v>
      </c>
      <c r="C490" s="2" t="s">
        <v>39</v>
      </c>
      <c r="D490" s="2" t="s">
        <v>31</v>
      </c>
    </row>
    <row r="491" spans="1:4" ht="49.5">
      <c r="A491" s="2" t="s">
        <v>409</v>
      </c>
      <c r="B491" s="2" t="s">
        <v>410</v>
      </c>
      <c r="C491" s="2" t="s">
        <v>39</v>
      </c>
      <c r="D491" s="2" t="s">
        <v>31</v>
      </c>
    </row>
    <row r="492" spans="1:4" ht="49.5">
      <c r="A492" s="2" t="s">
        <v>413</v>
      </c>
      <c r="B492" s="2" t="s">
        <v>414</v>
      </c>
      <c r="C492" s="2" t="s">
        <v>39</v>
      </c>
      <c r="D492" s="2" t="s">
        <v>31</v>
      </c>
    </row>
    <row r="493" spans="1:4" ht="49.5">
      <c r="A493" s="2" t="s">
        <v>415</v>
      </c>
      <c r="B493" s="2" t="s">
        <v>416</v>
      </c>
      <c r="C493" s="2" t="s">
        <v>39</v>
      </c>
      <c r="D493" s="2" t="s">
        <v>31</v>
      </c>
    </row>
    <row r="494" spans="1:4" ht="33">
      <c r="A494" s="2" t="s">
        <v>421</v>
      </c>
      <c r="B494" s="2" t="s">
        <v>422</v>
      </c>
      <c r="C494" s="2" t="s">
        <v>39</v>
      </c>
      <c r="D494" s="2" t="s">
        <v>34</v>
      </c>
    </row>
    <row r="495" spans="1:4" ht="49.5">
      <c r="A495" s="2" t="s">
        <v>427</v>
      </c>
      <c r="B495" s="2" t="s">
        <v>428</v>
      </c>
      <c r="C495" s="2" t="s">
        <v>39</v>
      </c>
      <c r="D495" s="2" t="s">
        <v>31</v>
      </c>
    </row>
    <row r="496" spans="1:4" ht="49.5">
      <c r="A496" s="2" t="s">
        <v>429</v>
      </c>
      <c r="B496" s="2" t="s">
        <v>430</v>
      </c>
      <c r="C496" s="2" t="s">
        <v>39</v>
      </c>
      <c r="D496" s="2" t="s">
        <v>31</v>
      </c>
    </row>
    <row r="497" spans="1:4" ht="49.5">
      <c r="A497" s="2" t="s">
        <v>443</v>
      </c>
      <c r="B497" s="2" t="s">
        <v>444</v>
      </c>
      <c r="C497" s="2" t="s">
        <v>39</v>
      </c>
      <c r="D497" s="2" t="s">
        <v>31</v>
      </c>
    </row>
    <row r="498" spans="1:4" ht="49.5">
      <c r="A498" s="2" t="s">
        <v>447</v>
      </c>
      <c r="B498" s="2" t="s">
        <v>448</v>
      </c>
      <c r="C498" s="2" t="s">
        <v>39</v>
      </c>
      <c r="D498" s="2" t="s">
        <v>31</v>
      </c>
    </row>
    <row r="499" spans="1:4" ht="49.5">
      <c r="A499" s="2" t="s">
        <v>451</v>
      </c>
      <c r="B499" s="2" t="s">
        <v>452</v>
      </c>
      <c r="C499" s="2" t="s">
        <v>39</v>
      </c>
      <c r="D499" s="2" t="s">
        <v>31</v>
      </c>
    </row>
    <row r="500" spans="1:4" ht="49.5">
      <c r="A500" s="2" t="s">
        <v>459</v>
      </c>
      <c r="B500" s="2" t="s">
        <v>460</v>
      </c>
      <c r="C500" s="2" t="s">
        <v>39</v>
      </c>
      <c r="D500" s="2" t="s">
        <v>31</v>
      </c>
    </row>
    <row r="501" spans="1:4" ht="49.5">
      <c r="A501" s="2" t="s">
        <v>463</v>
      </c>
      <c r="B501" s="2" t="s">
        <v>464</v>
      </c>
      <c r="C501" s="2" t="s">
        <v>39</v>
      </c>
      <c r="D501" s="2" t="s">
        <v>36</v>
      </c>
    </row>
    <row r="502" spans="1:4" ht="49.5">
      <c r="A502" s="2" t="s">
        <v>475</v>
      </c>
      <c r="B502" s="2" t="s">
        <v>476</v>
      </c>
      <c r="C502" s="2" t="s">
        <v>39</v>
      </c>
      <c r="D502" s="2" t="s">
        <v>31</v>
      </c>
    </row>
    <row r="503" spans="1:4" ht="49.5">
      <c r="A503" s="2" t="s">
        <v>523</v>
      </c>
      <c r="B503" s="2" t="s">
        <v>524</v>
      </c>
      <c r="C503" s="2" t="s">
        <v>39</v>
      </c>
      <c r="D503" s="2" t="s">
        <v>36</v>
      </c>
    </row>
    <row r="504" spans="1:4" ht="49.5">
      <c r="A504" s="2" t="s">
        <v>525</v>
      </c>
      <c r="B504" s="2" t="s">
        <v>526</v>
      </c>
      <c r="C504" s="2" t="s">
        <v>39</v>
      </c>
      <c r="D504" s="2" t="s">
        <v>31</v>
      </c>
    </row>
    <row r="505" spans="1:4" ht="49.5">
      <c r="A505" s="2" t="s">
        <v>531</v>
      </c>
      <c r="B505" s="2" t="s">
        <v>532</v>
      </c>
      <c r="C505" s="2" t="s">
        <v>39</v>
      </c>
      <c r="D505" s="2" t="s">
        <v>31</v>
      </c>
    </row>
    <row r="506" spans="1:4" ht="49.5">
      <c r="A506" s="2" t="s">
        <v>533</v>
      </c>
      <c r="B506" s="2" t="s">
        <v>534</v>
      </c>
      <c r="C506" s="2" t="s">
        <v>39</v>
      </c>
      <c r="D506" s="2" t="s">
        <v>31</v>
      </c>
    </row>
    <row r="507" spans="1:4" ht="49.5">
      <c r="A507" s="2" t="s">
        <v>535</v>
      </c>
      <c r="B507" s="2" t="s">
        <v>536</v>
      </c>
      <c r="C507" s="2" t="s">
        <v>39</v>
      </c>
      <c r="D507" s="2" t="s">
        <v>31</v>
      </c>
    </row>
    <row r="508" spans="1:4" ht="49.5">
      <c r="A508" s="2" t="s">
        <v>537</v>
      </c>
      <c r="B508" s="2" t="s">
        <v>538</v>
      </c>
      <c r="C508" s="2" t="s">
        <v>39</v>
      </c>
      <c r="D508" s="2" t="s">
        <v>34</v>
      </c>
    </row>
    <row r="509" spans="1:4" ht="49.5">
      <c r="A509" s="2" t="s">
        <v>541</v>
      </c>
      <c r="B509" s="2" t="s">
        <v>542</v>
      </c>
      <c r="C509" s="2" t="s">
        <v>39</v>
      </c>
      <c r="D509" s="2" t="s">
        <v>31</v>
      </c>
    </row>
    <row r="510" spans="1:4" ht="49.5">
      <c r="A510" s="2" t="s">
        <v>547</v>
      </c>
      <c r="B510" s="2" t="s">
        <v>548</v>
      </c>
      <c r="C510" s="2" t="s">
        <v>39</v>
      </c>
      <c r="D510" s="2" t="s">
        <v>31</v>
      </c>
    </row>
    <row r="511" spans="1:4" ht="49.5">
      <c r="A511" s="2" t="s">
        <v>551</v>
      </c>
      <c r="B511" s="2" t="s">
        <v>552</v>
      </c>
      <c r="C511" s="2" t="s">
        <v>39</v>
      </c>
      <c r="D511" s="2" t="s">
        <v>31</v>
      </c>
    </row>
    <row r="512" spans="1:4" ht="49.5">
      <c r="A512" s="2" t="s">
        <v>553</v>
      </c>
      <c r="B512" s="2" t="s">
        <v>554</v>
      </c>
      <c r="C512" s="2" t="s">
        <v>39</v>
      </c>
      <c r="D512" s="2" t="s">
        <v>31</v>
      </c>
    </row>
    <row r="513" spans="1:4" ht="49.5">
      <c r="A513" s="2" t="s">
        <v>555</v>
      </c>
      <c r="B513" s="2" t="s">
        <v>556</v>
      </c>
      <c r="C513" s="2" t="s">
        <v>39</v>
      </c>
      <c r="D513" s="2" t="s">
        <v>31</v>
      </c>
    </row>
    <row r="514" spans="1:4" ht="33">
      <c r="A514" s="2" t="s">
        <v>563</v>
      </c>
      <c r="B514" s="2" t="s">
        <v>564</v>
      </c>
      <c r="C514" s="2" t="s">
        <v>39</v>
      </c>
      <c r="D514" s="2" t="s">
        <v>31</v>
      </c>
    </row>
    <row r="515" spans="1:4" ht="49.5">
      <c r="A515" s="2" t="s">
        <v>565</v>
      </c>
      <c r="B515" s="2" t="s">
        <v>566</v>
      </c>
      <c r="C515" s="2" t="s">
        <v>39</v>
      </c>
      <c r="D515" s="2" t="s">
        <v>31</v>
      </c>
    </row>
    <row r="516" spans="1:4" ht="49.5">
      <c r="A516" s="2" t="s">
        <v>567</v>
      </c>
      <c r="B516" s="2" t="s">
        <v>568</v>
      </c>
      <c r="C516" s="2" t="s">
        <v>39</v>
      </c>
      <c r="D516" s="2" t="s">
        <v>31</v>
      </c>
    </row>
    <row r="517" spans="1:4" ht="49.5">
      <c r="A517" s="2" t="s">
        <v>569</v>
      </c>
      <c r="B517" s="2" t="s">
        <v>570</v>
      </c>
      <c r="C517" s="2" t="s">
        <v>39</v>
      </c>
      <c r="D517" s="2" t="s">
        <v>31</v>
      </c>
    </row>
    <row r="518" spans="1:4" ht="49.5">
      <c r="A518" s="2" t="s">
        <v>571</v>
      </c>
      <c r="B518" s="2" t="s">
        <v>572</v>
      </c>
      <c r="C518" s="2" t="s">
        <v>39</v>
      </c>
      <c r="D518" s="2" t="s">
        <v>31</v>
      </c>
    </row>
    <row r="519" spans="1:4" ht="49.5">
      <c r="A519" s="2" t="s">
        <v>587</v>
      </c>
      <c r="B519" s="2" t="s">
        <v>588</v>
      </c>
      <c r="C519" s="2" t="s">
        <v>39</v>
      </c>
      <c r="D519" s="2" t="s">
        <v>31</v>
      </c>
    </row>
    <row r="520" spans="1:4" ht="82.5">
      <c r="A520" s="2" t="s">
        <v>615</v>
      </c>
      <c r="B520" s="2" t="s">
        <v>616</v>
      </c>
      <c r="C520" s="2" t="s">
        <v>39</v>
      </c>
      <c r="D520" s="2" t="s">
        <v>31</v>
      </c>
    </row>
    <row r="521" spans="1:4" ht="82.5">
      <c r="A521" s="2" t="s">
        <v>617</v>
      </c>
      <c r="B521" s="2" t="s">
        <v>618</v>
      </c>
      <c r="C521" s="2" t="s">
        <v>39</v>
      </c>
      <c r="D521" s="2" t="s">
        <v>31</v>
      </c>
    </row>
    <row r="522" spans="1:4" ht="82.5">
      <c r="A522" s="2" t="s">
        <v>619</v>
      </c>
      <c r="B522" s="2" t="s">
        <v>620</v>
      </c>
      <c r="C522" s="2" t="s">
        <v>39</v>
      </c>
      <c r="D522" s="2" t="s">
        <v>31</v>
      </c>
    </row>
    <row r="523" spans="1:4" ht="82.5">
      <c r="A523" s="2" t="s">
        <v>621</v>
      </c>
      <c r="B523" s="2" t="s">
        <v>622</v>
      </c>
      <c r="C523" s="2" t="s">
        <v>39</v>
      </c>
      <c r="D523" s="2" t="s">
        <v>31</v>
      </c>
    </row>
    <row r="524" spans="1:4" ht="66">
      <c r="A524" s="2" t="s">
        <v>627</v>
      </c>
      <c r="B524" s="2" t="s">
        <v>628</v>
      </c>
      <c r="C524" s="2" t="s">
        <v>39</v>
      </c>
      <c r="D524" s="2" t="s">
        <v>31</v>
      </c>
    </row>
    <row r="525" spans="1:4" ht="66">
      <c r="A525" s="2" t="s">
        <v>631</v>
      </c>
      <c r="B525" s="2" t="s">
        <v>632</v>
      </c>
      <c r="C525" s="2" t="s">
        <v>39</v>
      </c>
      <c r="D525" s="2" t="s">
        <v>34</v>
      </c>
    </row>
    <row r="526" spans="1:4" ht="66">
      <c r="A526" s="2" t="s">
        <v>639</v>
      </c>
      <c r="B526" s="2" t="s">
        <v>640</v>
      </c>
      <c r="C526" s="2" t="s">
        <v>39</v>
      </c>
      <c r="D526" s="2" t="s">
        <v>31</v>
      </c>
    </row>
    <row r="527" spans="1:4" ht="66">
      <c r="A527" s="2" t="s">
        <v>641</v>
      </c>
      <c r="B527" s="2" t="s">
        <v>642</v>
      </c>
      <c r="C527" s="2" t="s">
        <v>39</v>
      </c>
      <c r="D527" s="2" t="s">
        <v>31</v>
      </c>
    </row>
    <row r="528" spans="1:4" ht="66">
      <c r="A528" s="2" t="s">
        <v>663</v>
      </c>
      <c r="B528" s="2" t="s">
        <v>664</v>
      </c>
      <c r="C528" s="2" t="s">
        <v>39</v>
      </c>
      <c r="D528" s="2" t="s">
        <v>31</v>
      </c>
    </row>
    <row r="529" spans="1:4" ht="49.5">
      <c r="A529" s="2" t="s">
        <v>677</v>
      </c>
      <c r="B529" s="2" t="s">
        <v>678</v>
      </c>
      <c r="C529" s="2" t="s">
        <v>39</v>
      </c>
      <c r="D529" s="2" t="s">
        <v>31</v>
      </c>
    </row>
    <row r="530" spans="1:4" ht="49.5">
      <c r="A530" s="2" t="s">
        <v>679</v>
      </c>
      <c r="B530" s="2" t="s">
        <v>680</v>
      </c>
      <c r="C530" s="2" t="s">
        <v>39</v>
      </c>
      <c r="D530" s="2" t="s">
        <v>31</v>
      </c>
    </row>
    <row r="531" spans="1:4" ht="33">
      <c r="A531" s="2" t="s">
        <v>683</v>
      </c>
      <c r="B531" s="2" t="s">
        <v>684</v>
      </c>
      <c r="C531" s="2" t="s">
        <v>39</v>
      </c>
      <c r="D531" s="2" t="s">
        <v>34</v>
      </c>
    </row>
    <row r="532" spans="1:4" ht="49.5">
      <c r="A532" s="2" t="s">
        <v>701</v>
      </c>
      <c r="B532" s="2" t="s">
        <v>702</v>
      </c>
      <c r="C532" s="2" t="s">
        <v>39</v>
      </c>
      <c r="D532" s="2" t="s">
        <v>31</v>
      </c>
    </row>
    <row r="533" spans="1:4" ht="49.5">
      <c r="A533" s="2" t="s">
        <v>703</v>
      </c>
      <c r="B533" s="2" t="s">
        <v>704</v>
      </c>
      <c r="C533" s="2" t="s">
        <v>39</v>
      </c>
      <c r="D533" s="2" t="s">
        <v>31</v>
      </c>
    </row>
    <row r="534" spans="1:4" ht="49.5">
      <c r="A534" s="2" t="s">
        <v>705</v>
      </c>
      <c r="B534" s="2" t="s">
        <v>706</v>
      </c>
      <c r="C534" s="2" t="s">
        <v>39</v>
      </c>
      <c r="D534" s="2" t="s">
        <v>31</v>
      </c>
    </row>
    <row r="535" spans="1:4" ht="33">
      <c r="A535" s="2" t="s">
        <v>757</v>
      </c>
      <c r="B535" s="2" t="s">
        <v>758</v>
      </c>
      <c r="C535" s="2" t="s">
        <v>39</v>
      </c>
      <c r="D535" s="2" t="s">
        <v>34</v>
      </c>
    </row>
    <row r="536" spans="1:4" ht="49.5">
      <c r="A536" s="2" t="s">
        <v>759</v>
      </c>
      <c r="B536" s="2" t="s">
        <v>760</v>
      </c>
      <c r="C536" s="2" t="s">
        <v>39</v>
      </c>
      <c r="D536" s="2" t="s">
        <v>31</v>
      </c>
    </row>
    <row r="537" spans="1:4" ht="33">
      <c r="A537" s="2" t="s">
        <v>761</v>
      </c>
      <c r="B537" s="2" t="s">
        <v>762</v>
      </c>
      <c r="C537" s="2" t="s">
        <v>39</v>
      </c>
      <c r="D537" s="2" t="s">
        <v>31</v>
      </c>
    </row>
    <row r="538" spans="1:4" ht="33">
      <c r="A538" s="2" t="s">
        <v>763</v>
      </c>
      <c r="B538" s="2" t="s">
        <v>764</v>
      </c>
      <c r="C538" s="2" t="s">
        <v>39</v>
      </c>
      <c r="D538" s="2" t="s">
        <v>31</v>
      </c>
    </row>
    <row r="539" spans="1:4" ht="33">
      <c r="A539" s="2" t="s">
        <v>765</v>
      </c>
      <c r="B539" s="2" t="s">
        <v>766</v>
      </c>
      <c r="C539" s="2" t="s">
        <v>39</v>
      </c>
      <c r="D539" s="2" t="s">
        <v>34</v>
      </c>
    </row>
    <row r="540" spans="1:4" ht="49.5">
      <c r="A540" s="2" t="s">
        <v>767</v>
      </c>
      <c r="B540" s="2" t="s">
        <v>768</v>
      </c>
      <c r="C540" s="2" t="s">
        <v>39</v>
      </c>
      <c r="D540" s="2" t="s">
        <v>34</v>
      </c>
    </row>
    <row r="541" spans="1:4" ht="33">
      <c r="A541" s="2" t="s">
        <v>769</v>
      </c>
      <c r="B541" s="2" t="s">
        <v>770</v>
      </c>
      <c r="C541" s="2" t="s">
        <v>39</v>
      </c>
      <c r="D541" s="2" t="s">
        <v>31</v>
      </c>
    </row>
    <row r="542" spans="1:4" ht="33">
      <c r="A542" s="2" t="s">
        <v>771</v>
      </c>
      <c r="B542" s="2" t="s">
        <v>772</v>
      </c>
      <c r="C542" s="2" t="s">
        <v>39</v>
      </c>
      <c r="D542" s="2" t="s">
        <v>34</v>
      </c>
    </row>
    <row r="543" spans="1:4" ht="33">
      <c r="A543" s="2" t="s">
        <v>773</v>
      </c>
      <c r="B543" s="2" t="s">
        <v>774</v>
      </c>
      <c r="C543" s="2" t="s">
        <v>39</v>
      </c>
      <c r="D543" s="2" t="s">
        <v>31</v>
      </c>
    </row>
    <row r="544" spans="1:4" ht="33">
      <c r="A544" s="2" t="s">
        <v>775</v>
      </c>
      <c r="B544" s="2" t="s">
        <v>776</v>
      </c>
      <c r="C544" s="2" t="s">
        <v>39</v>
      </c>
      <c r="D544" s="2" t="s">
        <v>31</v>
      </c>
    </row>
    <row r="545" spans="1:4" ht="33">
      <c r="A545" s="2" t="s">
        <v>777</v>
      </c>
      <c r="B545" s="2" t="s">
        <v>778</v>
      </c>
      <c r="C545" s="2" t="s">
        <v>39</v>
      </c>
      <c r="D545" s="2" t="s">
        <v>31</v>
      </c>
    </row>
    <row r="546" spans="1:4" ht="49.5">
      <c r="A546" s="2" t="s">
        <v>779</v>
      </c>
      <c r="B546" s="2" t="s">
        <v>780</v>
      </c>
      <c r="C546" s="2" t="s">
        <v>39</v>
      </c>
      <c r="D546" s="2" t="s">
        <v>31</v>
      </c>
    </row>
    <row r="547" spans="1:4" ht="49.5">
      <c r="A547" s="2" t="s">
        <v>781</v>
      </c>
      <c r="B547" s="2" t="s">
        <v>782</v>
      </c>
      <c r="C547" s="2" t="s">
        <v>39</v>
      </c>
      <c r="D547" s="2" t="s">
        <v>31</v>
      </c>
    </row>
    <row r="548" spans="1:4" ht="33">
      <c r="A548" s="2" t="s">
        <v>783</v>
      </c>
      <c r="B548" s="2" t="s">
        <v>784</v>
      </c>
      <c r="C548" s="2" t="s">
        <v>39</v>
      </c>
      <c r="D548" s="2" t="s">
        <v>31</v>
      </c>
    </row>
    <row r="549" spans="1:4" ht="49.5">
      <c r="A549" s="2" t="s">
        <v>785</v>
      </c>
      <c r="B549" s="2" t="s">
        <v>786</v>
      </c>
      <c r="C549" s="2" t="s">
        <v>39</v>
      </c>
      <c r="D549" s="2" t="s">
        <v>31</v>
      </c>
    </row>
    <row r="550" spans="1:4" ht="33">
      <c r="A550" s="2" t="s">
        <v>789</v>
      </c>
      <c r="B550" s="2" t="s">
        <v>790</v>
      </c>
      <c r="C550" s="2" t="s">
        <v>39</v>
      </c>
      <c r="D550" s="2" t="s">
        <v>34</v>
      </c>
    </row>
    <row r="551" spans="1:4" ht="49.5">
      <c r="A551" s="2" t="s">
        <v>795</v>
      </c>
      <c r="B551" s="2" t="s">
        <v>796</v>
      </c>
      <c r="C551" s="2" t="s">
        <v>39</v>
      </c>
      <c r="D551" s="2" t="s">
        <v>31</v>
      </c>
    </row>
    <row r="552" spans="1:4" ht="66">
      <c r="A552" s="2" t="s">
        <v>797</v>
      </c>
      <c r="B552" s="2" t="s">
        <v>798</v>
      </c>
      <c r="C552" s="2" t="s">
        <v>39</v>
      </c>
      <c r="D552" s="2" t="s">
        <v>31</v>
      </c>
    </row>
    <row r="553" spans="1:4" ht="66">
      <c r="A553" s="2" t="s">
        <v>799</v>
      </c>
      <c r="B553" s="2" t="s">
        <v>800</v>
      </c>
      <c r="C553" s="2" t="s">
        <v>39</v>
      </c>
      <c r="D553" s="2" t="s">
        <v>31</v>
      </c>
    </row>
    <row r="554" spans="1:4" ht="66">
      <c r="A554" s="2" t="s">
        <v>801</v>
      </c>
      <c r="B554" s="2" t="s">
        <v>802</v>
      </c>
      <c r="C554" s="2" t="s">
        <v>39</v>
      </c>
      <c r="D554" s="2" t="s">
        <v>31</v>
      </c>
    </row>
    <row r="555" spans="1:4" ht="66">
      <c r="A555" s="2" t="s">
        <v>819</v>
      </c>
      <c r="B555" s="2" t="s">
        <v>820</v>
      </c>
      <c r="C555" s="2" t="s">
        <v>39</v>
      </c>
      <c r="D555" s="2" t="s">
        <v>31</v>
      </c>
    </row>
    <row r="556" spans="1:4" ht="66">
      <c r="A556" s="2" t="s">
        <v>821</v>
      </c>
      <c r="B556" s="2" t="s">
        <v>822</v>
      </c>
      <c r="C556" s="2" t="s">
        <v>39</v>
      </c>
      <c r="D556" s="2" t="s">
        <v>31</v>
      </c>
    </row>
    <row r="557" spans="1:4" ht="66">
      <c r="A557" s="2" t="s">
        <v>825</v>
      </c>
      <c r="B557" s="2" t="s">
        <v>826</v>
      </c>
      <c r="C557" s="2" t="s">
        <v>39</v>
      </c>
      <c r="D557" s="2" t="s">
        <v>31</v>
      </c>
    </row>
    <row r="558" spans="1:4" ht="66">
      <c r="A558" s="2" t="s">
        <v>827</v>
      </c>
      <c r="B558" s="2" t="s">
        <v>828</v>
      </c>
      <c r="C558" s="2" t="s">
        <v>39</v>
      </c>
      <c r="D558" s="2" t="s">
        <v>31</v>
      </c>
    </row>
    <row r="559" spans="1:4" ht="66">
      <c r="A559" s="2" t="s">
        <v>829</v>
      </c>
      <c r="B559" s="2" t="s">
        <v>830</v>
      </c>
      <c r="C559" s="2" t="s">
        <v>39</v>
      </c>
      <c r="D559" s="2" t="s">
        <v>31</v>
      </c>
    </row>
    <row r="560" spans="1:4" ht="66">
      <c r="A560" s="2" t="s">
        <v>845</v>
      </c>
      <c r="B560" s="2" t="s">
        <v>846</v>
      </c>
      <c r="C560" s="2" t="s">
        <v>39</v>
      </c>
      <c r="D560" s="2" t="s">
        <v>31</v>
      </c>
    </row>
    <row r="561" spans="1:4" ht="66">
      <c r="A561" s="2" t="s">
        <v>847</v>
      </c>
      <c r="B561" s="2" t="s">
        <v>848</v>
      </c>
      <c r="C561" s="2" t="s">
        <v>39</v>
      </c>
      <c r="D561" s="2" t="s">
        <v>31</v>
      </c>
    </row>
    <row r="562" spans="1:4" ht="66">
      <c r="A562" s="2" t="s">
        <v>849</v>
      </c>
      <c r="B562" s="2" t="s">
        <v>850</v>
      </c>
      <c r="C562" s="2" t="s">
        <v>39</v>
      </c>
      <c r="D562" s="2" t="s">
        <v>31</v>
      </c>
    </row>
    <row r="563" spans="1:4" ht="66">
      <c r="A563" s="2" t="s">
        <v>851</v>
      </c>
      <c r="B563" s="2" t="s">
        <v>852</v>
      </c>
      <c r="C563" s="2" t="s">
        <v>39</v>
      </c>
      <c r="D563" s="2" t="s">
        <v>31</v>
      </c>
    </row>
    <row r="564" spans="1:4" ht="66">
      <c r="A564" s="2" t="s">
        <v>853</v>
      </c>
      <c r="B564" s="2" t="s">
        <v>854</v>
      </c>
      <c r="C564" s="2" t="s">
        <v>39</v>
      </c>
      <c r="D564" s="2" t="s">
        <v>31</v>
      </c>
    </row>
    <row r="565" spans="1:4" ht="66">
      <c r="A565" s="2" t="s">
        <v>869</v>
      </c>
      <c r="B565" s="2" t="s">
        <v>870</v>
      </c>
      <c r="C565" s="2" t="s">
        <v>39</v>
      </c>
      <c r="D565" s="2" t="s">
        <v>31</v>
      </c>
    </row>
    <row r="566" spans="1:4" ht="66">
      <c r="A566" s="2" t="s">
        <v>871</v>
      </c>
      <c r="B566" s="2" t="s">
        <v>872</v>
      </c>
      <c r="C566" s="2" t="s">
        <v>39</v>
      </c>
      <c r="D566" s="2" t="s">
        <v>31</v>
      </c>
    </row>
    <row r="567" spans="1:4" ht="66">
      <c r="A567" s="2" t="s">
        <v>873</v>
      </c>
      <c r="B567" s="2" t="s">
        <v>874</v>
      </c>
      <c r="C567" s="2" t="s">
        <v>39</v>
      </c>
      <c r="D567" s="2" t="s">
        <v>31</v>
      </c>
    </row>
    <row r="568" spans="1:4" ht="66">
      <c r="A568" s="2" t="s">
        <v>875</v>
      </c>
      <c r="B568" s="2" t="s">
        <v>876</v>
      </c>
      <c r="C568" s="2" t="s">
        <v>39</v>
      </c>
      <c r="D568" s="2" t="s">
        <v>31</v>
      </c>
    </row>
    <row r="569" spans="1:4" ht="66">
      <c r="A569" s="2" t="s">
        <v>877</v>
      </c>
      <c r="B569" s="2" t="s">
        <v>878</v>
      </c>
      <c r="C569" s="2" t="s">
        <v>39</v>
      </c>
      <c r="D569" s="2" t="s">
        <v>31</v>
      </c>
    </row>
    <row r="570" spans="1:4" ht="66">
      <c r="A570" s="2" t="s">
        <v>879</v>
      </c>
      <c r="B570" s="2" t="s">
        <v>880</v>
      </c>
      <c r="C570" s="2" t="s">
        <v>39</v>
      </c>
      <c r="D570" s="2" t="s">
        <v>31</v>
      </c>
    </row>
    <row r="571" spans="1:4" ht="66">
      <c r="A571" s="2" t="s">
        <v>885</v>
      </c>
      <c r="B571" s="2" t="s">
        <v>886</v>
      </c>
      <c r="C571" s="2" t="s">
        <v>39</v>
      </c>
      <c r="D571" s="2" t="s">
        <v>31</v>
      </c>
    </row>
    <row r="572" spans="1:4" ht="66">
      <c r="A572" s="2" t="s">
        <v>901</v>
      </c>
      <c r="B572" s="2" t="s">
        <v>902</v>
      </c>
      <c r="C572" s="2" t="s">
        <v>39</v>
      </c>
      <c r="D572" s="2" t="s">
        <v>31</v>
      </c>
    </row>
    <row r="573" spans="1:4" ht="66">
      <c r="A573" s="2" t="s">
        <v>903</v>
      </c>
      <c r="B573" s="2" t="s">
        <v>904</v>
      </c>
      <c r="C573" s="2" t="s">
        <v>39</v>
      </c>
      <c r="D573" s="2" t="s">
        <v>31</v>
      </c>
    </row>
    <row r="574" spans="1:4" ht="66">
      <c r="A574" s="2" t="s">
        <v>905</v>
      </c>
      <c r="B574" s="2" t="s">
        <v>906</v>
      </c>
      <c r="C574" s="2" t="s">
        <v>39</v>
      </c>
      <c r="D574" s="2" t="s">
        <v>31</v>
      </c>
    </row>
    <row r="575" spans="1:4" ht="66">
      <c r="A575" s="2" t="s">
        <v>907</v>
      </c>
      <c r="B575" s="2" t="s">
        <v>908</v>
      </c>
      <c r="C575" s="2" t="s">
        <v>39</v>
      </c>
      <c r="D575" s="2" t="s">
        <v>31</v>
      </c>
    </row>
    <row r="576" spans="1:4" ht="66">
      <c r="A576" s="2" t="s">
        <v>909</v>
      </c>
      <c r="B576" s="2" t="s">
        <v>910</v>
      </c>
      <c r="C576" s="2" t="s">
        <v>39</v>
      </c>
      <c r="D576" s="2" t="s">
        <v>31</v>
      </c>
    </row>
    <row r="577" spans="1:4" ht="66">
      <c r="A577" s="2" t="s">
        <v>911</v>
      </c>
      <c r="B577" s="2" t="s">
        <v>912</v>
      </c>
      <c r="C577" s="2" t="s">
        <v>39</v>
      </c>
      <c r="D577" s="2" t="s">
        <v>31</v>
      </c>
    </row>
    <row r="578" spans="1:4" ht="66">
      <c r="A578" s="2" t="s">
        <v>915</v>
      </c>
      <c r="B578" s="2" t="s">
        <v>916</v>
      </c>
      <c r="C578" s="2" t="s">
        <v>39</v>
      </c>
      <c r="D578" s="2" t="s">
        <v>36</v>
      </c>
    </row>
    <row r="579" spans="1:4" ht="66">
      <c r="A579" s="2" t="s">
        <v>931</v>
      </c>
      <c r="B579" s="2" t="s">
        <v>932</v>
      </c>
      <c r="C579" s="2" t="s">
        <v>39</v>
      </c>
      <c r="D579" s="2" t="s">
        <v>34</v>
      </c>
    </row>
    <row r="580" spans="1:4" ht="33">
      <c r="A580" s="2" t="s">
        <v>977</v>
      </c>
      <c r="B580" s="2" t="s">
        <v>978</v>
      </c>
      <c r="C580" s="2" t="s">
        <v>39</v>
      </c>
      <c r="D580" s="2" t="s">
        <v>31</v>
      </c>
    </row>
    <row r="581" spans="1:4" ht="49.5">
      <c r="A581" s="2" t="s">
        <v>983</v>
      </c>
      <c r="B581" s="2" t="s">
        <v>984</v>
      </c>
      <c r="C581" s="2" t="s">
        <v>39</v>
      </c>
      <c r="D581" s="2" t="s">
        <v>31</v>
      </c>
    </row>
    <row r="582" spans="1:4" ht="49.5">
      <c r="A582" s="2" t="s">
        <v>985</v>
      </c>
      <c r="B582" s="2" t="s">
        <v>986</v>
      </c>
      <c r="C582" s="2" t="s">
        <v>39</v>
      </c>
      <c r="D582" s="2" t="s">
        <v>31</v>
      </c>
    </row>
    <row r="583" spans="1:4" ht="49.5">
      <c r="A583" s="2" t="s">
        <v>987</v>
      </c>
      <c r="B583" s="2" t="s">
        <v>988</v>
      </c>
      <c r="C583" s="2" t="s">
        <v>39</v>
      </c>
      <c r="D583" s="2" t="s">
        <v>31</v>
      </c>
    </row>
    <row r="584" spans="1:4" ht="49.5">
      <c r="A584" s="2" t="s">
        <v>989</v>
      </c>
      <c r="B584" s="2" t="s">
        <v>990</v>
      </c>
      <c r="C584" s="2" t="s">
        <v>39</v>
      </c>
      <c r="D584" s="2" t="s">
        <v>31</v>
      </c>
    </row>
    <row r="585" spans="1:4" ht="49.5">
      <c r="A585" s="2" t="s">
        <v>991</v>
      </c>
      <c r="B585" s="2" t="s">
        <v>992</v>
      </c>
      <c r="C585" s="2" t="s">
        <v>39</v>
      </c>
      <c r="D585" s="2" t="s">
        <v>31</v>
      </c>
    </row>
    <row r="586" spans="1:4" ht="49.5">
      <c r="A586" s="2" t="s">
        <v>993</v>
      </c>
      <c r="B586" s="2" t="s">
        <v>994</v>
      </c>
      <c r="C586" s="2" t="s">
        <v>39</v>
      </c>
      <c r="D586" s="2" t="s">
        <v>31</v>
      </c>
    </row>
    <row r="587" spans="1:4" ht="49.5">
      <c r="A587" s="2" t="s">
        <v>995</v>
      </c>
      <c r="B587" s="2" t="s">
        <v>996</v>
      </c>
      <c r="C587" s="2" t="s">
        <v>39</v>
      </c>
      <c r="D587" s="2" t="s">
        <v>31</v>
      </c>
    </row>
    <row r="588" spans="1:4" ht="49.5">
      <c r="A588" s="2" t="s">
        <v>997</v>
      </c>
      <c r="B588" s="2" t="s">
        <v>998</v>
      </c>
      <c r="C588" s="2" t="s">
        <v>39</v>
      </c>
      <c r="D588" s="2" t="s">
        <v>31</v>
      </c>
    </row>
    <row r="589" spans="1:4" ht="49.5">
      <c r="A589" s="2" t="s">
        <v>999</v>
      </c>
      <c r="B589" s="2" t="s">
        <v>1000</v>
      </c>
      <c r="C589" s="2" t="s">
        <v>39</v>
      </c>
      <c r="D589" s="2" t="s">
        <v>31</v>
      </c>
    </row>
    <row r="590" spans="1:4" ht="49.5">
      <c r="A590" s="2" t="s">
        <v>1001</v>
      </c>
      <c r="B590" s="2" t="s">
        <v>1002</v>
      </c>
      <c r="C590" s="2" t="s">
        <v>39</v>
      </c>
      <c r="D590" s="2" t="s">
        <v>31</v>
      </c>
    </row>
    <row r="591" spans="1:4" ht="49.5">
      <c r="A591" s="2" t="s">
        <v>1003</v>
      </c>
      <c r="B591" s="2" t="s">
        <v>1004</v>
      </c>
      <c r="C591" s="2" t="s">
        <v>39</v>
      </c>
      <c r="D591" s="2" t="s">
        <v>31</v>
      </c>
    </row>
    <row r="592" spans="1:4" ht="49.5">
      <c r="A592" s="2" t="s">
        <v>1005</v>
      </c>
      <c r="B592" s="2" t="s">
        <v>1006</v>
      </c>
      <c r="C592" s="2" t="s">
        <v>39</v>
      </c>
      <c r="D592" s="2" t="s">
        <v>31</v>
      </c>
    </row>
    <row r="593" spans="1:4" ht="49.5">
      <c r="A593" s="2" t="s">
        <v>1007</v>
      </c>
      <c r="B593" s="2" t="s">
        <v>1008</v>
      </c>
      <c r="C593" s="2" t="s">
        <v>39</v>
      </c>
      <c r="D593" s="2" t="s">
        <v>31</v>
      </c>
    </row>
    <row r="594" spans="1:4" ht="49.5">
      <c r="A594" s="2" t="s">
        <v>1009</v>
      </c>
      <c r="B594" s="2" t="s">
        <v>1010</v>
      </c>
      <c r="C594" s="2" t="s">
        <v>39</v>
      </c>
      <c r="D594" s="2" t="s">
        <v>31</v>
      </c>
    </row>
    <row r="595" spans="1:4" ht="49.5">
      <c r="A595" s="2" t="s">
        <v>1011</v>
      </c>
      <c r="B595" s="2" t="s">
        <v>1012</v>
      </c>
      <c r="C595" s="2" t="s">
        <v>39</v>
      </c>
      <c r="D595" s="2" t="s">
        <v>31</v>
      </c>
    </row>
    <row r="596" spans="1:4" ht="49.5">
      <c r="A596" s="2" t="s">
        <v>1013</v>
      </c>
      <c r="B596" s="2" t="s">
        <v>1014</v>
      </c>
      <c r="C596" s="2" t="s">
        <v>39</v>
      </c>
      <c r="D596" s="2" t="s">
        <v>31</v>
      </c>
    </row>
    <row r="597" spans="1:4" ht="49.5">
      <c r="A597" s="2" t="s">
        <v>1047</v>
      </c>
      <c r="B597" s="2" t="s">
        <v>1048</v>
      </c>
      <c r="C597" s="2" t="s">
        <v>39</v>
      </c>
      <c r="D597" s="2" t="s">
        <v>36</v>
      </c>
    </row>
    <row r="598" spans="1:4" ht="49.5">
      <c r="A598" s="2" t="s">
        <v>1057</v>
      </c>
      <c r="B598" s="2" t="s">
        <v>1058</v>
      </c>
      <c r="C598" s="2" t="s">
        <v>39</v>
      </c>
      <c r="D598" s="2" t="s">
        <v>31</v>
      </c>
    </row>
    <row r="599" spans="1:4" ht="49.5">
      <c r="A599" s="2" t="s">
        <v>1059</v>
      </c>
      <c r="B599" s="2" t="s">
        <v>1060</v>
      </c>
      <c r="C599" s="2" t="s">
        <v>39</v>
      </c>
      <c r="D599" s="2" t="s">
        <v>31</v>
      </c>
    </row>
    <row r="600" spans="1:4" ht="49.5">
      <c r="A600" s="2" t="s">
        <v>1061</v>
      </c>
      <c r="B600" s="2" t="s">
        <v>1062</v>
      </c>
      <c r="C600" s="2" t="s">
        <v>39</v>
      </c>
      <c r="D600" s="2" t="s">
        <v>31</v>
      </c>
    </row>
    <row r="601" spans="1:4" ht="49.5">
      <c r="A601" s="2" t="s">
        <v>1069</v>
      </c>
      <c r="B601" s="2" t="s">
        <v>1070</v>
      </c>
      <c r="C601" s="2" t="s">
        <v>39</v>
      </c>
      <c r="D601" s="2" t="s">
        <v>31</v>
      </c>
    </row>
    <row r="602" spans="1:4" ht="49.5">
      <c r="A602" s="2" t="s">
        <v>1071</v>
      </c>
      <c r="B602" s="2" t="s">
        <v>1072</v>
      </c>
      <c r="C602" s="2" t="s">
        <v>39</v>
      </c>
      <c r="D602" s="2" t="s">
        <v>31</v>
      </c>
    </row>
    <row r="603" spans="1:4" ht="49.5">
      <c r="A603" s="2" t="s">
        <v>1105</v>
      </c>
      <c r="B603" s="2" t="s">
        <v>1106</v>
      </c>
      <c r="C603" s="2" t="s">
        <v>39</v>
      </c>
      <c r="D603" s="2" t="s">
        <v>31</v>
      </c>
    </row>
    <row r="604" spans="1:4" ht="49.5">
      <c r="A604" s="2" t="s">
        <v>1109</v>
      </c>
      <c r="B604" s="2" t="s">
        <v>1110</v>
      </c>
      <c r="C604" s="2" t="s">
        <v>39</v>
      </c>
      <c r="D604" s="2" t="s">
        <v>31</v>
      </c>
    </row>
    <row r="605" spans="1:4" ht="49.5">
      <c r="A605" s="2" t="s">
        <v>1113</v>
      </c>
      <c r="B605" s="2" t="s">
        <v>1114</v>
      </c>
      <c r="C605" s="2" t="s">
        <v>39</v>
      </c>
      <c r="D605" s="2" t="s">
        <v>31</v>
      </c>
    </row>
    <row r="606" spans="1:4" ht="49.5">
      <c r="A606" s="2" t="s">
        <v>1115</v>
      </c>
      <c r="B606" s="2" t="s">
        <v>1116</v>
      </c>
      <c r="C606" s="2" t="s">
        <v>39</v>
      </c>
      <c r="D606" s="2" t="s">
        <v>31</v>
      </c>
    </row>
    <row r="607" spans="1:4" ht="49.5">
      <c r="A607" s="2" t="s">
        <v>1117</v>
      </c>
      <c r="B607" s="2" t="s">
        <v>1118</v>
      </c>
      <c r="C607" s="2" t="s">
        <v>39</v>
      </c>
      <c r="D607" s="2" t="s">
        <v>31</v>
      </c>
    </row>
    <row r="608" spans="1:4" ht="49.5">
      <c r="A608" s="2" t="s">
        <v>1119</v>
      </c>
      <c r="B608" s="2" t="s">
        <v>1120</v>
      </c>
      <c r="C608" s="2" t="s">
        <v>39</v>
      </c>
      <c r="D608" s="2" t="s">
        <v>31</v>
      </c>
    </row>
    <row r="609" spans="1:4" ht="49.5">
      <c r="A609" s="2" t="s">
        <v>1121</v>
      </c>
      <c r="B609" s="2" t="s">
        <v>1122</v>
      </c>
      <c r="C609" s="2" t="s">
        <v>39</v>
      </c>
      <c r="D609" s="2" t="s">
        <v>31</v>
      </c>
    </row>
    <row r="610" spans="1:4" ht="49.5">
      <c r="A610" s="2" t="s">
        <v>1123</v>
      </c>
      <c r="B610" s="2" t="s">
        <v>1124</v>
      </c>
      <c r="C610" s="2" t="s">
        <v>39</v>
      </c>
      <c r="D610" s="2" t="s">
        <v>34</v>
      </c>
    </row>
    <row r="611" spans="1:4" ht="49.5">
      <c r="A611" s="2" t="s">
        <v>1125</v>
      </c>
      <c r="B611" s="2" t="s">
        <v>1126</v>
      </c>
      <c r="C611" s="2" t="s">
        <v>39</v>
      </c>
      <c r="D611" s="2" t="s">
        <v>31</v>
      </c>
    </row>
    <row r="612" spans="1:4" ht="49.5">
      <c r="A612" s="2" t="s">
        <v>1127</v>
      </c>
      <c r="B612" s="2" t="s">
        <v>1128</v>
      </c>
      <c r="C612" s="2" t="s">
        <v>39</v>
      </c>
      <c r="D612" s="2" t="s">
        <v>31</v>
      </c>
    </row>
    <row r="613" spans="1:4" ht="49.5">
      <c r="A613" s="2" t="s">
        <v>1129</v>
      </c>
      <c r="B613" s="2" t="s">
        <v>1130</v>
      </c>
      <c r="C613" s="2" t="s">
        <v>39</v>
      </c>
      <c r="D613" s="2" t="s">
        <v>31</v>
      </c>
    </row>
    <row r="614" spans="1:4" ht="49.5">
      <c r="A614" s="2" t="s">
        <v>1131</v>
      </c>
      <c r="B614" s="2" t="s">
        <v>1132</v>
      </c>
      <c r="C614" s="2" t="s">
        <v>39</v>
      </c>
      <c r="D614" s="2" t="s">
        <v>31</v>
      </c>
    </row>
    <row r="615" spans="1:4" ht="49.5">
      <c r="A615" s="2" t="s">
        <v>1133</v>
      </c>
      <c r="B615" s="2" t="s">
        <v>1134</v>
      </c>
      <c r="C615" s="2" t="s">
        <v>39</v>
      </c>
      <c r="D615" s="2" t="s">
        <v>31</v>
      </c>
    </row>
    <row r="616" spans="1:4" ht="49.5">
      <c r="A616" s="2" t="s">
        <v>1139</v>
      </c>
      <c r="B616" s="2" t="s">
        <v>1140</v>
      </c>
      <c r="C616" s="2" t="s">
        <v>39</v>
      </c>
      <c r="D616" s="2" t="s">
        <v>31</v>
      </c>
    </row>
    <row r="617" spans="1:4" ht="49.5">
      <c r="A617" s="2" t="s">
        <v>1141</v>
      </c>
      <c r="B617" s="2" t="s">
        <v>1142</v>
      </c>
      <c r="C617" s="2" t="s">
        <v>39</v>
      </c>
      <c r="D617" s="2" t="s">
        <v>31</v>
      </c>
    </row>
    <row r="618" spans="1:4" ht="49.5">
      <c r="A618" s="2" t="s">
        <v>1143</v>
      </c>
      <c r="B618" s="2" t="s">
        <v>1144</v>
      </c>
      <c r="C618" s="2" t="s">
        <v>39</v>
      </c>
      <c r="D618" s="2" t="s">
        <v>31</v>
      </c>
    </row>
    <row r="619" spans="1:4" ht="49.5">
      <c r="A619" s="2" t="s">
        <v>1147</v>
      </c>
      <c r="B619" s="2" t="s">
        <v>1148</v>
      </c>
      <c r="C619" s="2" t="s">
        <v>39</v>
      </c>
      <c r="D619" s="2" t="s">
        <v>31</v>
      </c>
    </row>
    <row r="620" spans="1:4" ht="49.5">
      <c r="A620" s="2" t="s">
        <v>1151</v>
      </c>
      <c r="B620" s="2" t="s">
        <v>1152</v>
      </c>
      <c r="C620" s="2" t="s">
        <v>39</v>
      </c>
      <c r="D620" s="2" t="s">
        <v>31</v>
      </c>
    </row>
    <row r="621" spans="1:4" ht="49.5">
      <c r="A621" s="2" t="s">
        <v>1161</v>
      </c>
      <c r="B621" s="2" t="s">
        <v>1162</v>
      </c>
      <c r="C621" s="2" t="s">
        <v>39</v>
      </c>
      <c r="D621" s="2" t="s">
        <v>31</v>
      </c>
    </row>
    <row r="622" spans="1:4" ht="49.5">
      <c r="A622" s="2" t="s">
        <v>1179</v>
      </c>
      <c r="B622" s="2" t="s">
        <v>1180</v>
      </c>
      <c r="C622" s="2" t="s">
        <v>39</v>
      </c>
      <c r="D622" s="2" t="s">
        <v>31</v>
      </c>
    </row>
    <row r="623" spans="1:4" ht="49.5">
      <c r="A623" s="2" t="s">
        <v>1181</v>
      </c>
      <c r="B623" s="2" t="s">
        <v>1182</v>
      </c>
      <c r="C623" s="2" t="s">
        <v>39</v>
      </c>
      <c r="D623" s="2" t="s">
        <v>31</v>
      </c>
    </row>
    <row r="624" spans="1:4" ht="33">
      <c r="A624" s="2" t="s">
        <v>1183</v>
      </c>
      <c r="B624" s="2" t="s">
        <v>1184</v>
      </c>
      <c r="C624" s="2" t="s">
        <v>39</v>
      </c>
      <c r="D624" s="2" t="s">
        <v>31</v>
      </c>
    </row>
    <row r="625" spans="1:4" ht="33">
      <c r="A625" s="2" t="s">
        <v>1185</v>
      </c>
      <c r="B625" s="2" t="s">
        <v>1186</v>
      </c>
      <c r="C625" s="2" t="s">
        <v>39</v>
      </c>
      <c r="D625" s="2" t="s">
        <v>31</v>
      </c>
    </row>
    <row r="626" spans="1:4" ht="33">
      <c r="A626" s="2" t="s">
        <v>1187</v>
      </c>
      <c r="B626" s="2" t="s">
        <v>1188</v>
      </c>
      <c r="C626" s="2" t="s">
        <v>39</v>
      </c>
      <c r="D626" s="2" t="s">
        <v>31</v>
      </c>
    </row>
    <row r="627" spans="1:4" ht="33">
      <c r="A627" s="2" t="s">
        <v>1189</v>
      </c>
      <c r="B627" s="2" t="s">
        <v>1190</v>
      </c>
      <c r="C627" s="2" t="s">
        <v>39</v>
      </c>
      <c r="D627" s="2" t="s">
        <v>31</v>
      </c>
    </row>
    <row r="628" spans="1:4" ht="49.5">
      <c r="A628" s="2" t="s">
        <v>1191</v>
      </c>
      <c r="B628" s="2" t="s">
        <v>1192</v>
      </c>
      <c r="C628" s="2" t="s">
        <v>39</v>
      </c>
      <c r="D628" s="2" t="s">
        <v>31</v>
      </c>
    </row>
    <row r="629" spans="1:4" ht="49.5">
      <c r="A629" s="2" t="s">
        <v>1203</v>
      </c>
      <c r="B629" s="2" t="s">
        <v>1204</v>
      </c>
      <c r="C629" s="2" t="s">
        <v>39</v>
      </c>
      <c r="D629" s="2" t="s">
        <v>31</v>
      </c>
    </row>
    <row r="630" spans="1:4" ht="33">
      <c r="A630" s="2" t="s">
        <v>1337</v>
      </c>
      <c r="B630" s="2" t="s">
        <v>1338</v>
      </c>
      <c r="C630" s="2" t="s">
        <v>39</v>
      </c>
      <c r="D630" s="2" t="s">
        <v>31</v>
      </c>
    </row>
    <row r="631" spans="1:4" ht="33">
      <c r="A631" s="2" t="s">
        <v>1339</v>
      </c>
      <c r="B631" s="2" t="s">
        <v>1340</v>
      </c>
      <c r="C631" s="2" t="s">
        <v>39</v>
      </c>
      <c r="D631" s="2" t="s">
        <v>31</v>
      </c>
    </row>
    <row r="632" spans="1:4" ht="33">
      <c r="A632" s="2" t="s">
        <v>1341</v>
      </c>
      <c r="B632" s="2" t="s">
        <v>1342</v>
      </c>
      <c r="C632" s="2" t="s">
        <v>39</v>
      </c>
      <c r="D632" s="2" t="s">
        <v>31</v>
      </c>
    </row>
    <row r="633" spans="1:4" ht="33">
      <c r="A633" s="2" t="s">
        <v>1343</v>
      </c>
      <c r="B633" s="2" t="s">
        <v>1344</v>
      </c>
      <c r="C633" s="2" t="s">
        <v>39</v>
      </c>
      <c r="D633" s="2" t="s">
        <v>31</v>
      </c>
    </row>
    <row r="634" spans="1:4" ht="49.5">
      <c r="A634" s="2" t="s">
        <v>1345</v>
      </c>
      <c r="B634" s="2" t="s">
        <v>1346</v>
      </c>
      <c r="C634" s="2" t="s">
        <v>39</v>
      </c>
      <c r="D634" s="2" t="s">
        <v>31</v>
      </c>
    </row>
    <row r="635" spans="1:4" ht="66">
      <c r="A635" s="2" t="s">
        <v>1359</v>
      </c>
      <c r="B635" s="2" t="s">
        <v>1360</v>
      </c>
      <c r="C635" s="2" t="s">
        <v>39</v>
      </c>
      <c r="D635" s="2" t="s">
        <v>34</v>
      </c>
    </row>
    <row r="636" spans="1:4" ht="49.5">
      <c r="A636" s="2" t="s">
        <v>1361</v>
      </c>
      <c r="B636" s="2" t="s">
        <v>1362</v>
      </c>
      <c r="C636" s="2" t="s">
        <v>39</v>
      </c>
      <c r="D636" s="2" t="s">
        <v>34</v>
      </c>
    </row>
    <row r="637" spans="1:4" ht="33">
      <c r="A637" s="2" t="s">
        <v>1363</v>
      </c>
      <c r="B637" s="2" t="s">
        <v>1364</v>
      </c>
      <c r="C637" s="2" t="s">
        <v>39</v>
      </c>
      <c r="D637" s="2" t="s">
        <v>31</v>
      </c>
    </row>
    <row r="638" spans="1:4" ht="33">
      <c r="A638" s="2" t="s">
        <v>1365</v>
      </c>
      <c r="B638" s="2" t="s">
        <v>1366</v>
      </c>
      <c r="C638" s="2" t="s">
        <v>39</v>
      </c>
      <c r="D638" s="2" t="s">
        <v>36</v>
      </c>
    </row>
    <row r="639" spans="1:4" ht="33">
      <c r="A639" s="2" t="s">
        <v>1367</v>
      </c>
      <c r="B639" s="2" t="s">
        <v>1368</v>
      </c>
      <c r="C639" s="2" t="s">
        <v>39</v>
      </c>
      <c r="D639" s="2" t="s">
        <v>31</v>
      </c>
    </row>
    <row r="640" spans="1:4" ht="33">
      <c r="A640" s="2" t="s">
        <v>1369</v>
      </c>
      <c r="B640" s="2" t="s">
        <v>1370</v>
      </c>
      <c r="C640" s="2" t="s">
        <v>39</v>
      </c>
      <c r="D640" s="2" t="s">
        <v>31</v>
      </c>
    </row>
    <row r="641" spans="1:4" ht="33">
      <c r="A641" s="2" t="s">
        <v>1371</v>
      </c>
      <c r="B641" s="2" t="s">
        <v>1372</v>
      </c>
      <c r="C641" s="2" t="s">
        <v>39</v>
      </c>
      <c r="D641" s="2" t="s">
        <v>31</v>
      </c>
    </row>
    <row r="642" spans="1:4" ht="33">
      <c r="A642" s="2" t="s">
        <v>1373</v>
      </c>
      <c r="B642" s="2" t="s">
        <v>1374</v>
      </c>
      <c r="C642" s="2" t="s">
        <v>39</v>
      </c>
      <c r="D642" s="2" t="s">
        <v>31</v>
      </c>
    </row>
    <row r="643" spans="1:4" ht="33">
      <c r="A643" s="2" t="s">
        <v>1375</v>
      </c>
      <c r="B643" s="2" t="s">
        <v>1376</v>
      </c>
      <c r="C643" s="2" t="s">
        <v>39</v>
      </c>
      <c r="D643" s="2" t="s">
        <v>31</v>
      </c>
    </row>
    <row r="644" spans="1:4" ht="49.5">
      <c r="A644" s="2" t="s">
        <v>1379</v>
      </c>
      <c r="B644" s="2" t="s">
        <v>1380</v>
      </c>
      <c r="C644" s="2" t="s">
        <v>39</v>
      </c>
      <c r="D644" s="2" t="s">
        <v>31</v>
      </c>
    </row>
    <row r="645" spans="1:4" ht="49.5">
      <c r="A645" s="2" t="s">
        <v>1381</v>
      </c>
      <c r="B645" s="2" t="s">
        <v>1382</v>
      </c>
      <c r="C645" s="2" t="s">
        <v>39</v>
      </c>
      <c r="D645" s="2" t="s">
        <v>31</v>
      </c>
    </row>
    <row r="646" spans="1:4" ht="49.5">
      <c r="A646" s="2" t="s">
        <v>1391</v>
      </c>
      <c r="B646" s="2" t="s">
        <v>1392</v>
      </c>
      <c r="C646" s="2" t="s">
        <v>39</v>
      </c>
      <c r="D646" s="2" t="s">
        <v>31</v>
      </c>
    </row>
    <row r="647" spans="1:4" ht="49.5">
      <c r="A647" s="2" t="s">
        <v>1393</v>
      </c>
      <c r="B647" s="2" t="s">
        <v>1394</v>
      </c>
      <c r="C647" s="2" t="s">
        <v>39</v>
      </c>
      <c r="D647" s="2" t="s">
        <v>31</v>
      </c>
    </row>
    <row r="648" spans="1:4" ht="49.5">
      <c r="A648" s="2" t="s">
        <v>1395</v>
      </c>
      <c r="B648" s="2" t="s">
        <v>1396</v>
      </c>
      <c r="C648" s="2" t="s">
        <v>39</v>
      </c>
      <c r="D648" s="2" t="s">
        <v>31</v>
      </c>
    </row>
    <row r="649" spans="1:4" ht="49.5">
      <c r="A649" s="2" t="s">
        <v>1463</v>
      </c>
      <c r="B649" s="2" t="s">
        <v>1464</v>
      </c>
      <c r="C649" s="2" t="s">
        <v>39</v>
      </c>
      <c r="D649" s="2" t="s">
        <v>31</v>
      </c>
    </row>
    <row r="650" spans="1:4" ht="49.5">
      <c r="A650" s="2" t="s">
        <v>1465</v>
      </c>
      <c r="B650" s="2" t="s">
        <v>1466</v>
      </c>
      <c r="C650" s="2" t="s">
        <v>39</v>
      </c>
      <c r="D650" s="2" t="s">
        <v>31</v>
      </c>
    </row>
    <row r="651" spans="1:4" ht="66">
      <c r="A651" s="2" t="s">
        <v>1467</v>
      </c>
      <c r="B651" s="2" t="s">
        <v>1468</v>
      </c>
      <c r="C651" s="2" t="s">
        <v>39</v>
      </c>
      <c r="D651" s="2" t="s">
        <v>31</v>
      </c>
    </row>
    <row r="652" spans="1:4" ht="49.5">
      <c r="A652" s="2" t="s">
        <v>1495</v>
      </c>
      <c r="B652" s="2" t="s">
        <v>1496</v>
      </c>
      <c r="C652" s="2" t="s">
        <v>39</v>
      </c>
      <c r="D652" s="2" t="s">
        <v>31</v>
      </c>
    </row>
    <row r="653" spans="1:4" ht="49.5">
      <c r="A653" s="2" t="s">
        <v>1499</v>
      </c>
      <c r="B653" s="2" t="s">
        <v>1500</v>
      </c>
      <c r="C653" s="2" t="s">
        <v>39</v>
      </c>
      <c r="D653" s="2" t="s">
        <v>31</v>
      </c>
    </row>
    <row r="654" spans="1:4" ht="49.5">
      <c r="A654" s="2" t="s">
        <v>1511</v>
      </c>
      <c r="B654" s="2" t="s">
        <v>1512</v>
      </c>
      <c r="C654" s="2" t="s">
        <v>39</v>
      </c>
      <c r="D654" s="2" t="s">
        <v>31</v>
      </c>
    </row>
    <row r="655" spans="1:4" ht="49.5">
      <c r="A655" s="2" t="s">
        <v>1513</v>
      </c>
      <c r="B655" s="2" t="s">
        <v>1514</v>
      </c>
      <c r="C655" s="2" t="s">
        <v>39</v>
      </c>
      <c r="D655" s="2" t="s">
        <v>31</v>
      </c>
    </row>
    <row r="656" spans="1:4" ht="49.5">
      <c r="A656" s="2" t="s">
        <v>1515</v>
      </c>
      <c r="B656" s="2" t="s">
        <v>1516</v>
      </c>
      <c r="C656" s="2" t="s">
        <v>39</v>
      </c>
      <c r="D656" s="2" t="s">
        <v>31</v>
      </c>
    </row>
    <row r="657" spans="1:4" ht="49.5">
      <c r="A657" s="2" t="s">
        <v>1517</v>
      </c>
      <c r="B657" s="2" t="s">
        <v>1518</v>
      </c>
      <c r="C657" s="2" t="s">
        <v>39</v>
      </c>
      <c r="D657" s="2" t="s">
        <v>31</v>
      </c>
    </row>
    <row r="658" spans="1:4" ht="49.5">
      <c r="A658" s="2" t="s">
        <v>1519</v>
      </c>
      <c r="B658" s="2" t="s">
        <v>1520</v>
      </c>
      <c r="C658" s="2" t="s">
        <v>39</v>
      </c>
      <c r="D658" s="2" t="s">
        <v>31</v>
      </c>
    </row>
    <row r="659" spans="1:4" ht="49.5">
      <c r="A659" s="2" t="s">
        <v>1521</v>
      </c>
      <c r="B659" s="2" t="s">
        <v>1522</v>
      </c>
      <c r="C659" s="2" t="s">
        <v>39</v>
      </c>
      <c r="D659" s="2" t="s">
        <v>31</v>
      </c>
    </row>
    <row r="660" spans="1:4" ht="49.5">
      <c r="A660" s="2" t="s">
        <v>1523</v>
      </c>
      <c r="B660" s="2" t="s">
        <v>1524</v>
      </c>
      <c r="C660" s="2" t="s">
        <v>39</v>
      </c>
      <c r="D660" s="2" t="s">
        <v>31</v>
      </c>
    </row>
    <row r="661" spans="1:4" ht="66">
      <c r="A661" s="2" t="s">
        <v>1527</v>
      </c>
      <c r="B661" s="2" t="s">
        <v>1528</v>
      </c>
      <c r="C661" s="2" t="s">
        <v>39</v>
      </c>
      <c r="D661" s="2" t="s">
        <v>31</v>
      </c>
    </row>
    <row r="662" spans="1:4" ht="49.5">
      <c r="A662" s="2" t="s">
        <v>1535</v>
      </c>
      <c r="B662" s="2" t="s">
        <v>1536</v>
      </c>
      <c r="C662" s="2" t="s">
        <v>39</v>
      </c>
      <c r="D662" s="2" t="s">
        <v>31</v>
      </c>
    </row>
    <row r="663" spans="1:4" ht="66">
      <c r="A663" s="2" t="s">
        <v>1539</v>
      </c>
      <c r="B663" s="2" t="s">
        <v>1540</v>
      </c>
      <c r="C663" s="2" t="s">
        <v>39</v>
      </c>
      <c r="D663" s="2" t="s">
        <v>31</v>
      </c>
    </row>
    <row r="664" spans="1:4" ht="49.5">
      <c r="A664" s="2" t="s">
        <v>1549</v>
      </c>
      <c r="B664" s="2" t="s">
        <v>1550</v>
      </c>
      <c r="C664" s="2" t="s">
        <v>39</v>
      </c>
      <c r="D664" s="2" t="s">
        <v>31</v>
      </c>
    </row>
    <row r="665" spans="1:4" ht="49.5">
      <c r="A665" s="2" t="s">
        <v>1551</v>
      </c>
      <c r="B665" s="2" t="s">
        <v>1552</v>
      </c>
      <c r="C665" s="2" t="s">
        <v>39</v>
      </c>
      <c r="D665" s="2" t="s">
        <v>31</v>
      </c>
    </row>
    <row r="666" spans="1:4" ht="49.5">
      <c r="A666" s="2" t="s">
        <v>1553</v>
      </c>
      <c r="B666" s="2" t="s">
        <v>1554</v>
      </c>
      <c r="C666" s="2" t="s">
        <v>39</v>
      </c>
      <c r="D666" s="2" t="s">
        <v>31</v>
      </c>
    </row>
    <row r="667" spans="1:4" ht="49.5">
      <c r="A667" s="2" t="s">
        <v>1555</v>
      </c>
      <c r="B667" s="2" t="s">
        <v>1556</v>
      </c>
      <c r="C667" s="2" t="s">
        <v>39</v>
      </c>
      <c r="D667" s="2" t="s">
        <v>31</v>
      </c>
    </row>
    <row r="668" spans="1:4" ht="49.5">
      <c r="A668" s="2" t="s">
        <v>1557</v>
      </c>
      <c r="B668" s="2" t="s">
        <v>1558</v>
      </c>
      <c r="C668" s="2" t="s">
        <v>39</v>
      </c>
      <c r="D668" s="2" t="s">
        <v>31</v>
      </c>
    </row>
    <row r="669" spans="1:4" ht="66">
      <c r="A669" s="2" t="s">
        <v>1559</v>
      </c>
      <c r="B669" s="2" t="s">
        <v>1560</v>
      </c>
      <c r="C669" s="2" t="s">
        <v>39</v>
      </c>
      <c r="D669" s="2" t="s">
        <v>31</v>
      </c>
    </row>
    <row r="670" spans="1:4" ht="66">
      <c r="A670" s="2" t="s">
        <v>1563</v>
      </c>
      <c r="B670" s="2" t="s">
        <v>1564</v>
      </c>
      <c r="C670" s="2" t="s">
        <v>39</v>
      </c>
      <c r="D670" s="2" t="s">
        <v>31</v>
      </c>
    </row>
    <row r="671" spans="1:4" ht="49.5">
      <c r="A671" s="2" t="s">
        <v>1569</v>
      </c>
      <c r="B671" s="2" t="s">
        <v>1570</v>
      </c>
      <c r="C671" s="2" t="s">
        <v>39</v>
      </c>
      <c r="D671" s="2" t="s">
        <v>31</v>
      </c>
    </row>
    <row r="672" spans="1:4" ht="49.5">
      <c r="A672" s="2" t="s">
        <v>1595</v>
      </c>
      <c r="B672" s="2" t="s">
        <v>1596</v>
      </c>
      <c r="C672" s="2" t="s">
        <v>39</v>
      </c>
      <c r="D672" s="2" t="s">
        <v>31</v>
      </c>
    </row>
    <row r="673" spans="1:4" ht="49.5">
      <c r="A673" s="2" t="s">
        <v>1597</v>
      </c>
      <c r="B673" s="2" t="s">
        <v>1598</v>
      </c>
      <c r="C673" s="2" t="s">
        <v>39</v>
      </c>
      <c r="D673" s="2" t="s">
        <v>31</v>
      </c>
    </row>
    <row r="674" spans="1:4" ht="49.5">
      <c r="A674" s="2" t="s">
        <v>1599</v>
      </c>
      <c r="B674" s="2" t="s">
        <v>1600</v>
      </c>
      <c r="C674" s="2" t="s">
        <v>39</v>
      </c>
      <c r="D674" s="2" t="s">
        <v>31</v>
      </c>
    </row>
    <row r="675" spans="1:4" ht="49.5">
      <c r="A675" s="2" t="s">
        <v>1611</v>
      </c>
      <c r="B675" s="2" t="s">
        <v>1612</v>
      </c>
      <c r="C675" s="2" t="s">
        <v>39</v>
      </c>
      <c r="D675" s="2" t="s">
        <v>31</v>
      </c>
    </row>
    <row r="676" spans="1:4" ht="49.5">
      <c r="A676" s="2" t="s">
        <v>1613</v>
      </c>
      <c r="B676" s="2" t="s">
        <v>1614</v>
      </c>
      <c r="C676" s="2" t="s">
        <v>39</v>
      </c>
      <c r="D676" s="2" t="s">
        <v>31</v>
      </c>
    </row>
    <row r="677" spans="1:4" ht="49.5">
      <c r="A677" s="2" t="s">
        <v>1615</v>
      </c>
      <c r="B677" s="2" t="s">
        <v>1616</v>
      </c>
      <c r="C677" s="2" t="s">
        <v>39</v>
      </c>
      <c r="D677" s="2" t="s">
        <v>31</v>
      </c>
    </row>
    <row r="678" spans="1:4" ht="49.5">
      <c r="A678" s="2" t="s">
        <v>1617</v>
      </c>
      <c r="B678" s="2" t="s">
        <v>1618</v>
      </c>
      <c r="C678" s="2" t="s">
        <v>39</v>
      </c>
      <c r="D678" s="2" t="s">
        <v>31</v>
      </c>
    </row>
    <row r="679" spans="1:4" ht="49.5">
      <c r="A679" s="2" t="s">
        <v>1619</v>
      </c>
      <c r="B679" s="2" t="s">
        <v>1620</v>
      </c>
      <c r="C679" s="2" t="s">
        <v>39</v>
      </c>
      <c r="D679" s="2" t="s">
        <v>31</v>
      </c>
    </row>
    <row r="680" spans="1:4" ht="49.5">
      <c r="A680" s="2" t="s">
        <v>1621</v>
      </c>
      <c r="B680" s="2" t="s">
        <v>1622</v>
      </c>
      <c r="C680" s="2" t="s">
        <v>39</v>
      </c>
      <c r="D680" s="2" t="s">
        <v>31</v>
      </c>
    </row>
    <row r="681" spans="1:4" ht="49.5">
      <c r="A681" s="2" t="s">
        <v>1623</v>
      </c>
      <c r="B681" s="2" t="s">
        <v>1624</v>
      </c>
      <c r="C681" s="2" t="s">
        <v>39</v>
      </c>
      <c r="D681" s="2" t="s">
        <v>31</v>
      </c>
    </row>
    <row r="682" spans="1:4" ht="49.5">
      <c r="A682" s="2" t="s">
        <v>1625</v>
      </c>
      <c r="B682" s="2" t="s">
        <v>1626</v>
      </c>
      <c r="C682" s="2" t="s">
        <v>39</v>
      </c>
      <c r="D682" s="2" t="s">
        <v>31</v>
      </c>
    </row>
    <row r="683" spans="1:4" ht="49.5">
      <c r="A683" s="2" t="s">
        <v>1627</v>
      </c>
      <c r="B683" s="2" t="s">
        <v>1628</v>
      </c>
      <c r="C683" s="2" t="s">
        <v>39</v>
      </c>
      <c r="D683" s="2" t="s">
        <v>31</v>
      </c>
    </row>
    <row r="684" spans="1:4" ht="49.5">
      <c r="A684" s="2" t="s">
        <v>1629</v>
      </c>
      <c r="B684" s="2" t="s">
        <v>1630</v>
      </c>
      <c r="C684" s="2" t="s">
        <v>39</v>
      </c>
      <c r="D684" s="2" t="s">
        <v>31</v>
      </c>
    </row>
    <row r="685" spans="1:4" ht="49.5">
      <c r="A685" s="2" t="s">
        <v>1631</v>
      </c>
      <c r="B685" s="2" t="s">
        <v>1632</v>
      </c>
      <c r="C685" s="2" t="s">
        <v>39</v>
      </c>
      <c r="D685" s="2" t="s">
        <v>31</v>
      </c>
    </row>
    <row r="686" spans="1:4" ht="49.5">
      <c r="A686" s="2" t="s">
        <v>1633</v>
      </c>
      <c r="B686" s="2" t="s">
        <v>1634</v>
      </c>
      <c r="C686" s="2" t="s">
        <v>39</v>
      </c>
      <c r="D686" s="2" t="s">
        <v>31</v>
      </c>
    </row>
    <row r="687" spans="1:4" ht="49.5">
      <c r="A687" s="2" t="s">
        <v>1635</v>
      </c>
      <c r="B687" s="2" t="s">
        <v>1636</v>
      </c>
      <c r="C687" s="2" t="s">
        <v>39</v>
      </c>
      <c r="D687" s="2" t="s">
        <v>31</v>
      </c>
    </row>
    <row r="688" spans="1:4" ht="49.5">
      <c r="A688" s="2" t="s">
        <v>1637</v>
      </c>
      <c r="B688" s="2" t="s">
        <v>1638</v>
      </c>
      <c r="C688" s="2" t="s">
        <v>39</v>
      </c>
      <c r="D688" s="2" t="s">
        <v>31</v>
      </c>
    </row>
    <row r="689" spans="1:4" ht="49.5">
      <c r="A689" s="2" t="s">
        <v>1639</v>
      </c>
      <c r="B689" s="2" t="s">
        <v>1640</v>
      </c>
      <c r="C689" s="2" t="s">
        <v>39</v>
      </c>
      <c r="D689" s="2" t="s">
        <v>31</v>
      </c>
    </row>
    <row r="690" spans="1:4" ht="49.5">
      <c r="A690" s="2" t="s">
        <v>1641</v>
      </c>
      <c r="B690" s="2" t="s">
        <v>1642</v>
      </c>
      <c r="C690" s="2" t="s">
        <v>39</v>
      </c>
      <c r="D690" s="2" t="s">
        <v>31</v>
      </c>
    </row>
    <row r="691" spans="1:4" ht="49.5">
      <c r="A691" s="2" t="s">
        <v>1643</v>
      </c>
      <c r="B691" s="2" t="s">
        <v>1644</v>
      </c>
      <c r="C691" s="2" t="s">
        <v>39</v>
      </c>
      <c r="D691" s="2" t="s">
        <v>31</v>
      </c>
    </row>
    <row r="692" spans="1:4" ht="49.5">
      <c r="A692" s="2" t="s">
        <v>1645</v>
      </c>
      <c r="B692" s="2" t="s">
        <v>1646</v>
      </c>
      <c r="C692" s="2" t="s">
        <v>39</v>
      </c>
      <c r="D692" s="2" t="s">
        <v>31</v>
      </c>
    </row>
    <row r="693" spans="1:4" ht="49.5">
      <c r="A693" s="2" t="s">
        <v>1647</v>
      </c>
      <c r="B693" s="2" t="s">
        <v>1648</v>
      </c>
      <c r="C693" s="2" t="s">
        <v>39</v>
      </c>
      <c r="D693" s="2" t="s">
        <v>31</v>
      </c>
    </row>
    <row r="694" spans="1:4" ht="49.5">
      <c r="A694" s="2" t="s">
        <v>1649</v>
      </c>
      <c r="B694" s="2" t="s">
        <v>1650</v>
      </c>
      <c r="C694" s="2" t="s">
        <v>39</v>
      </c>
      <c r="D694" s="2" t="s">
        <v>31</v>
      </c>
    </row>
    <row r="695" spans="1:4" ht="49.5">
      <c r="A695" s="2" t="s">
        <v>1651</v>
      </c>
      <c r="B695" s="2" t="s">
        <v>1652</v>
      </c>
      <c r="C695" s="2" t="s">
        <v>39</v>
      </c>
      <c r="D695" s="2" t="s">
        <v>31</v>
      </c>
    </row>
    <row r="696" spans="1:4" ht="49.5">
      <c r="A696" s="2" t="s">
        <v>1653</v>
      </c>
      <c r="B696" s="2" t="s">
        <v>1654</v>
      </c>
      <c r="C696" s="2" t="s">
        <v>39</v>
      </c>
      <c r="D696" s="2" t="s">
        <v>31</v>
      </c>
    </row>
    <row r="697" spans="1:4" ht="49.5">
      <c r="A697" s="2" t="s">
        <v>1659</v>
      </c>
      <c r="B697" s="2" t="s">
        <v>1660</v>
      </c>
      <c r="C697" s="2" t="s">
        <v>39</v>
      </c>
      <c r="D697" s="2" t="s">
        <v>31</v>
      </c>
    </row>
    <row r="698" spans="1:4" ht="49.5">
      <c r="A698" s="2" t="s">
        <v>1661</v>
      </c>
      <c r="B698" s="2" t="s">
        <v>1662</v>
      </c>
      <c r="C698" s="2" t="s">
        <v>39</v>
      </c>
      <c r="D698" s="2" t="s">
        <v>31</v>
      </c>
    </row>
    <row r="699" spans="1:4" ht="49.5">
      <c r="A699" s="2" t="s">
        <v>1663</v>
      </c>
      <c r="B699" s="2" t="s">
        <v>1664</v>
      </c>
      <c r="C699" s="2" t="s">
        <v>39</v>
      </c>
      <c r="D699" s="2" t="s">
        <v>31</v>
      </c>
    </row>
    <row r="700" spans="1:4" ht="49.5">
      <c r="A700" s="2" t="s">
        <v>1665</v>
      </c>
      <c r="B700" s="2" t="s">
        <v>1666</v>
      </c>
      <c r="C700" s="2" t="s">
        <v>39</v>
      </c>
      <c r="D700" s="2" t="s">
        <v>31</v>
      </c>
    </row>
    <row r="701" spans="1:4" ht="49.5">
      <c r="A701" s="2" t="s">
        <v>1667</v>
      </c>
      <c r="B701" s="2" t="s">
        <v>1668</v>
      </c>
      <c r="C701" s="2" t="s">
        <v>39</v>
      </c>
      <c r="D701" s="2" t="s">
        <v>31</v>
      </c>
    </row>
    <row r="702" spans="1:4" ht="49.5">
      <c r="A702" s="2" t="s">
        <v>1671</v>
      </c>
      <c r="B702" s="2" t="s">
        <v>1672</v>
      </c>
      <c r="C702" s="2" t="s">
        <v>39</v>
      </c>
      <c r="D702" s="2" t="s">
        <v>31</v>
      </c>
    </row>
    <row r="703" spans="1:4" ht="49.5">
      <c r="A703" s="2" t="s">
        <v>1691</v>
      </c>
      <c r="B703" s="2" t="s">
        <v>1692</v>
      </c>
      <c r="C703" s="2" t="s">
        <v>39</v>
      </c>
      <c r="D703" s="2" t="s">
        <v>31</v>
      </c>
    </row>
    <row r="704" spans="1:4" ht="49.5">
      <c r="A704" s="2" t="s">
        <v>1693</v>
      </c>
      <c r="B704" s="2" t="s">
        <v>1694</v>
      </c>
      <c r="C704" s="2" t="s">
        <v>39</v>
      </c>
      <c r="D704" s="2" t="s">
        <v>31</v>
      </c>
    </row>
    <row r="705" spans="1:4" ht="49.5">
      <c r="A705" s="2" t="s">
        <v>1695</v>
      </c>
      <c r="B705" s="2" t="s">
        <v>1696</v>
      </c>
      <c r="C705" s="2" t="s">
        <v>39</v>
      </c>
      <c r="D705" s="2" t="s">
        <v>31</v>
      </c>
    </row>
    <row r="706" spans="1:4" ht="49.5">
      <c r="A706" s="2" t="s">
        <v>1697</v>
      </c>
      <c r="B706" s="2" t="s">
        <v>1698</v>
      </c>
      <c r="C706" s="2" t="s">
        <v>39</v>
      </c>
      <c r="D706" s="2" t="s">
        <v>31</v>
      </c>
    </row>
    <row r="707" spans="1:4" ht="49.5">
      <c r="A707" s="2" t="s">
        <v>1699</v>
      </c>
      <c r="B707" s="2" t="s">
        <v>1700</v>
      </c>
      <c r="C707" s="2" t="s">
        <v>39</v>
      </c>
      <c r="D707" s="2" t="s">
        <v>31</v>
      </c>
    </row>
    <row r="708" spans="1:4" ht="49.5">
      <c r="A708" s="2" t="s">
        <v>1701</v>
      </c>
      <c r="B708" s="2" t="s">
        <v>1702</v>
      </c>
      <c r="C708" s="2" t="s">
        <v>39</v>
      </c>
      <c r="D708" s="2" t="s">
        <v>31</v>
      </c>
    </row>
    <row r="709" spans="1:4" ht="49.5">
      <c r="A709" s="2" t="s">
        <v>1703</v>
      </c>
      <c r="B709" s="2" t="s">
        <v>1704</v>
      </c>
      <c r="C709" s="2" t="s">
        <v>39</v>
      </c>
      <c r="D709" s="2" t="s">
        <v>31</v>
      </c>
    </row>
    <row r="710" spans="1:4" ht="49.5">
      <c r="A710" s="2" t="s">
        <v>1705</v>
      </c>
      <c r="B710" s="2" t="s">
        <v>1706</v>
      </c>
      <c r="C710" s="2" t="s">
        <v>39</v>
      </c>
      <c r="D710" s="2" t="s">
        <v>31</v>
      </c>
    </row>
    <row r="711" spans="1:4" ht="49.5">
      <c r="A711" s="2" t="s">
        <v>1707</v>
      </c>
      <c r="B711" s="2" t="s">
        <v>1708</v>
      </c>
      <c r="C711" s="2" t="s">
        <v>39</v>
      </c>
      <c r="D711" s="2" t="s">
        <v>31</v>
      </c>
    </row>
    <row r="712" spans="1:4" ht="49.5">
      <c r="A712" s="2" t="s">
        <v>1709</v>
      </c>
      <c r="B712" s="2" t="s">
        <v>1710</v>
      </c>
      <c r="C712" s="2" t="s">
        <v>39</v>
      </c>
      <c r="D712" s="2" t="s">
        <v>31</v>
      </c>
    </row>
    <row r="713" spans="1:4" ht="49.5">
      <c r="A713" s="2" t="s">
        <v>1711</v>
      </c>
      <c r="B713" s="2" t="s">
        <v>1712</v>
      </c>
      <c r="C713" s="2" t="s">
        <v>39</v>
      </c>
      <c r="D713" s="2" t="s">
        <v>31</v>
      </c>
    </row>
    <row r="714" spans="1:4" ht="49.5">
      <c r="A714" s="2" t="s">
        <v>1713</v>
      </c>
      <c r="B714" s="2" t="s">
        <v>1714</v>
      </c>
      <c r="C714" s="2" t="s">
        <v>39</v>
      </c>
      <c r="D714" s="2" t="s">
        <v>31</v>
      </c>
    </row>
    <row r="715" spans="1:4" ht="49.5">
      <c r="A715" s="2" t="s">
        <v>1715</v>
      </c>
      <c r="B715" s="2" t="s">
        <v>1716</v>
      </c>
      <c r="C715" s="2" t="s">
        <v>39</v>
      </c>
      <c r="D715" s="2" t="s">
        <v>31</v>
      </c>
    </row>
    <row r="716" spans="1:4" ht="49.5">
      <c r="A716" s="2" t="s">
        <v>1717</v>
      </c>
      <c r="B716" s="2" t="s">
        <v>1718</v>
      </c>
      <c r="C716" s="2" t="s">
        <v>39</v>
      </c>
      <c r="D716" s="2" t="s">
        <v>31</v>
      </c>
    </row>
    <row r="717" spans="1:4" ht="49.5">
      <c r="A717" s="2" t="s">
        <v>1719</v>
      </c>
      <c r="B717" s="2" t="s">
        <v>1720</v>
      </c>
      <c r="C717" s="2" t="s">
        <v>39</v>
      </c>
      <c r="D717" s="2" t="s">
        <v>31</v>
      </c>
    </row>
    <row r="718" spans="1:4" ht="49.5">
      <c r="A718" s="2" t="s">
        <v>1721</v>
      </c>
      <c r="B718" s="2" t="s">
        <v>1722</v>
      </c>
      <c r="C718" s="2" t="s">
        <v>39</v>
      </c>
      <c r="D718" s="2" t="s">
        <v>31</v>
      </c>
    </row>
    <row r="719" spans="1:4" ht="49.5">
      <c r="A719" s="2" t="s">
        <v>1723</v>
      </c>
      <c r="B719" s="2" t="s">
        <v>1724</v>
      </c>
      <c r="C719" s="2" t="s">
        <v>39</v>
      </c>
      <c r="D719" s="2" t="s">
        <v>31</v>
      </c>
    </row>
    <row r="720" spans="1:4" ht="49.5">
      <c r="A720" s="2" t="s">
        <v>1725</v>
      </c>
      <c r="B720" s="2" t="s">
        <v>1726</v>
      </c>
      <c r="C720" s="2" t="s">
        <v>39</v>
      </c>
      <c r="D720" s="2" t="s">
        <v>31</v>
      </c>
    </row>
    <row r="721" spans="1:4" ht="49.5">
      <c r="A721" s="2" t="s">
        <v>1727</v>
      </c>
      <c r="B721" s="2" t="s">
        <v>1728</v>
      </c>
      <c r="C721" s="2" t="s">
        <v>39</v>
      </c>
      <c r="D721" s="2" t="s">
        <v>31</v>
      </c>
    </row>
    <row r="722" spans="1:4" ht="49.5">
      <c r="A722" s="2" t="s">
        <v>1729</v>
      </c>
      <c r="B722" s="2" t="s">
        <v>1730</v>
      </c>
      <c r="C722" s="2" t="s">
        <v>39</v>
      </c>
      <c r="D722" s="2" t="s">
        <v>36</v>
      </c>
    </row>
    <row r="723" spans="1:4" ht="49.5">
      <c r="A723" s="2" t="s">
        <v>287</v>
      </c>
      <c r="B723" s="2" t="s">
        <v>288</v>
      </c>
      <c r="C723" s="2" t="s">
        <v>268</v>
      </c>
      <c r="D723" s="2" t="s">
        <v>36</v>
      </c>
    </row>
    <row r="724" spans="1:4" ht="49.5">
      <c r="A724" s="2" t="s">
        <v>289</v>
      </c>
      <c r="B724" s="2" t="s">
        <v>290</v>
      </c>
      <c r="C724" s="2" t="s">
        <v>268</v>
      </c>
      <c r="D724" s="2" t="s">
        <v>34</v>
      </c>
    </row>
    <row r="725" spans="1:4" ht="49.5">
      <c r="A725" s="2" t="s">
        <v>291</v>
      </c>
      <c r="B725" s="2" t="s">
        <v>292</v>
      </c>
      <c r="C725" s="2" t="s">
        <v>268</v>
      </c>
      <c r="D725" s="2" t="s">
        <v>34</v>
      </c>
    </row>
    <row r="726" spans="1:4" ht="49.5">
      <c r="A726" s="2" t="s">
        <v>293</v>
      </c>
      <c r="B726" s="2" t="s">
        <v>294</v>
      </c>
      <c r="C726" s="2" t="s">
        <v>268</v>
      </c>
      <c r="D726" s="2" t="s">
        <v>34</v>
      </c>
    </row>
    <row r="727" spans="1:4" ht="33">
      <c r="A727" s="2" t="s">
        <v>301</v>
      </c>
      <c r="B727" s="2" t="s">
        <v>302</v>
      </c>
      <c r="C727" s="2" t="s">
        <v>268</v>
      </c>
      <c r="D727" s="2" t="s">
        <v>34</v>
      </c>
    </row>
    <row r="728" spans="1:4" ht="49.5">
      <c r="A728" s="2" t="s">
        <v>307</v>
      </c>
      <c r="B728" s="2" t="s">
        <v>308</v>
      </c>
      <c r="C728" s="2" t="s">
        <v>268</v>
      </c>
      <c r="D728" s="2" t="s">
        <v>31</v>
      </c>
    </row>
    <row r="729" spans="1:4" ht="49.5">
      <c r="A729" s="2" t="s">
        <v>313</v>
      </c>
      <c r="B729" s="2" t="s">
        <v>314</v>
      </c>
      <c r="C729" s="2" t="s">
        <v>268</v>
      </c>
      <c r="D729" s="2" t="s">
        <v>31</v>
      </c>
    </row>
    <row r="730" spans="1:4" ht="49.5">
      <c r="A730" s="2" t="s">
        <v>337</v>
      </c>
      <c r="B730" s="2" t="s">
        <v>338</v>
      </c>
      <c r="C730" s="2" t="s">
        <v>268</v>
      </c>
      <c r="D730" s="2" t="s">
        <v>36</v>
      </c>
    </row>
    <row r="731" spans="1:4" ht="49.5">
      <c r="A731" s="2" t="s">
        <v>355</v>
      </c>
      <c r="B731" s="2" t="s">
        <v>356</v>
      </c>
      <c r="C731" s="2" t="s">
        <v>268</v>
      </c>
      <c r="D731" s="2" t="s">
        <v>31</v>
      </c>
    </row>
    <row r="732" spans="1:4" ht="49.5">
      <c r="A732" s="2" t="s">
        <v>383</v>
      </c>
      <c r="B732" s="2" t="s">
        <v>384</v>
      </c>
      <c r="C732" s="2" t="s">
        <v>268</v>
      </c>
      <c r="D732" s="2" t="s">
        <v>34</v>
      </c>
    </row>
    <row r="733" spans="1:4" ht="49.5">
      <c r="A733" s="2" t="s">
        <v>397</v>
      </c>
      <c r="B733" s="2" t="s">
        <v>398</v>
      </c>
      <c r="C733" s="2" t="s">
        <v>268</v>
      </c>
      <c r="D733" s="2" t="s">
        <v>31</v>
      </c>
    </row>
    <row r="734" spans="1:4" ht="49.5">
      <c r="A734" s="2" t="s">
        <v>399</v>
      </c>
      <c r="B734" s="2" t="s">
        <v>400</v>
      </c>
      <c r="C734" s="2" t="s">
        <v>268</v>
      </c>
      <c r="D734" s="2" t="s">
        <v>36</v>
      </c>
    </row>
    <row r="735" spans="1:4" ht="49.5">
      <c r="A735" s="2" t="s">
        <v>527</v>
      </c>
      <c r="B735" s="2" t="s">
        <v>528</v>
      </c>
      <c r="C735" s="2" t="s">
        <v>268</v>
      </c>
      <c r="D735" s="2" t="s">
        <v>31</v>
      </c>
    </row>
    <row r="736" spans="1:4" ht="49.5">
      <c r="A736" s="2" t="s">
        <v>589</v>
      </c>
      <c r="B736" s="2" t="s">
        <v>590</v>
      </c>
      <c r="C736" s="2" t="s">
        <v>268</v>
      </c>
      <c r="D736" s="2" t="s">
        <v>31</v>
      </c>
    </row>
    <row r="737" spans="1:4" ht="49.5">
      <c r="A737" s="2" t="s">
        <v>591</v>
      </c>
      <c r="B737" s="2" t="s">
        <v>592</v>
      </c>
      <c r="C737" s="2" t="s">
        <v>268</v>
      </c>
      <c r="D737" s="2" t="s">
        <v>31</v>
      </c>
    </row>
    <row r="738" spans="1:4" ht="49.5">
      <c r="A738" s="2" t="s">
        <v>593</v>
      </c>
      <c r="B738" s="2" t="s">
        <v>594</v>
      </c>
      <c r="C738" s="2" t="s">
        <v>268</v>
      </c>
      <c r="D738" s="2" t="s">
        <v>31</v>
      </c>
    </row>
    <row r="739" spans="1:4" ht="49.5">
      <c r="A739" s="2" t="s">
        <v>595</v>
      </c>
      <c r="B739" s="2" t="s">
        <v>596</v>
      </c>
      <c r="C739" s="2" t="s">
        <v>268</v>
      </c>
      <c r="D739" s="2" t="s">
        <v>31</v>
      </c>
    </row>
    <row r="740" spans="1:4" ht="49.5">
      <c r="A740" s="2" t="s">
        <v>597</v>
      </c>
      <c r="B740" s="2" t="s">
        <v>598</v>
      </c>
      <c r="C740" s="2" t="s">
        <v>268</v>
      </c>
      <c r="D740" s="2" t="s">
        <v>31</v>
      </c>
    </row>
    <row r="741" spans="1:4" ht="49.5">
      <c r="A741" s="2" t="s">
        <v>599</v>
      </c>
      <c r="B741" s="2" t="s">
        <v>600</v>
      </c>
      <c r="C741" s="2" t="s">
        <v>268</v>
      </c>
      <c r="D741" s="2" t="s">
        <v>31</v>
      </c>
    </row>
    <row r="742" spans="1:4" ht="49.5">
      <c r="A742" s="2" t="s">
        <v>601</v>
      </c>
      <c r="B742" s="2" t="s">
        <v>602</v>
      </c>
      <c r="C742" s="2" t="s">
        <v>268</v>
      </c>
      <c r="D742" s="2" t="s">
        <v>31</v>
      </c>
    </row>
    <row r="743" spans="1:4" ht="49.5">
      <c r="A743" s="2" t="s">
        <v>603</v>
      </c>
      <c r="B743" s="2" t="s">
        <v>604</v>
      </c>
      <c r="C743" s="2" t="s">
        <v>268</v>
      </c>
      <c r="D743" s="2" t="s">
        <v>31</v>
      </c>
    </row>
    <row r="744" spans="1:4" ht="66">
      <c r="A744" s="2" t="s">
        <v>629</v>
      </c>
      <c r="B744" s="2" t="s">
        <v>630</v>
      </c>
      <c r="C744" s="2" t="s">
        <v>268</v>
      </c>
      <c r="D744" s="2" t="s">
        <v>31</v>
      </c>
    </row>
    <row r="745" spans="1:4" ht="66">
      <c r="A745" s="2" t="s">
        <v>633</v>
      </c>
      <c r="B745" s="2" t="s">
        <v>634</v>
      </c>
      <c r="C745" s="2" t="s">
        <v>268</v>
      </c>
      <c r="D745" s="2" t="s">
        <v>31</v>
      </c>
    </row>
    <row r="746" spans="1:4" ht="66">
      <c r="A746" s="2" t="s">
        <v>635</v>
      </c>
      <c r="B746" s="2" t="s">
        <v>636</v>
      </c>
      <c r="C746" s="2" t="s">
        <v>268</v>
      </c>
      <c r="D746" s="2" t="s">
        <v>31</v>
      </c>
    </row>
    <row r="747" spans="1:4" ht="66">
      <c r="A747" s="2" t="s">
        <v>637</v>
      </c>
      <c r="B747" s="2" t="s">
        <v>638</v>
      </c>
      <c r="C747" s="2" t="s">
        <v>268</v>
      </c>
      <c r="D747" s="2" t="s">
        <v>31</v>
      </c>
    </row>
    <row r="748" spans="1:4" ht="66">
      <c r="A748" s="2" t="s">
        <v>643</v>
      </c>
      <c r="B748" s="2" t="s">
        <v>644</v>
      </c>
      <c r="C748" s="2" t="s">
        <v>268</v>
      </c>
      <c r="D748" s="2" t="s">
        <v>34</v>
      </c>
    </row>
    <row r="749" spans="1:4" ht="66">
      <c r="A749" s="2" t="s">
        <v>645</v>
      </c>
      <c r="B749" s="2" t="s">
        <v>646</v>
      </c>
      <c r="C749" s="2" t="s">
        <v>268</v>
      </c>
      <c r="D749" s="2" t="s">
        <v>31</v>
      </c>
    </row>
    <row r="750" spans="1:4" ht="66">
      <c r="A750" s="2" t="s">
        <v>647</v>
      </c>
      <c r="B750" s="2" t="s">
        <v>648</v>
      </c>
      <c r="C750" s="2" t="s">
        <v>268</v>
      </c>
      <c r="D750" s="2" t="s">
        <v>31</v>
      </c>
    </row>
    <row r="751" spans="1:4" ht="66">
      <c r="A751" s="2" t="s">
        <v>649</v>
      </c>
      <c r="B751" s="2" t="s">
        <v>650</v>
      </c>
      <c r="C751" s="2" t="s">
        <v>268</v>
      </c>
      <c r="D751" s="2" t="s">
        <v>31</v>
      </c>
    </row>
    <row r="752" spans="1:4" ht="66">
      <c r="A752" s="2" t="s">
        <v>651</v>
      </c>
      <c r="B752" s="2" t="s">
        <v>652</v>
      </c>
      <c r="C752" s="2" t="s">
        <v>268</v>
      </c>
      <c r="D752" s="2" t="s">
        <v>31</v>
      </c>
    </row>
    <row r="753" spans="1:4" ht="66">
      <c r="A753" s="2" t="s">
        <v>653</v>
      </c>
      <c r="B753" s="2" t="s">
        <v>654</v>
      </c>
      <c r="C753" s="2" t="s">
        <v>268</v>
      </c>
      <c r="D753" s="2" t="s">
        <v>31</v>
      </c>
    </row>
    <row r="754" spans="1:4" ht="66">
      <c r="A754" s="2" t="s">
        <v>655</v>
      </c>
      <c r="B754" s="2" t="s">
        <v>656</v>
      </c>
      <c r="C754" s="2" t="s">
        <v>268</v>
      </c>
      <c r="D754" s="2" t="s">
        <v>31</v>
      </c>
    </row>
    <row r="755" spans="1:4" ht="66">
      <c r="A755" s="2" t="s">
        <v>657</v>
      </c>
      <c r="B755" s="2" t="s">
        <v>658</v>
      </c>
      <c r="C755" s="2" t="s">
        <v>268</v>
      </c>
      <c r="D755" s="2" t="s">
        <v>31</v>
      </c>
    </row>
    <row r="756" spans="1:4" ht="66">
      <c r="A756" s="2" t="s">
        <v>659</v>
      </c>
      <c r="B756" s="2" t="s">
        <v>660</v>
      </c>
      <c r="C756" s="2" t="s">
        <v>268</v>
      </c>
      <c r="D756" s="2" t="s">
        <v>31</v>
      </c>
    </row>
    <row r="757" spans="1:4" ht="66">
      <c r="A757" s="2" t="s">
        <v>661</v>
      </c>
      <c r="B757" s="2" t="s">
        <v>662</v>
      </c>
      <c r="C757" s="2" t="s">
        <v>268</v>
      </c>
      <c r="D757" s="2" t="s">
        <v>31</v>
      </c>
    </row>
    <row r="758" spans="1:4" ht="66">
      <c r="A758" s="2" t="s">
        <v>665</v>
      </c>
      <c r="B758" s="2" t="s">
        <v>666</v>
      </c>
      <c r="C758" s="2" t="s">
        <v>268</v>
      </c>
      <c r="D758" s="2" t="s">
        <v>31</v>
      </c>
    </row>
    <row r="759" spans="1:4" ht="66">
      <c r="A759" s="2" t="s">
        <v>667</v>
      </c>
      <c r="B759" s="2" t="s">
        <v>668</v>
      </c>
      <c r="C759" s="2" t="s">
        <v>268</v>
      </c>
      <c r="D759" s="2" t="s">
        <v>31</v>
      </c>
    </row>
    <row r="760" spans="1:4" ht="66">
      <c r="A760" s="2" t="s">
        <v>669</v>
      </c>
      <c r="B760" s="2" t="s">
        <v>670</v>
      </c>
      <c r="C760" s="2" t="s">
        <v>268</v>
      </c>
      <c r="D760" s="2" t="s">
        <v>31</v>
      </c>
    </row>
    <row r="761" spans="1:4" ht="66">
      <c r="A761" s="2" t="s">
        <v>671</v>
      </c>
      <c r="B761" s="2" t="s">
        <v>672</v>
      </c>
      <c r="C761" s="2" t="s">
        <v>268</v>
      </c>
      <c r="D761" s="2" t="s">
        <v>31</v>
      </c>
    </row>
    <row r="762" spans="1:4" ht="66">
      <c r="A762" s="2" t="s">
        <v>673</v>
      </c>
      <c r="B762" s="2" t="s">
        <v>674</v>
      </c>
      <c r="C762" s="2" t="s">
        <v>268</v>
      </c>
      <c r="D762" s="2" t="s">
        <v>31</v>
      </c>
    </row>
    <row r="763" spans="1:4" ht="66">
      <c r="A763" s="2" t="s">
        <v>675</v>
      </c>
      <c r="B763" s="2" t="s">
        <v>676</v>
      </c>
      <c r="C763" s="2" t="s">
        <v>268</v>
      </c>
      <c r="D763" s="2" t="s">
        <v>31</v>
      </c>
    </row>
    <row r="764" spans="1:4" ht="33">
      <c r="A764" s="2" t="s">
        <v>685</v>
      </c>
      <c r="B764" s="2" t="s">
        <v>686</v>
      </c>
      <c r="C764" s="2" t="s">
        <v>268</v>
      </c>
      <c r="D764" s="2" t="s">
        <v>34</v>
      </c>
    </row>
    <row r="765" spans="1:4" ht="66">
      <c r="A765" s="2" t="s">
        <v>803</v>
      </c>
      <c r="B765" s="2" t="s">
        <v>804</v>
      </c>
      <c r="C765" s="2" t="s">
        <v>268</v>
      </c>
      <c r="D765" s="2" t="s">
        <v>31</v>
      </c>
    </row>
    <row r="766" spans="1:4" ht="66">
      <c r="A766" s="2" t="s">
        <v>805</v>
      </c>
      <c r="B766" s="2" t="s">
        <v>806</v>
      </c>
      <c r="C766" s="2" t="s">
        <v>268</v>
      </c>
      <c r="D766" s="2" t="s">
        <v>31</v>
      </c>
    </row>
    <row r="767" spans="1:4" ht="66">
      <c r="A767" s="2" t="s">
        <v>807</v>
      </c>
      <c r="B767" s="2" t="s">
        <v>808</v>
      </c>
      <c r="C767" s="2" t="s">
        <v>268</v>
      </c>
      <c r="D767" s="2" t="s">
        <v>31</v>
      </c>
    </row>
    <row r="768" spans="1:4" ht="66">
      <c r="A768" s="2" t="s">
        <v>809</v>
      </c>
      <c r="B768" s="2" t="s">
        <v>810</v>
      </c>
      <c r="C768" s="2" t="s">
        <v>268</v>
      </c>
      <c r="D768" s="2" t="s">
        <v>31</v>
      </c>
    </row>
    <row r="769" spans="1:4" ht="66">
      <c r="A769" s="2" t="s">
        <v>823</v>
      </c>
      <c r="B769" s="2" t="s">
        <v>824</v>
      </c>
      <c r="C769" s="2" t="s">
        <v>268</v>
      </c>
      <c r="D769" s="2" t="s">
        <v>31</v>
      </c>
    </row>
    <row r="770" spans="1:4" ht="66">
      <c r="A770" s="2" t="s">
        <v>831</v>
      </c>
      <c r="B770" s="2" t="s">
        <v>832</v>
      </c>
      <c r="C770" s="2" t="s">
        <v>268</v>
      </c>
      <c r="D770" s="2" t="s">
        <v>31</v>
      </c>
    </row>
    <row r="771" spans="1:4" ht="66">
      <c r="A771" s="2" t="s">
        <v>833</v>
      </c>
      <c r="B771" s="2" t="s">
        <v>834</v>
      </c>
      <c r="C771" s="2" t="s">
        <v>268</v>
      </c>
      <c r="D771" s="2" t="s">
        <v>31</v>
      </c>
    </row>
    <row r="772" spans="1:4" ht="66">
      <c r="A772" s="2" t="s">
        <v>835</v>
      </c>
      <c r="B772" s="2" t="s">
        <v>836</v>
      </c>
      <c r="C772" s="2" t="s">
        <v>268</v>
      </c>
      <c r="D772" s="2" t="s">
        <v>31</v>
      </c>
    </row>
    <row r="773" spans="1:4" ht="66">
      <c r="A773" s="2" t="s">
        <v>837</v>
      </c>
      <c r="B773" s="2" t="s">
        <v>838</v>
      </c>
      <c r="C773" s="2" t="s">
        <v>268</v>
      </c>
      <c r="D773" s="2" t="s">
        <v>31</v>
      </c>
    </row>
    <row r="774" spans="1:4" ht="66">
      <c r="A774" s="2" t="s">
        <v>855</v>
      </c>
      <c r="B774" s="2" t="s">
        <v>856</v>
      </c>
      <c r="C774" s="2" t="s">
        <v>268</v>
      </c>
      <c r="D774" s="2" t="s">
        <v>31</v>
      </c>
    </row>
    <row r="775" spans="1:4" ht="66">
      <c r="A775" s="2" t="s">
        <v>857</v>
      </c>
      <c r="B775" s="2" t="s">
        <v>858</v>
      </c>
      <c r="C775" s="2" t="s">
        <v>268</v>
      </c>
      <c r="D775" s="2" t="s">
        <v>31</v>
      </c>
    </row>
    <row r="776" spans="1:4" ht="66">
      <c r="A776" s="2" t="s">
        <v>859</v>
      </c>
      <c r="B776" s="2" t="s">
        <v>860</v>
      </c>
      <c r="C776" s="2" t="s">
        <v>268</v>
      </c>
      <c r="D776" s="2" t="s">
        <v>31</v>
      </c>
    </row>
    <row r="777" spans="1:4" ht="66">
      <c r="A777" s="2" t="s">
        <v>861</v>
      </c>
      <c r="B777" s="2" t="s">
        <v>862</v>
      </c>
      <c r="C777" s="2" t="s">
        <v>268</v>
      </c>
      <c r="D777" s="2" t="s">
        <v>31</v>
      </c>
    </row>
    <row r="778" spans="1:4" ht="66">
      <c r="A778" s="2" t="s">
        <v>863</v>
      </c>
      <c r="B778" s="2" t="s">
        <v>864</v>
      </c>
      <c r="C778" s="2" t="s">
        <v>268</v>
      </c>
      <c r="D778" s="2" t="s">
        <v>31</v>
      </c>
    </row>
    <row r="779" spans="1:4" ht="66">
      <c r="A779" s="2" t="s">
        <v>865</v>
      </c>
      <c r="B779" s="2" t="s">
        <v>866</v>
      </c>
      <c r="C779" s="2" t="s">
        <v>268</v>
      </c>
      <c r="D779" s="2" t="s">
        <v>31</v>
      </c>
    </row>
    <row r="780" spans="1:4" ht="66">
      <c r="A780" s="2" t="s">
        <v>867</v>
      </c>
      <c r="B780" s="2" t="s">
        <v>868</v>
      </c>
      <c r="C780" s="2" t="s">
        <v>268</v>
      </c>
      <c r="D780" s="2" t="s">
        <v>31</v>
      </c>
    </row>
    <row r="781" spans="1:4" ht="66">
      <c r="A781" s="2" t="s">
        <v>881</v>
      </c>
      <c r="B781" s="2" t="s">
        <v>882</v>
      </c>
      <c r="C781" s="2" t="s">
        <v>268</v>
      </c>
      <c r="D781" s="2" t="s">
        <v>31</v>
      </c>
    </row>
    <row r="782" spans="1:4" ht="66">
      <c r="A782" s="2" t="s">
        <v>887</v>
      </c>
      <c r="B782" s="2" t="s">
        <v>888</v>
      </c>
      <c r="C782" s="2" t="s">
        <v>268</v>
      </c>
      <c r="D782" s="2" t="s">
        <v>31</v>
      </c>
    </row>
    <row r="783" spans="1:4" ht="66">
      <c r="A783" s="2" t="s">
        <v>889</v>
      </c>
      <c r="B783" s="2" t="s">
        <v>890</v>
      </c>
      <c r="C783" s="2" t="s">
        <v>268</v>
      </c>
      <c r="D783" s="2" t="s">
        <v>31</v>
      </c>
    </row>
    <row r="784" spans="1:4" ht="66">
      <c r="A784" s="2" t="s">
        <v>891</v>
      </c>
      <c r="B784" s="2" t="s">
        <v>892</v>
      </c>
      <c r="C784" s="2" t="s">
        <v>268</v>
      </c>
      <c r="D784" s="2" t="s">
        <v>31</v>
      </c>
    </row>
    <row r="785" spans="1:4" ht="66">
      <c r="A785" s="2" t="s">
        <v>893</v>
      </c>
      <c r="B785" s="2" t="s">
        <v>894</v>
      </c>
      <c r="C785" s="2" t="s">
        <v>268</v>
      </c>
      <c r="D785" s="2" t="s">
        <v>31</v>
      </c>
    </row>
    <row r="786" spans="1:4" ht="66">
      <c r="A786" s="2" t="s">
        <v>895</v>
      </c>
      <c r="B786" s="2" t="s">
        <v>896</v>
      </c>
      <c r="C786" s="2" t="s">
        <v>268</v>
      </c>
      <c r="D786" s="2" t="s">
        <v>31</v>
      </c>
    </row>
    <row r="787" spans="1:4" ht="66">
      <c r="A787" s="2" t="s">
        <v>897</v>
      </c>
      <c r="B787" s="2" t="s">
        <v>898</v>
      </c>
      <c r="C787" s="2" t="s">
        <v>268</v>
      </c>
      <c r="D787" s="2" t="s">
        <v>31</v>
      </c>
    </row>
    <row r="788" spans="1:4" ht="66">
      <c r="A788" s="2" t="s">
        <v>899</v>
      </c>
      <c r="B788" s="2" t="s">
        <v>900</v>
      </c>
      <c r="C788" s="2" t="s">
        <v>268</v>
      </c>
      <c r="D788" s="2" t="s">
        <v>31</v>
      </c>
    </row>
    <row r="789" spans="1:4" ht="66">
      <c r="A789" s="2" t="s">
        <v>913</v>
      </c>
      <c r="B789" s="2" t="s">
        <v>914</v>
      </c>
      <c r="C789" s="2" t="s">
        <v>268</v>
      </c>
      <c r="D789" s="2" t="s">
        <v>31</v>
      </c>
    </row>
    <row r="790" spans="1:4" ht="66">
      <c r="A790" s="2" t="s">
        <v>917</v>
      </c>
      <c r="B790" s="2" t="s">
        <v>918</v>
      </c>
      <c r="C790" s="2" t="s">
        <v>268</v>
      </c>
      <c r="D790" s="2" t="s">
        <v>31</v>
      </c>
    </row>
    <row r="791" spans="1:4" ht="66">
      <c r="A791" s="2" t="s">
        <v>923</v>
      </c>
      <c r="B791" s="2" t="s">
        <v>924</v>
      </c>
      <c r="C791" s="2" t="s">
        <v>268</v>
      </c>
      <c r="D791" s="2" t="s">
        <v>31</v>
      </c>
    </row>
    <row r="792" spans="1:4" ht="66">
      <c r="A792" s="2" t="s">
        <v>933</v>
      </c>
      <c r="B792" s="2" t="s">
        <v>934</v>
      </c>
      <c r="C792" s="2" t="s">
        <v>268</v>
      </c>
      <c r="D792" s="2" t="s">
        <v>31</v>
      </c>
    </row>
    <row r="793" spans="1:4" ht="66">
      <c r="A793" s="2" t="s">
        <v>935</v>
      </c>
      <c r="B793" s="2" t="s">
        <v>936</v>
      </c>
      <c r="C793" s="2" t="s">
        <v>268</v>
      </c>
      <c r="D793" s="2" t="s">
        <v>31</v>
      </c>
    </row>
    <row r="794" spans="1:4" ht="66">
      <c r="A794" s="2" t="s">
        <v>937</v>
      </c>
      <c r="B794" s="2" t="s">
        <v>938</v>
      </c>
      <c r="C794" s="2" t="s">
        <v>268</v>
      </c>
      <c r="D794" s="2" t="s">
        <v>31</v>
      </c>
    </row>
    <row r="795" spans="1:4" ht="66">
      <c r="A795" s="2" t="s">
        <v>939</v>
      </c>
      <c r="B795" s="2" t="s">
        <v>940</v>
      </c>
      <c r="C795" s="2" t="s">
        <v>268</v>
      </c>
      <c r="D795" s="2" t="s">
        <v>31</v>
      </c>
    </row>
    <row r="796" spans="1:4" ht="66">
      <c r="A796" s="2" t="s">
        <v>941</v>
      </c>
      <c r="B796" s="2" t="s">
        <v>942</v>
      </c>
      <c r="C796" s="2" t="s">
        <v>268</v>
      </c>
      <c r="D796" s="2" t="s">
        <v>31</v>
      </c>
    </row>
    <row r="797" spans="1:4" ht="66">
      <c r="A797" s="2" t="s">
        <v>943</v>
      </c>
      <c r="B797" s="2" t="s">
        <v>944</v>
      </c>
      <c r="C797" s="2" t="s">
        <v>268</v>
      </c>
      <c r="D797" s="2" t="s">
        <v>31</v>
      </c>
    </row>
    <row r="798" spans="1:4" ht="66">
      <c r="A798" s="2" t="s">
        <v>945</v>
      </c>
      <c r="B798" s="2" t="s">
        <v>946</v>
      </c>
      <c r="C798" s="2" t="s">
        <v>268</v>
      </c>
      <c r="D798" s="2" t="s">
        <v>31</v>
      </c>
    </row>
    <row r="799" spans="1:4" ht="66">
      <c r="A799" s="2" t="s">
        <v>947</v>
      </c>
      <c r="B799" s="2" t="s">
        <v>948</v>
      </c>
      <c r="C799" s="2" t="s">
        <v>268</v>
      </c>
      <c r="D799" s="2" t="s">
        <v>31</v>
      </c>
    </row>
    <row r="800" spans="1:4" ht="66">
      <c r="A800" s="2" t="s">
        <v>949</v>
      </c>
      <c r="B800" s="2" t="s">
        <v>950</v>
      </c>
      <c r="C800" s="2" t="s">
        <v>268</v>
      </c>
      <c r="D800" s="2" t="s">
        <v>31</v>
      </c>
    </row>
    <row r="801" spans="1:4" ht="66">
      <c r="A801" s="2" t="s">
        <v>951</v>
      </c>
      <c r="B801" s="2" t="s">
        <v>952</v>
      </c>
      <c r="C801" s="2" t="s">
        <v>268</v>
      </c>
      <c r="D801" s="2" t="s">
        <v>31</v>
      </c>
    </row>
    <row r="802" spans="1:4" ht="66">
      <c r="A802" s="2" t="s">
        <v>953</v>
      </c>
      <c r="B802" s="2" t="s">
        <v>954</v>
      </c>
      <c r="C802" s="2" t="s">
        <v>268</v>
      </c>
      <c r="D802" s="2" t="s">
        <v>31</v>
      </c>
    </row>
    <row r="803" spans="1:4" ht="66">
      <c r="A803" s="2" t="s">
        <v>955</v>
      </c>
      <c r="B803" s="2" t="s">
        <v>956</v>
      </c>
      <c r="C803" s="2" t="s">
        <v>268</v>
      </c>
      <c r="D803" s="2" t="s">
        <v>31</v>
      </c>
    </row>
    <row r="804" spans="1:4" ht="66">
      <c r="A804" s="2" t="s">
        <v>957</v>
      </c>
      <c r="B804" s="2" t="s">
        <v>958</v>
      </c>
      <c r="C804" s="2" t="s">
        <v>268</v>
      </c>
      <c r="D804" s="2" t="s">
        <v>31</v>
      </c>
    </row>
    <row r="805" spans="1:4" ht="66">
      <c r="A805" s="2" t="s">
        <v>959</v>
      </c>
      <c r="B805" s="2" t="s">
        <v>960</v>
      </c>
      <c r="C805" s="2" t="s">
        <v>268</v>
      </c>
      <c r="D805" s="2" t="s">
        <v>31</v>
      </c>
    </row>
    <row r="806" spans="1:4" ht="66">
      <c r="A806" s="2" t="s">
        <v>961</v>
      </c>
      <c r="B806" s="2" t="s">
        <v>962</v>
      </c>
      <c r="C806" s="2" t="s">
        <v>268</v>
      </c>
      <c r="D806" s="2" t="s">
        <v>31</v>
      </c>
    </row>
    <row r="807" spans="1:4" ht="66">
      <c r="A807" s="2" t="s">
        <v>963</v>
      </c>
      <c r="B807" s="2" t="s">
        <v>964</v>
      </c>
      <c r="C807" s="2" t="s">
        <v>268</v>
      </c>
      <c r="D807" s="2" t="s">
        <v>31</v>
      </c>
    </row>
    <row r="808" spans="1:4" ht="49.5">
      <c r="A808" s="2" t="s">
        <v>1207</v>
      </c>
      <c r="B808" s="2" t="s">
        <v>1208</v>
      </c>
      <c r="C808" s="2" t="s">
        <v>268</v>
      </c>
      <c r="D808" s="2" t="s">
        <v>31</v>
      </c>
    </row>
    <row r="809" spans="1:4" ht="49.5">
      <c r="A809" s="2" t="s">
        <v>1209</v>
      </c>
      <c r="B809" s="2" t="s">
        <v>1210</v>
      </c>
      <c r="C809" s="2" t="s">
        <v>268</v>
      </c>
      <c r="D809" s="2" t="s">
        <v>31</v>
      </c>
    </row>
    <row r="810" spans="1:4" ht="49.5">
      <c r="A810" s="2" t="s">
        <v>1213</v>
      </c>
      <c r="B810" s="2" t="s">
        <v>1214</v>
      </c>
      <c r="C810" s="2" t="s">
        <v>268</v>
      </c>
      <c r="D810" s="2" t="s">
        <v>31</v>
      </c>
    </row>
    <row r="811" spans="1:4" ht="49.5">
      <c r="A811" s="2" t="s">
        <v>1377</v>
      </c>
      <c r="B811" s="2" t="s">
        <v>1378</v>
      </c>
      <c r="C811" s="2" t="s">
        <v>268</v>
      </c>
      <c r="D811" s="2" t="s">
        <v>31</v>
      </c>
    </row>
    <row r="812" spans="1:4" ht="49.5">
      <c r="A812" s="2" t="s">
        <v>1385</v>
      </c>
      <c r="B812" s="2" t="s">
        <v>1386</v>
      </c>
      <c r="C812" s="2" t="s">
        <v>268</v>
      </c>
      <c r="D812" s="2" t="s">
        <v>31</v>
      </c>
    </row>
    <row r="813" spans="1:4" ht="49.5">
      <c r="A813" s="2" t="s">
        <v>1387</v>
      </c>
      <c r="B813" s="2" t="s">
        <v>1388</v>
      </c>
      <c r="C813" s="2" t="s">
        <v>268</v>
      </c>
      <c r="D813" s="2" t="s">
        <v>31</v>
      </c>
    </row>
    <row r="814" spans="1:4" ht="49.5">
      <c r="A814" s="2" t="s">
        <v>1403</v>
      </c>
      <c r="B814" s="2" t="s">
        <v>1404</v>
      </c>
      <c r="C814" s="2" t="s">
        <v>268</v>
      </c>
      <c r="D814" s="2" t="s">
        <v>31</v>
      </c>
    </row>
    <row r="815" spans="1:4" ht="66">
      <c r="A815" s="2" t="s">
        <v>1405</v>
      </c>
      <c r="B815" s="2" t="s">
        <v>1406</v>
      </c>
      <c r="C815" s="2" t="s">
        <v>268</v>
      </c>
      <c r="D815" s="2" t="s">
        <v>31</v>
      </c>
    </row>
    <row r="816" spans="1:4" ht="49.5">
      <c r="A816" s="2" t="s">
        <v>1407</v>
      </c>
      <c r="B816" s="2" t="s">
        <v>1408</v>
      </c>
      <c r="C816" s="2" t="s">
        <v>268</v>
      </c>
      <c r="D816" s="2" t="s">
        <v>31</v>
      </c>
    </row>
    <row r="817" spans="1:4" ht="49.5">
      <c r="A817" s="2" t="s">
        <v>1409</v>
      </c>
      <c r="B817" s="2" t="s">
        <v>1410</v>
      </c>
      <c r="C817" s="2" t="s">
        <v>268</v>
      </c>
      <c r="D817" s="2" t="s">
        <v>31</v>
      </c>
    </row>
    <row r="818" spans="1:4" ht="66">
      <c r="A818" s="2" t="s">
        <v>1411</v>
      </c>
      <c r="B818" s="2" t="s">
        <v>1412</v>
      </c>
      <c r="C818" s="2" t="s">
        <v>268</v>
      </c>
      <c r="D818" s="2" t="s">
        <v>31</v>
      </c>
    </row>
    <row r="819" spans="1:4" ht="49.5">
      <c r="A819" s="2" t="s">
        <v>1413</v>
      </c>
      <c r="B819" s="2" t="s">
        <v>1414</v>
      </c>
      <c r="C819" s="2" t="s">
        <v>268</v>
      </c>
      <c r="D819" s="2" t="s">
        <v>31</v>
      </c>
    </row>
    <row r="820" spans="1:4" ht="49.5">
      <c r="A820" s="2" t="s">
        <v>1415</v>
      </c>
      <c r="B820" s="2" t="s">
        <v>1416</v>
      </c>
      <c r="C820" s="2" t="s">
        <v>268</v>
      </c>
      <c r="D820" s="2" t="s">
        <v>31</v>
      </c>
    </row>
    <row r="821" spans="1:4" ht="66">
      <c r="A821" s="2" t="s">
        <v>1417</v>
      </c>
      <c r="B821" s="2" t="s">
        <v>1418</v>
      </c>
      <c r="C821" s="2" t="s">
        <v>268</v>
      </c>
      <c r="D821" s="2" t="s">
        <v>31</v>
      </c>
    </row>
    <row r="822" spans="1:4" ht="49.5">
      <c r="A822" s="2" t="s">
        <v>1419</v>
      </c>
      <c r="B822" s="2" t="s">
        <v>1420</v>
      </c>
      <c r="C822" s="2" t="s">
        <v>268</v>
      </c>
      <c r="D822" s="2" t="s">
        <v>31</v>
      </c>
    </row>
    <row r="823" spans="1:4" ht="49.5">
      <c r="A823" s="2" t="s">
        <v>1421</v>
      </c>
      <c r="B823" s="2" t="s">
        <v>1422</v>
      </c>
      <c r="C823" s="2" t="s">
        <v>268</v>
      </c>
      <c r="D823" s="2" t="s">
        <v>31</v>
      </c>
    </row>
    <row r="824" spans="1:4" ht="49.5">
      <c r="A824" s="2" t="s">
        <v>1423</v>
      </c>
      <c r="B824" s="2" t="s">
        <v>1424</v>
      </c>
      <c r="C824" s="2" t="s">
        <v>268</v>
      </c>
      <c r="D824" s="2" t="s">
        <v>31</v>
      </c>
    </row>
    <row r="825" spans="1:4" ht="49.5">
      <c r="A825" s="2" t="s">
        <v>1425</v>
      </c>
      <c r="B825" s="2" t="s">
        <v>1426</v>
      </c>
      <c r="C825" s="2" t="s">
        <v>268</v>
      </c>
      <c r="D825" s="2" t="s">
        <v>31</v>
      </c>
    </row>
    <row r="826" spans="1:4" ht="49.5">
      <c r="A826" s="2" t="s">
        <v>1427</v>
      </c>
      <c r="B826" s="2" t="s">
        <v>1428</v>
      </c>
      <c r="C826" s="2" t="s">
        <v>268</v>
      </c>
      <c r="D826" s="2" t="s">
        <v>31</v>
      </c>
    </row>
    <row r="827" spans="1:4" ht="49.5">
      <c r="A827" s="2" t="s">
        <v>1429</v>
      </c>
      <c r="B827" s="2" t="s">
        <v>1430</v>
      </c>
      <c r="C827" s="2" t="s">
        <v>268</v>
      </c>
      <c r="D827" s="2" t="s">
        <v>31</v>
      </c>
    </row>
    <row r="828" spans="1:4" ht="49.5">
      <c r="A828" s="2" t="s">
        <v>1431</v>
      </c>
      <c r="B828" s="2" t="s">
        <v>1432</v>
      </c>
      <c r="C828" s="2" t="s">
        <v>268</v>
      </c>
      <c r="D828" s="2" t="s">
        <v>31</v>
      </c>
    </row>
    <row r="829" spans="1:4" ht="49.5">
      <c r="A829" s="2" t="s">
        <v>1433</v>
      </c>
      <c r="B829" s="2" t="s">
        <v>1434</v>
      </c>
      <c r="C829" s="2" t="s">
        <v>268</v>
      </c>
      <c r="D829" s="2" t="s">
        <v>31</v>
      </c>
    </row>
    <row r="830" spans="1:4" ht="66">
      <c r="A830" s="2" t="s">
        <v>1435</v>
      </c>
      <c r="B830" s="2" t="s">
        <v>1436</v>
      </c>
      <c r="C830" s="2" t="s">
        <v>268</v>
      </c>
      <c r="D830" s="2" t="s">
        <v>31</v>
      </c>
    </row>
    <row r="831" spans="1:4" ht="66">
      <c r="A831" s="2" t="s">
        <v>1437</v>
      </c>
      <c r="B831" s="2" t="s">
        <v>1438</v>
      </c>
      <c r="C831" s="2" t="s">
        <v>268</v>
      </c>
      <c r="D831" s="2" t="s">
        <v>31</v>
      </c>
    </row>
    <row r="832" spans="1:4" ht="49.5">
      <c r="A832" s="2" t="s">
        <v>1439</v>
      </c>
      <c r="B832" s="2" t="s">
        <v>1440</v>
      </c>
      <c r="C832" s="2" t="s">
        <v>268</v>
      </c>
      <c r="D832" s="2" t="s">
        <v>31</v>
      </c>
    </row>
    <row r="833" spans="1:4" ht="49.5">
      <c r="A833" s="2" t="s">
        <v>1441</v>
      </c>
      <c r="B833" s="2" t="s">
        <v>1442</v>
      </c>
      <c r="C833" s="2" t="s">
        <v>268</v>
      </c>
      <c r="D833" s="2" t="s">
        <v>31</v>
      </c>
    </row>
    <row r="834" spans="1:4" ht="49.5">
      <c r="A834" s="2" t="s">
        <v>1443</v>
      </c>
      <c r="B834" s="2" t="s">
        <v>1444</v>
      </c>
      <c r="C834" s="2" t="s">
        <v>268</v>
      </c>
      <c r="D834" s="2" t="s">
        <v>31</v>
      </c>
    </row>
    <row r="835" spans="1:4" ht="66">
      <c r="A835" s="2" t="s">
        <v>1445</v>
      </c>
      <c r="B835" s="2" t="s">
        <v>1446</v>
      </c>
      <c r="C835" s="2" t="s">
        <v>268</v>
      </c>
      <c r="D835" s="2" t="s">
        <v>31</v>
      </c>
    </row>
    <row r="836" spans="1:4" ht="66">
      <c r="A836" s="2" t="s">
        <v>1447</v>
      </c>
      <c r="B836" s="2" t="s">
        <v>1448</v>
      </c>
      <c r="C836" s="2" t="s">
        <v>268</v>
      </c>
      <c r="D836" s="2" t="s">
        <v>31</v>
      </c>
    </row>
    <row r="837" spans="1:4" ht="66">
      <c r="A837" s="2" t="s">
        <v>1449</v>
      </c>
      <c r="B837" s="2" t="s">
        <v>1450</v>
      </c>
      <c r="C837" s="2" t="s">
        <v>268</v>
      </c>
      <c r="D837" s="2" t="s">
        <v>31</v>
      </c>
    </row>
    <row r="838" spans="1:4" ht="66">
      <c r="A838" s="2" t="s">
        <v>1451</v>
      </c>
      <c r="B838" s="2" t="s">
        <v>1452</v>
      </c>
      <c r="C838" s="2" t="s">
        <v>268</v>
      </c>
      <c r="D838" s="2" t="s">
        <v>31</v>
      </c>
    </row>
    <row r="839" spans="1:4" ht="66">
      <c r="A839" s="2" t="s">
        <v>1453</v>
      </c>
      <c r="B839" s="2" t="s">
        <v>1454</v>
      </c>
      <c r="C839" s="2" t="s">
        <v>268</v>
      </c>
      <c r="D839" s="2" t="s">
        <v>31</v>
      </c>
    </row>
    <row r="840" spans="1:4" ht="49.5">
      <c r="A840" s="2" t="s">
        <v>1455</v>
      </c>
      <c r="B840" s="2" t="s">
        <v>1456</v>
      </c>
      <c r="C840" s="2" t="s">
        <v>268</v>
      </c>
      <c r="D840" s="2" t="s">
        <v>31</v>
      </c>
    </row>
    <row r="841" spans="1:4" ht="49.5">
      <c r="A841" s="2" t="s">
        <v>1457</v>
      </c>
      <c r="B841" s="2" t="s">
        <v>1458</v>
      </c>
      <c r="C841" s="2" t="s">
        <v>268</v>
      </c>
      <c r="D841" s="2" t="s">
        <v>31</v>
      </c>
    </row>
    <row r="842" spans="1:4" ht="49.5">
      <c r="A842" s="2" t="s">
        <v>1459</v>
      </c>
      <c r="B842" s="2" t="s">
        <v>1460</v>
      </c>
      <c r="C842" s="2" t="s">
        <v>268</v>
      </c>
      <c r="D842" s="2" t="s">
        <v>31</v>
      </c>
    </row>
    <row r="843" spans="1:4" ht="49.5">
      <c r="A843" s="2" t="s">
        <v>1461</v>
      </c>
      <c r="B843" s="2" t="s">
        <v>1462</v>
      </c>
      <c r="C843" s="2" t="s">
        <v>268</v>
      </c>
      <c r="D843" s="2" t="s">
        <v>31</v>
      </c>
    </row>
    <row r="844" spans="1:4" ht="49.5">
      <c r="A844" s="2" t="s">
        <v>1469</v>
      </c>
      <c r="B844" s="2" t="s">
        <v>1470</v>
      </c>
      <c r="C844" s="2" t="s">
        <v>268</v>
      </c>
      <c r="D844" s="2" t="s">
        <v>31</v>
      </c>
    </row>
    <row r="845" spans="1:4" ht="66">
      <c r="A845" s="2" t="s">
        <v>1471</v>
      </c>
      <c r="B845" s="2" t="s">
        <v>1472</v>
      </c>
      <c r="C845" s="2" t="s">
        <v>268</v>
      </c>
      <c r="D845" s="2" t="s">
        <v>31</v>
      </c>
    </row>
    <row r="846" spans="1:4" ht="66">
      <c r="A846" s="2" t="s">
        <v>1473</v>
      </c>
      <c r="B846" s="2" t="s">
        <v>1474</v>
      </c>
      <c r="C846" s="2" t="s">
        <v>268</v>
      </c>
      <c r="D846" s="2" t="s">
        <v>31</v>
      </c>
    </row>
    <row r="847" spans="1:4" ht="66">
      <c r="A847" s="2" t="s">
        <v>1475</v>
      </c>
      <c r="B847" s="2" t="s">
        <v>1476</v>
      </c>
      <c r="C847" s="2" t="s">
        <v>268</v>
      </c>
      <c r="D847" s="2" t="s">
        <v>31</v>
      </c>
    </row>
    <row r="848" spans="1:4" ht="49.5">
      <c r="A848" s="2" t="s">
        <v>1477</v>
      </c>
      <c r="B848" s="2" t="s">
        <v>1478</v>
      </c>
      <c r="C848" s="2" t="s">
        <v>268</v>
      </c>
      <c r="D848" s="2" t="s">
        <v>31</v>
      </c>
    </row>
    <row r="849" spans="1:4" ht="49.5">
      <c r="A849" s="2" t="s">
        <v>1479</v>
      </c>
      <c r="B849" s="2" t="s">
        <v>1480</v>
      </c>
      <c r="C849" s="2" t="s">
        <v>268</v>
      </c>
      <c r="D849" s="2" t="s">
        <v>31</v>
      </c>
    </row>
    <row r="850" spans="1:4" ht="49.5">
      <c r="A850" s="2" t="s">
        <v>1481</v>
      </c>
      <c r="B850" s="2" t="s">
        <v>1482</v>
      </c>
      <c r="C850" s="2" t="s">
        <v>268</v>
      </c>
      <c r="D850" s="2" t="s">
        <v>31</v>
      </c>
    </row>
    <row r="851" spans="1:4" ht="49.5">
      <c r="A851" s="2" t="s">
        <v>1483</v>
      </c>
      <c r="B851" s="2" t="s">
        <v>1484</v>
      </c>
      <c r="C851" s="2" t="s">
        <v>268</v>
      </c>
      <c r="D851" s="2" t="s">
        <v>31</v>
      </c>
    </row>
    <row r="852" spans="1:4" ht="49.5">
      <c r="A852" s="2" t="s">
        <v>1485</v>
      </c>
      <c r="B852" s="2" t="s">
        <v>1486</v>
      </c>
      <c r="C852" s="2" t="s">
        <v>268</v>
      </c>
      <c r="D852" s="2" t="s">
        <v>31</v>
      </c>
    </row>
    <row r="853" spans="1:4" ht="49.5">
      <c r="A853" s="2" t="s">
        <v>1487</v>
      </c>
      <c r="B853" s="2" t="s">
        <v>1488</v>
      </c>
      <c r="C853" s="2" t="s">
        <v>268</v>
      </c>
      <c r="D853" s="2" t="s">
        <v>31</v>
      </c>
    </row>
    <row r="854" spans="1:4" ht="49.5">
      <c r="A854" s="2" t="s">
        <v>1489</v>
      </c>
      <c r="B854" s="2" t="s">
        <v>1490</v>
      </c>
      <c r="C854" s="2" t="s">
        <v>268</v>
      </c>
      <c r="D854" s="2" t="s">
        <v>31</v>
      </c>
    </row>
    <row r="855" spans="1:4" ht="49.5">
      <c r="A855" s="2" t="s">
        <v>1491</v>
      </c>
      <c r="B855" s="2" t="s">
        <v>1492</v>
      </c>
      <c r="C855" s="2" t="s">
        <v>268</v>
      </c>
      <c r="D855" s="2" t="s">
        <v>31</v>
      </c>
    </row>
    <row r="856" spans="1:4" ht="49.5">
      <c r="A856" s="2" t="s">
        <v>1493</v>
      </c>
      <c r="B856" s="2" t="s">
        <v>1494</v>
      </c>
      <c r="C856" s="2" t="s">
        <v>268</v>
      </c>
      <c r="D856" s="2" t="s">
        <v>31</v>
      </c>
    </row>
    <row r="857" spans="1:4" ht="49.5">
      <c r="A857" s="2" t="s">
        <v>1655</v>
      </c>
      <c r="B857" s="2" t="s">
        <v>1656</v>
      </c>
      <c r="C857" s="2" t="s">
        <v>268</v>
      </c>
      <c r="D857" s="2" t="s">
        <v>31</v>
      </c>
    </row>
    <row r="858" spans="1:4" ht="49.5">
      <c r="A858" s="2" t="s">
        <v>1657</v>
      </c>
      <c r="B858" s="2" t="s">
        <v>1658</v>
      </c>
      <c r="C858" s="2" t="s">
        <v>268</v>
      </c>
      <c r="D858" s="2" t="s">
        <v>36</v>
      </c>
    </row>
  </sheetData>
  <customSheetViews>
    <customSheetView guid="{5693F48F-8FCA-4CC0-9286-11E7497B1810}" state="hidden" topLeftCell="A481">
      <selection activeCell="H3" sqref="H3"/>
      <pageMargins left="0.7" right="0.7" top="0.75" bottom="0.75" header="0.3" footer="0.3"/>
    </customSheetView>
  </customSheetView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C159"/>
  <sheetViews>
    <sheetView workbookViewId="0">
      <selection activeCell="I18" sqref="I18"/>
    </sheetView>
  </sheetViews>
  <sheetFormatPr defaultRowHeight="16.5"/>
  <sheetData>
    <row r="1" spans="1:3">
      <c r="A1" s="1" t="s">
        <v>1755</v>
      </c>
      <c r="B1" s="1" t="s">
        <v>1756</v>
      </c>
      <c r="C1" s="1" t="s">
        <v>2073</v>
      </c>
    </row>
    <row r="2" spans="1:3">
      <c r="A2" s="1" t="s">
        <v>1757</v>
      </c>
      <c r="B2" s="1" t="s">
        <v>1758</v>
      </c>
      <c r="C2" s="1" t="s">
        <v>2073</v>
      </c>
    </row>
    <row r="3" spans="1:3">
      <c r="A3" s="1" t="s">
        <v>1759</v>
      </c>
      <c r="B3" s="1" t="s">
        <v>1760</v>
      </c>
      <c r="C3" s="1" t="s">
        <v>2073</v>
      </c>
    </row>
    <row r="4" spans="1:3">
      <c r="A4" s="1" t="s">
        <v>1761</v>
      </c>
      <c r="B4" s="1" t="s">
        <v>1762</v>
      </c>
      <c r="C4" s="1" t="s">
        <v>2073</v>
      </c>
    </row>
    <row r="5" spans="1:3">
      <c r="A5" s="1" t="s">
        <v>1763</v>
      </c>
      <c r="B5" s="1" t="s">
        <v>1764</v>
      </c>
      <c r="C5" s="1" t="s">
        <v>2073</v>
      </c>
    </row>
    <row r="6" spans="1:3">
      <c r="A6" s="1" t="s">
        <v>1765</v>
      </c>
      <c r="B6" s="1" t="s">
        <v>1766</v>
      </c>
      <c r="C6" s="1" t="s">
        <v>2074</v>
      </c>
    </row>
    <row r="7" spans="1:3">
      <c r="A7" s="1" t="s">
        <v>1767</v>
      </c>
      <c r="B7" s="1" t="s">
        <v>1768</v>
      </c>
      <c r="C7" s="1" t="s">
        <v>2074</v>
      </c>
    </row>
    <row r="8" spans="1:3">
      <c r="A8" s="1" t="s">
        <v>1769</v>
      </c>
      <c r="B8" s="1" t="s">
        <v>1770</v>
      </c>
      <c r="C8" s="1" t="s">
        <v>2074</v>
      </c>
    </row>
    <row r="9" spans="1:3">
      <c r="A9" s="1" t="s">
        <v>1771</v>
      </c>
      <c r="B9" s="1" t="s">
        <v>1772</v>
      </c>
      <c r="C9" s="1" t="s">
        <v>2074</v>
      </c>
    </row>
    <row r="10" spans="1:3">
      <c r="A10" s="1" t="s">
        <v>1773</v>
      </c>
      <c r="B10" s="1" t="s">
        <v>1774</v>
      </c>
      <c r="C10" s="1" t="s">
        <v>2074</v>
      </c>
    </row>
    <row r="11" spans="1:3">
      <c r="A11" s="1" t="s">
        <v>1775</v>
      </c>
      <c r="B11" s="1" t="s">
        <v>1776</v>
      </c>
      <c r="C11" s="1" t="s">
        <v>2074</v>
      </c>
    </row>
    <row r="12" spans="1:3">
      <c r="A12" s="1" t="s">
        <v>1777</v>
      </c>
      <c r="B12" s="1" t="s">
        <v>1778</v>
      </c>
      <c r="C12" s="1" t="s">
        <v>2074</v>
      </c>
    </row>
    <row r="13" spans="1:3">
      <c r="A13" s="1" t="s">
        <v>1779</v>
      </c>
      <c r="B13" s="1" t="s">
        <v>1780</v>
      </c>
      <c r="C13" s="1" t="s">
        <v>2074</v>
      </c>
    </row>
    <row r="14" spans="1:3">
      <c r="A14" s="1" t="s">
        <v>1781</v>
      </c>
      <c r="B14" s="1" t="s">
        <v>1782</v>
      </c>
      <c r="C14" s="1" t="s">
        <v>2074</v>
      </c>
    </row>
    <row r="15" spans="1:3">
      <c r="A15" s="1" t="s">
        <v>1783</v>
      </c>
      <c r="B15" s="1" t="s">
        <v>1784</v>
      </c>
      <c r="C15" s="1" t="s">
        <v>2074</v>
      </c>
    </row>
    <row r="16" spans="1:3">
      <c r="A16" s="1" t="s">
        <v>1785</v>
      </c>
      <c r="B16" s="1" t="s">
        <v>1786</v>
      </c>
      <c r="C16" s="1" t="s">
        <v>2074</v>
      </c>
    </row>
    <row r="17" spans="1:3">
      <c r="A17" s="1" t="s">
        <v>1787</v>
      </c>
      <c r="B17" s="1" t="s">
        <v>1788</v>
      </c>
      <c r="C17" s="1" t="s">
        <v>2074</v>
      </c>
    </row>
    <row r="18" spans="1:3">
      <c r="A18" s="1" t="s">
        <v>1789</v>
      </c>
      <c r="B18" s="1" t="s">
        <v>1790</v>
      </c>
      <c r="C18" s="1" t="s">
        <v>2074</v>
      </c>
    </row>
    <row r="19" spans="1:3">
      <c r="A19" s="1" t="s">
        <v>1791</v>
      </c>
      <c r="B19" s="1" t="s">
        <v>1792</v>
      </c>
      <c r="C19" s="1" t="s">
        <v>2074</v>
      </c>
    </row>
    <row r="20" spans="1:3">
      <c r="A20" s="1" t="s">
        <v>1793</v>
      </c>
      <c r="B20" s="1" t="s">
        <v>1794</v>
      </c>
      <c r="C20" s="1" t="s">
        <v>2074</v>
      </c>
    </row>
    <row r="21" spans="1:3">
      <c r="A21" s="1" t="s">
        <v>1795</v>
      </c>
      <c r="B21" s="1" t="s">
        <v>1796</v>
      </c>
      <c r="C21" s="1" t="s">
        <v>2074</v>
      </c>
    </row>
    <row r="22" spans="1:3">
      <c r="A22" s="1" t="s">
        <v>1797</v>
      </c>
      <c r="B22" s="1" t="s">
        <v>1798</v>
      </c>
      <c r="C22" s="1" t="s">
        <v>2074</v>
      </c>
    </row>
    <row r="23" spans="1:3">
      <c r="A23" s="1" t="s">
        <v>1799</v>
      </c>
      <c r="B23" s="1" t="s">
        <v>1800</v>
      </c>
      <c r="C23" s="1" t="s">
        <v>2074</v>
      </c>
    </row>
    <row r="24" spans="1:3">
      <c r="A24" s="1" t="s">
        <v>1801</v>
      </c>
      <c r="B24" s="1" t="s">
        <v>1802</v>
      </c>
      <c r="C24" s="1" t="s">
        <v>2074</v>
      </c>
    </row>
    <row r="25" spans="1:3">
      <c r="A25" s="1" t="s">
        <v>1803</v>
      </c>
      <c r="B25" s="1" t="s">
        <v>1804</v>
      </c>
      <c r="C25" s="1" t="s">
        <v>2074</v>
      </c>
    </row>
    <row r="26" spans="1:3">
      <c r="A26" s="1" t="s">
        <v>1805</v>
      </c>
      <c r="B26" s="1" t="s">
        <v>1806</v>
      </c>
      <c r="C26" s="1" t="s">
        <v>2074</v>
      </c>
    </row>
    <row r="27" spans="1:3">
      <c r="A27" s="1" t="s">
        <v>1807</v>
      </c>
      <c r="B27" s="1" t="s">
        <v>1808</v>
      </c>
      <c r="C27" s="1" t="s">
        <v>2074</v>
      </c>
    </row>
    <row r="28" spans="1:3">
      <c r="A28" s="1" t="s">
        <v>1809</v>
      </c>
      <c r="B28" s="1" t="s">
        <v>1810</v>
      </c>
      <c r="C28" s="1" t="s">
        <v>2074</v>
      </c>
    </row>
    <row r="29" spans="1:3">
      <c r="A29" s="1" t="s">
        <v>1811</v>
      </c>
      <c r="B29" s="1" t="s">
        <v>1812</v>
      </c>
      <c r="C29" s="1" t="s">
        <v>2074</v>
      </c>
    </row>
    <row r="30" spans="1:3">
      <c r="A30" s="1" t="s">
        <v>1813</v>
      </c>
      <c r="B30" s="1" t="s">
        <v>1814</v>
      </c>
      <c r="C30" s="1" t="s">
        <v>2074</v>
      </c>
    </row>
    <row r="31" spans="1:3">
      <c r="A31" s="1" t="s">
        <v>1815</v>
      </c>
      <c r="B31" s="1" t="s">
        <v>1816</v>
      </c>
      <c r="C31" s="1" t="s">
        <v>2074</v>
      </c>
    </row>
    <row r="32" spans="1:3">
      <c r="A32" s="1" t="s">
        <v>1817</v>
      </c>
      <c r="B32" s="1" t="s">
        <v>1818</v>
      </c>
      <c r="C32" s="1" t="s">
        <v>2074</v>
      </c>
    </row>
    <row r="33" spans="1:3">
      <c r="A33" s="1" t="s">
        <v>1819</v>
      </c>
      <c r="B33" s="1" t="s">
        <v>1820</v>
      </c>
      <c r="C33" s="1" t="s">
        <v>2074</v>
      </c>
    </row>
    <row r="34" spans="1:3">
      <c r="A34" s="1" t="s">
        <v>1821</v>
      </c>
      <c r="B34" s="1" t="s">
        <v>1822</v>
      </c>
      <c r="C34" s="1" t="s">
        <v>2074</v>
      </c>
    </row>
    <row r="35" spans="1:3">
      <c r="A35" s="1" t="s">
        <v>1823</v>
      </c>
      <c r="B35" s="1" t="s">
        <v>1824</v>
      </c>
      <c r="C35" s="1" t="s">
        <v>2074</v>
      </c>
    </row>
    <row r="36" spans="1:3">
      <c r="A36" s="1" t="s">
        <v>1825</v>
      </c>
      <c r="B36" s="1" t="s">
        <v>1826</v>
      </c>
      <c r="C36" s="1" t="s">
        <v>2074</v>
      </c>
    </row>
    <row r="37" spans="1:3">
      <c r="A37" s="1" t="s">
        <v>1827</v>
      </c>
      <c r="B37" s="1" t="s">
        <v>1828</v>
      </c>
      <c r="C37" s="1" t="s">
        <v>2074</v>
      </c>
    </row>
    <row r="38" spans="1:3">
      <c r="A38" s="1" t="s">
        <v>1829</v>
      </c>
      <c r="B38" s="1" t="s">
        <v>1830</v>
      </c>
      <c r="C38" s="1" t="s">
        <v>2074</v>
      </c>
    </row>
    <row r="39" spans="1:3">
      <c r="A39" s="1" t="s">
        <v>1831</v>
      </c>
      <c r="B39" s="1" t="s">
        <v>1832</v>
      </c>
      <c r="C39" s="1" t="s">
        <v>2074</v>
      </c>
    </row>
    <row r="40" spans="1:3">
      <c r="A40" s="1" t="s">
        <v>1833</v>
      </c>
      <c r="B40" s="1" t="s">
        <v>1834</v>
      </c>
      <c r="C40" s="1" t="s">
        <v>2074</v>
      </c>
    </row>
    <row r="41" spans="1:3">
      <c r="A41" s="1" t="s">
        <v>1835</v>
      </c>
      <c r="B41" s="1" t="s">
        <v>1836</v>
      </c>
      <c r="C41" s="1" t="s">
        <v>2074</v>
      </c>
    </row>
    <row r="42" spans="1:3">
      <c r="A42" s="1" t="s">
        <v>1837</v>
      </c>
      <c r="B42" s="1" t="s">
        <v>1838</v>
      </c>
      <c r="C42" s="1" t="s">
        <v>2074</v>
      </c>
    </row>
    <row r="43" spans="1:3">
      <c r="A43" s="1" t="s">
        <v>1839</v>
      </c>
      <c r="B43" s="1" t="s">
        <v>1840</v>
      </c>
      <c r="C43" s="1" t="s">
        <v>2074</v>
      </c>
    </row>
    <row r="44" spans="1:3">
      <c r="A44" s="1" t="s">
        <v>1841</v>
      </c>
      <c r="B44" s="1" t="s">
        <v>1842</v>
      </c>
      <c r="C44" s="1" t="s">
        <v>2074</v>
      </c>
    </row>
    <row r="45" spans="1:3">
      <c r="A45" s="1" t="s">
        <v>1843</v>
      </c>
      <c r="B45" s="1" t="s">
        <v>1844</v>
      </c>
      <c r="C45" s="1" t="s">
        <v>2074</v>
      </c>
    </row>
    <row r="46" spans="1:3">
      <c r="A46" s="1" t="s">
        <v>1845</v>
      </c>
      <c r="B46" s="1" t="s">
        <v>1846</v>
      </c>
      <c r="C46" s="1" t="s">
        <v>2074</v>
      </c>
    </row>
    <row r="47" spans="1:3">
      <c r="A47" s="1" t="s">
        <v>1847</v>
      </c>
      <c r="B47" s="1" t="s">
        <v>1848</v>
      </c>
      <c r="C47" s="1" t="s">
        <v>2074</v>
      </c>
    </row>
    <row r="48" spans="1:3">
      <c r="A48" s="1" t="s">
        <v>1849</v>
      </c>
      <c r="B48" s="1" t="s">
        <v>1850</v>
      </c>
      <c r="C48" s="1" t="s">
        <v>2074</v>
      </c>
    </row>
    <row r="49" spans="1:3">
      <c r="A49" s="1" t="s">
        <v>1851</v>
      </c>
      <c r="B49" s="1" t="s">
        <v>1852</v>
      </c>
      <c r="C49" s="1" t="s">
        <v>2074</v>
      </c>
    </row>
    <row r="50" spans="1:3">
      <c r="A50" s="1" t="s">
        <v>1853</v>
      </c>
      <c r="B50" s="1" t="s">
        <v>1854</v>
      </c>
      <c r="C50" s="1" t="s">
        <v>2074</v>
      </c>
    </row>
    <row r="51" spans="1:3">
      <c r="A51" s="1" t="s">
        <v>1855</v>
      </c>
      <c r="B51" s="1" t="s">
        <v>1856</v>
      </c>
      <c r="C51" s="1" t="s">
        <v>2074</v>
      </c>
    </row>
    <row r="52" spans="1:3">
      <c r="A52" s="1" t="s">
        <v>1857</v>
      </c>
      <c r="B52" s="1" t="s">
        <v>1858</v>
      </c>
      <c r="C52" s="1" t="s">
        <v>2074</v>
      </c>
    </row>
    <row r="53" spans="1:3">
      <c r="A53" s="1" t="s">
        <v>1859</v>
      </c>
      <c r="B53" s="1" t="s">
        <v>1860</v>
      </c>
      <c r="C53" s="1" t="s">
        <v>2074</v>
      </c>
    </row>
    <row r="54" spans="1:3">
      <c r="A54" s="1" t="s">
        <v>1861</v>
      </c>
      <c r="B54" s="1" t="s">
        <v>1862</v>
      </c>
      <c r="C54" s="1" t="s">
        <v>2074</v>
      </c>
    </row>
    <row r="55" spans="1:3">
      <c r="A55" s="1" t="s">
        <v>1863</v>
      </c>
      <c r="B55" s="1" t="s">
        <v>1864</v>
      </c>
      <c r="C55" s="1" t="s">
        <v>2074</v>
      </c>
    </row>
    <row r="56" spans="1:3">
      <c r="A56" s="1" t="s">
        <v>1865</v>
      </c>
      <c r="B56" s="1" t="s">
        <v>1866</v>
      </c>
      <c r="C56" s="1" t="s">
        <v>2074</v>
      </c>
    </row>
    <row r="57" spans="1:3">
      <c r="A57" s="1" t="s">
        <v>1867</v>
      </c>
      <c r="B57" s="1" t="s">
        <v>1868</v>
      </c>
      <c r="C57" s="1" t="s">
        <v>2074</v>
      </c>
    </row>
    <row r="58" spans="1:3">
      <c r="A58" s="1" t="s">
        <v>1869</v>
      </c>
      <c r="B58" s="1" t="s">
        <v>1870</v>
      </c>
      <c r="C58" s="1" t="s">
        <v>2074</v>
      </c>
    </row>
    <row r="59" spans="1:3">
      <c r="A59" s="1" t="s">
        <v>1871</v>
      </c>
      <c r="B59" s="1" t="s">
        <v>1872</v>
      </c>
      <c r="C59" s="1" t="s">
        <v>2074</v>
      </c>
    </row>
    <row r="60" spans="1:3">
      <c r="A60" s="1" t="s">
        <v>1873</v>
      </c>
      <c r="B60" s="1" t="s">
        <v>1874</v>
      </c>
      <c r="C60" s="1" t="s">
        <v>2074</v>
      </c>
    </row>
    <row r="61" spans="1:3">
      <c r="A61" s="1" t="s">
        <v>1875</v>
      </c>
      <c r="B61" s="1" t="s">
        <v>1876</v>
      </c>
      <c r="C61" s="1" t="s">
        <v>2074</v>
      </c>
    </row>
    <row r="62" spans="1:3">
      <c r="A62" s="1" t="s">
        <v>1877</v>
      </c>
      <c r="B62" s="1" t="s">
        <v>1878</v>
      </c>
      <c r="C62" s="1" t="s">
        <v>2074</v>
      </c>
    </row>
    <row r="63" spans="1:3">
      <c r="A63" s="1" t="s">
        <v>1879</v>
      </c>
      <c r="B63" s="1" t="s">
        <v>1880</v>
      </c>
      <c r="C63" s="1" t="s">
        <v>2074</v>
      </c>
    </row>
    <row r="64" spans="1:3">
      <c r="A64" s="1" t="s">
        <v>1881</v>
      </c>
      <c r="B64" s="1" t="s">
        <v>1882</v>
      </c>
      <c r="C64" s="1" t="s">
        <v>2074</v>
      </c>
    </row>
    <row r="65" spans="1:3">
      <c r="A65" s="1" t="s">
        <v>1883</v>
      </c>
      <c r="B65" s="1" t="s">
        <v>1884</v>
      </c>
      <c r="C65" s="1" t="s">
        <v>2074</v>
      </c>
    </row>
    <row r="66" spans="1:3">
      <c r="A66" s="1" t="s">
        <v>1885</v>
      </c>
      <c r="B66" s="1" t="s">
        <v>1886</v>
      </c>
      <c r="C66" s="1" t="s">
        <v>2074</v>
      </c>
    </row>
    <row r="67" spans="1:3">
      <c r="A67" s="1" t="s">
        <v>1887</v>
      </c>
      <c r="B67" s="1" t="s">
        <v>1888</v>
      </c>
      <c r="C67" s="1" t="s">
        <v>2074</v>
      </c>
    </row>
    <row r="68" spans="1:3">
      <c r="A68" s="1" t="s">
        <v>1889</v>
      </c>
      <c r="B68" s="1" t="s">
        <v>1890</v>
      </c>
      <c r="C68" s="1" t="s">
        <v>2074</v>
      </c>
    </row>
    <row r="69" spans="1:3">
      <c r="A69" s="1" t="s">
        <v>1891</v>
      </c>
      <c r="B69" s="1" t="s">
        <v>1892</v>
      </c>
      <c r="C69" s="1" t="s">
        <v>2074</v>
      </c>
    </row>
    <row r="70" spans="1:3">
      <c r="A70" s="1" t="s">
        <v>1893</v>
      </c>
      <c r="B70" s="1" t="s">
        <v>1894</v>
      </c>
      <c r="C70" s="1" t="s">
        <v>2074</v>
      </c>
    </row>
    <row r="71" spans="1:3">
      <c r="A71" s="1" t="s">
        <v>1895</v>
      </c>
      <c r="B71" s="1" t="s">
        <v>1896</v>
      </c>
      <c r="C71" s="1" t="s">
        <v>2074</v>
      </c>
    </row>
    <row r="72" spans="1:3">
      <c r="A72" s="1" t="s">
        <v>1897</v>
      </c>
      <c r="B72" s="1" t="s">
        <v>1898</v>
      </c>
      <c r="C72" s="1" t="s">
        <v>2074</v>
      </c>
    </row>
    <row r="73" spans="1:3">
      <c r="A73" s="1" t="s">
        <v>1899</v>
      </c>
      <c r="B73" s="1" t="s">
        <v>1900</v>
      </c>
      <c r="C73" s="1" t="s">
        <v>2074</v>
      </c>
    </row>
    <row r="74" spans="1:3">
      <c r="A74" s="1" t="s">
        <v>1901</v>
      </c>
      <c r="B74" s="1" t="s">
        <v>1902</v>
      </c>
      <c r="C74" s="1" t="s">
        <v>2074</v>
      </c>
    </row>
    <row r="75" spans="1:3">
      <c r="A75" s="1" t="s">
        <v>1903</v>
      </c>
      <c r="B75" s="1" t="s">
        <v>1904</v>
      </c>
      <c r="C75" s="1" t="s">
        <v>2074</v>
      </c>
    </row>
    <row r="76" spans="1:3">
      <c r="A76" s="1" t="s">
        <v>1905</v>
      </c>
      <c r="B76" s="1" t="s">
        <v>1906</v>
      </c>
      <c r="C76" s="1" t="s">
        <v>2074</v>
      </c>
    </row>
    <row r="77" spans="1:3">
      <c r="A77" s="1" t="s">
        <v>1907</v>
      </c>
      <c r="B77" s="1" t="s">
        <v>1908</v>
      </c>
      <c r="C77" s="1" t="s">
        <v>2074</v>
      </c>
    </row>
    <row r="78" spans="1:3">
      <c r="A78" s="1" t="s">
        <v>1909</v>
      </c>
      <c r="B78" s="1" t="s">
        <v>1910</v>
      </c>
      <c r="C78" s="1" t="s">
        <v>2074</v>
      </c>
    </row>
    <row r="79" spans="1:3">
      <c r="A79" s="1" t="s">
        <v>1911</v>
      </c>
      <c r="B79" s="1" t="s">
        <v>1912</v>
      </c>
      <c r="C79" s="1" t="s">
        <v>2074</v>
      </c>
    </row>
    <row r="80" spans="1:3">
      <c r="A80" s="1" t="s">
        <v>1913</v>
      </c>
      <c r="B80" s="1" t="s">
        <v>1914</v>
      </c>
      <c r="C80" s="1" t="s">
        <v>2074</v>
      </c>
    </row>
    <row r="81" spans="1:3">
      <c r="A81" s="1" t="s">
        <v>1915</v>
      </c>
      <c r="B81" s="1" t="s">
        <v>1916</v>
      </c>
      <c r="C81" s="1" t="s">
        <v>2074</v>
      </c>
    </row>
    <row r="82" spans="1:3">
      <c r="A82" s="1" t="s">
        <v>1917</v>
      </c>
      <c r="B82" s="1" t="s">
        <v>1918</v>
      </c>
      <c r="C82" s="1" t="s">
        <v>2074</v>
      </c>
    </row>
    <row r="83" spans="1:3">
      <c r="A83" s="1" t="s">
        <v>1919</v>
      </c>
      <c r="B83" s="1" t="s">
        <v>1920</v>
      </c>
      <c r="C83" s="1" t="s">
        <v>2074</v>
      </c>
    </row>
    <row r="84" spans="1:3">
      <c r="A84" s="1" t="s">
        <v>1921</v>
      </c>
      <c r="B84" s="1" t="s">
        <v>1922</v>
      </c>
      <c r="C84" s="1" t="s">
        <v>2074</v>
      </c>
    </row>
    <row r="85" spans="1:3">
      <c r="A85" s="1" t="s">
        <v>1923</v>
      </c>
      <c r="B85" s="1" t="s">
        <v>1924</v>
      </c>
      <c r="C85" s="1" t="s">
        <v>2074</v>
      </c>
    </row>
    <row r="86" spans="1:3">
      <c r="A86" s="1" t="s">
        <v>1925</v>
      </c>
      <c r="B86" s="1" t="s">
        <v>1926</v>
      </c>
      <c r="C86" s="1" t="s">
        <v>2074</v>
      </c>
    </row>
    <row r="87" spans="1:3">
      <c r="A87" s="1" t="s">
        <v>1927</v>
      </c>
      <c r="B87" s="1" t="s">
        <v>1928</v>
      </c>
      <c r="C87" s="1" t="s">
        <v>2074</v>
      </c>
    </row>
    <row r="88" spans="1:3">
      <c r="A88" s="1" t="s">
        <v>1929</v>
      </c>
      <c r="B88" s="1" t="s">
        <v>1930</v>
      </c>
      <c r="C88" s="1" t="s">
        <v>2074</v>
      </c>
    </row>
    <row r="89" spans="1:3">
      <c r="A89" s="1" t="s">
        <v>1931</v>
      </c>
      <c r="B89" s="1" t="s">
        <v>1932</v>
      </c>
      <c r="C89" s="1" t="s">
        <v>2074</v>
      </c>
    </row>
    <row r="90" spans="1:3">
      <c r="A90" s="1" t="s">
        <v>1933</v>
      </c>
      <c r="B90" s="1" t="s">
        <v>1934</v>
      </c>
      <c r="C90" s="1" t="s">
        <v>2074</v>
      </c>
    </row>
    <row r="91" spans="1:3">
      <c r="A91" s="1" t="s">
        <v>1935</v>
      </c>
      <c r="B91" s="1" t="s">
        <v>1936</v>
      </c>
      <c r="C91" s="1" t="s">
        <v>2074</v>
      </c>
    </row>
    <row r="92" spans="1:3">
      <c r="A92" s="1" t="s">
        <v>1937</v>
      </c>
      <c r="B92" s="1" t="s">
        <v>1938</v>
      </c>
      <c r="C92" s="1" t="s">
        <v>2074</v>
      </c>
    </row>
    <row r="93" spans="1:3">
      <c r="A93" s="1" t="s">
        <v>1939</v>
      </c>
      <c r="B93" s="1" t="s">
        <v>1940</v>
      </c>
      <c r="C93" s="1" t="s">
        <v>2074</v>
      </c>
    </row>
    <row r="94" spans="1:3">
      <c r="A94" s="1" t="s">
        <v>1941</v>
      </c>
      <c r="B94" s="1" t="s">
        <v>1942</v>
      </c>
      <c r="C94" s="1" t="s">
        <v>2074</v>
      </c>
    </row>
    <row r="95" spans="1:3">
      <c r="A95" s="1" t="s">
        <v>1943</v>
      </c>
      <c r="B95" s="1" t="s">
        <v>1944</v>
      </c>
      <c r="C95" s="1" t="s">
        <v>2074</v>
      </c>
    </row>
    <row r="96" spans="1:3">
      <c r="A96" s="1" t="s">
        <v>1945</v>
      </c>
      <c r="B96" s="1" t="s">
        <v>1946</v>
      </c>
      <c r="C96" s="1" t="s">
        <v>2074</v>
      </c>
    </row>
    <row r="97" spans="1:3">
      <c r="A97" s="1" t="s">
        <v>1947</v>
      </c>
      <c r="B97" s="1" t="s">
        <v>1948</v>
      </c>
      <c r="C97" s="1" t="s">
        <v>2074</v>
      </c>
    </row>
    <row r="98" spans="1:3">
      <c r="A98" s="1" t="s">
        <v>1949</v>
      </c>
      <c r="B98" s="1" t="s">
        <v>1950</v>
      </c>
      <c r="C98" s="1" t="s">
        <v>2074</v>
      </c>
    </row>
    <row r="99" spans="1:3">
      <c r="A99" s="1" t="s">
        <v>1951</v>
      </c>
      <c r="B99" s="1" t="s">
        <v>1952</v>
      </c>
      <c r="C99" s="1" t="s">
        <v>2074</v>
      </c>
    </row>
    <row r="100" spans="1:3">
      <c r="A100" s="1" t="s">
        <v>1953</v>
      </c>
      <c r="B100" s="1" t="s">
        <v>1954</v>
      </c>
      <c r="C100" s="1" t="s">
        <v>2074</v>
      </c>
    </row>
    <row r="101" spans="1:3">
      <c r="A101" s="1" t="s">
        <v>1955</v>
      </c>
      <c r="B101" s="1" t="s">
        <v>1956</v>
      </c>
      <c r="C101" s="1" t="s">
        <v>2074</v>
      </c>
    </row>
    <row r="102" spans="1:3">
      <c r="A102" s="1" t="s">
        <v>1957</v>
      </c>
      <c r="B102" s="1" t="s">
        <v>1958</v>
      </c>
      <c r="C102" s="1" t="s">
        <v>2074</v>
      </c>
    </row>
    <row r="103" spans="1:3">
      <c r="A103" s="1" t="s">
        <v>1959</v>
      </c>
      <c r="B103" s="1" t="s">
        <v>1960</v>
      </c>
      <c r="C103" s="1" t="s">
        <v>2074</v>
      </c>
    </row>
    <row r="104" spans="1:3">
      <c r="A104" s="1" t="s">
        <v>1961</v>
      </c>
      <c r="B104" s="1" t="s">
        <v>1962</v>
      </c>
      <c r="C104" s="1" t="s">
        <v>2074</v>
      </c>
    </row>
    <row r="105" spans="1:3">
      <c r="A105" s="1" t="s">
        <v>1963</v>
      </c>
      <c r="B105" s="1" t="s">
        <v>1964</v>
      </c>
      <c r="C105" s="1" t="s">
        <v>2074</v>
      </c>
    </row>
    <row r="106" spans="1:3">
      <c r="A106" s="1" t="s">
        <v>1965</v>
      </c>
      <c r="B106" s="1" t="s">
        <v>1966</v>
      </c>
      <c r="C106" s="1" t="s">
        <v>2074</v>
      </c>
    </row>
    <row r="107" spans="1:3">
      <c r="A107" s="1" t="s">
        <v>1967</v>
      </c>
      <c r="B107" s="1" t="s">
        <v>1968</v>
      </c>
      <c r="C107" s="1" t="s">
        <v>2074</v>
      </c>
    </row>
    <row r="108" spans="1:3">
      <c r="A108" s="1" t="s">
        <v>1969</v>
      </c>
      <c r="B108" s="1" t="s">
        <v>1970</v>
      </c>
      <c r="C108" s="1" t="s">
        <v>2074</v>
      </c>
    </row>
    <row r="109" spans="1:3">
      <c r="A109" s="1" t="s">
        <v>1971</v>
      </c>
      <c r="B109" s="1" t="s">
        <v>1972</v>
      </c>
      <c r="C109" s="1" t="s">
        <v>2074</v>
      </c>
    </row>
    <row r="110" spans="1:3">
      <c r="A110" s="1" t="s">
        <v>1973</v>
      </c>
      <c r="B110" s="1" t="s">
        <v>1974</v>
      </c>
      <c r="C110" s="1" t="s">
        <v>2074</v>
      </c>
    </row>
    <row r="111" spans="1:3">
      <c r="A111" s="1" t="s">
        <v>1975</v>
      </c>
      <c r="B111" s="1" t="s">
        <v>1976</v>
      </c>
      <c r="C111" s="1" t="s">
        <v>2074</v>
      </c>
    </row>
    <row r="112" spans="1:3">
      <c r="A112" s="1" t="s">
        <v>1977</v>
      </c>
      <c r="B112" s="1" t="s">
        <v>1978</v>
      </c>
      <c r="C112" s="1" t="s">
        <v>2074</v>
      </c>
    </row>
    <row r="113" spans="1:3">
      <c r="A113" s="1" t="s">
        <v>1979</v>
      </c>
      <c r="B113" s="1" t="s">
        <v>1980</v>
      </c>
      <c r="C113" s="1" t="s">
        <v>2074</v>
      </c>
    </row>
    <row r="114" spans="1:3">
      <c r="A114" s="1" t="s">
        <v>1981</v>
      </c>
      <c r="B114" s="1" t="s">
        <v>1982</v>
      </c>
      <c r="C114" s="1" t="s">
        <v>2074</v>
      </c>
    </row>
    <row r="115" spans="1:3">
      <c r="A115" s="1" t="s">
        <v>1983</v>
      </c>
      <c r="B115" s="1" t="s">
        <v>1984</v>
      </c>
      <c r="C115" s="1" t="s">
        <v>2074</v>
      </c>
    </row>
    <row r="116" spans="1:3">
      <c r="A116" s="1" t="s">
        <v>1985</v>
      </c>
      <c r="B116" s="1" t="s">
        <v>1986</v>
      </c>
      <c r="C116" s="1" t="s">
        <v>2074</v>
      </c>
    </row>
    <row r="117" spans="1:3">
      <c r="A117" s="1" t="s">
        <v>1987</v>
      </c>
      <c r="B117" s="1" t="s">
        <v>1988</v>
      </c>
      <c r="C117" s="1" t="s">
        <v>2074</v>
      </c>
    </row>
    <row r="118" spans="1:3">
      <c r="A118" s="1" t="s">
        <v>1989</v>
      </c>
      <c r="B118" s="1" t="s">
        <v>1990</v>
      </c>
      <c r="C118" s="1" t="s">
        <v>2074</v>
      </c>
    </row>
    <row r="119" spans="1:3">
      <c r="A119" s="1" t="s">
        <v>1991</v>
      </c>
      <c r="B119" s="1" t="s">
        <v>1992</v>
      </c>
      <c r="C119" s="1" t="s">
        <v>2074</v>
      </c>
    </row>
    <row r="120" spans="1:3">
      <c r="A120" s="1" t="s">
        <v>1993</v>
      </c>
      <c r="B120" s="1" t="s">
        <v>1994</v>
      </c>
      <c r="C120" s="1" t="s">
        <v>2074</v>
      </c>
    </row>
    <row r="121" spans="1:3">
      <c r="A121" s="1" t="s">
        <v>1995</v>
      </c>
      <c r="B121" s="1" t="s">
        <v>1996</v>
      </c>
      <c r="C121" s="1" t="s">
        <v>2074</v>
      </c>
    </row>
    <row r="122" spans="1:3">
      <c r="A122" s="1" t="s">
        <v>1997</v>
      </c>
      <c r="B122" s="1" t="s">
        <v>1998</v>
      </c>
      <c r="C122" s="1" t="s">
        <v>2074</v>
      </c>
    </row>
    <row r="123" spans="1:3">
      <c r="A123" s="1" t="s">
        <v>1999</v>
      </c>
      <c r="B123" s="1" t="s">
        <v>2000</v>
      </c>
      <c r="C123" s="1" t="s">
        <v>2074</v>
      </c>
    </row>
    <row r="124" spans="1:3">
      <c r="A124" s="1" t="s">
        <v>2001</v>
      </c>
      <c r="B124" s="1" t="s">
        <v>2002</v>
      </c>
      <c r="C124" s="1" t="s">
        <v>2074</v>
      </c>
    </row>
    <row r="125" spans="1:3">
      <c r="A125" s="1" t="s">
        <v>2003</v>
      </c>
      <c r="B125" s="1" t="s">
        <v>2004</v>
      </c>
      <c r="C125" s="1" t="s">
        <v>2074</v>
      </c>
    </row>
    <row r="126" spans="1:3">
      <c r="A126" s="1" t="s">
        <v>2005</v>
      </c>
      <c r="B126" s="1" t="s">
        <v>2006</v>
      </c>
      <c r="C126" s="1" t="s">
        <v>2074</v>
      </c>
    </row>
    <row r="127" spans="1:3">
      <c r="A127" s="1" t="s">
        <v>2007</v>
      </c>
      <c r="B127" s="1" t="s">
        <v>2008</v>
      </c>
      <c r="C127" s="1" t="s">
        <v>2074</v>
      </c>
    </row>
    <row r="128" spans="1:3">
      <c r="A128" s="1" t="s">
        <v>2009</v>
      </c>
      <c r="B128" s="1" t="s">
        <v>2010</v>
      </c>
      <c r="C128" s="1" t="s">
        <v>2074</v>
      </c>
    </row>
    <row r="129" spans="1:3">
      <c r="A129" s="1" t="s">
        <v>2011</v>
      </c>
      <c r="B129" s="1" t="s">
        <v>2012</v>
      </c>
      <c r="C129" s="1" t="s">
        <v>2074</v>
      </c>
    </row>
    <row r="130" spans="1:3">
      <c r="A130" s="1" t="s">
        <v>2013</v>
      </c>
      <c r="B130" s="1" t="s">
        <v>2014</v>
      </c>
      <c r="C130" s="1" t="s">
        <v>2074</v>
      </c>
    </row>
    <row r="131" spans="1:3">
      <c r="A131" s="1" t="s">
        <v>2015</v>
      </c>
      <c r="B131" s="1" t="s">
        <v>2016</v>
      </c>
      <c r="C131" s="1" t="s">
        <v>2074</v>
      </c>
    </row>
    <row r="132" spans="1:3">
      <c r="A132" s="1" t="s">
        <v>2017</v>
      </c>
      <c r="B132" s="1" t="s">
        <v>2018</v>
      </c>
      <c r="C132" s="1" t="s">
        <v>2074</v>
      </c>
    </row>
    <row r="133" spans="1:3">
      <c r="A133" s="1" t="s">
        <v>2019</v>
      </c>
      <c r="B133" s="1" t="s">
        <v>2020</v>
      </c>
      <c r="C133" s="1" t="s">
        <v>2074</v>
      </c>
    </row>
    <row r="134" spans="1:3">
      <c r="A134" s="1" t="s">
        <v>2021</v>
      </c>
      <c r="B134" s="1" t="s">
        <v>2022</v>
      </c>
      <c r="C134" s="1" t="s">
        <v>2074</v>
      </c>
    </row>
    <row r="135" spans="1:3">
      <c r="A135" s="1" t="s">
        <v>2023</v>
      </c>
      <c r="B135" s="1" t="s">
        <v>2024</v>
      </c>
      <c r="C135" s="1" t="s">
        <v>2074</v>
      </c>
    </row>
    <row r="136" spans="1:3">
      <c r="A136" s="1" t="s">
        <v>2025</v>
      </c>
      <c r="B136" s="1" t="s">
        <v>2026</v>
      </c>
      <c r="C136" s="1" t="s">
        <v>2074</v>
      </c>
    </row>
    <row r="137" spans="1:3">
      <c r="A137" s="1" t="s">
        <v>2027</v>
      </c>
      <c r="B137" s="1" t="s">
        <v>2028</v>
      </c>
      <c r="C137" s="1" t="s">
        <v>2074</v>
      </c>
    </row>
    <row r="138" spans="1:3">
      <c r="A138" s="1" t="s">
        <v>2029</v>
      </c>
      <c r="B138" s="1" t="s">
        <v>2030</v>
      </c>
      <c r="C138" s="1" t="s">
        <v>2074</v>
      </c>
    </row>
    <row r="139" spans="1:3">
      <c r="A139" s="1" t="s">
        <v>2031</v>
      </c>
      <c r="B139" s="1" t="s">
        <v>2032</v>
      </c>
      <c r="C139" s="1" t="s">
        <v>2074</v>
      </c>
    </row>
    <row r="140" spans="1:3">
      <c r="A140" s="1" t="s">
        <v>2033</v>
      </c>
      <c r="B140" s="1" t="s">
        <v>2034</v>
      </c>
      <c r="C140" s="1" t="s">
        <v>2074</v>
      </c>
    </row>
    <row r="141" spans="1:3">
      <c r="A141" s="1" t="s">
        <v>2035</v>
      </c>
      <c r="B141" s="1" t="s">
        <v>2036</v>
      </c>
      <c r="C141" s="1" t="s">
        <v>2074</v>
      </c>
    </row>
    <row r="142" spans="1:3">
      <c r="A142" s="1" t="s">
        <v>2037</v>
      </c>
      <c r="B142" s="1" t="s">
        <v>2038</v>
      </c>
      <c r="C142" s="1" t="s">
        <v>2074</v>
      </c>
    </row>
    <row r="143" spans="1:3">
      <c r="A143" s="1" t="s">
        <v>2039</v>
      </c>
      <c r="B143" s="1" t="s">
        <v>2040</v>
      </c>
      <c r="C143" s="1" t="s">
        <v>2074</v>
      </c>
    </row>
    <row r="144" spans="1:3">
      <c r="A144" s="1" t="s">
        <v>2041</v>
      </c>
      <c r="B144" s="1" t="s">
        <v>2042</v>
      </c>
      <c r="C144" s="1" t="s">
        <v>2074</v>
      </c>
    </row>
    <row r="145" spans="1:3">
      <c r="A145" s="1" t="s">
        <v>2043</v>
      </c>
      <c r="B145" s="1" t="s">
        <v>2044</v>
      </c>
      <c r="C145" s="1" t="s">
        <v>2074</v>
      </c>
    </row>
    <row r="146" spans="1:3">
      <c r="A146" s="1" t="s">
        <v>2045</v>
      </c>
      <c r="B146" s="1" t="s">
        <v>2046</v>
      </c>
      <c r="C146" s="1" t="s">
        <v>2074</v>
      </c>
    </row>
    <row r="147" spans="1:3">
      <c r="A147" s="1" t="s">
        <v>2047</v>
      </c>
      <c r="B147" s="1" t="s">
        <v>2048</v>
      </c>
      <c r="C147" s="1" t="s">
        <v>2074</v>
      </c>
    </row>
    <row r="148" spans="1:3">
      <c r="A148" s="1" t="s">
        <v>2049</v>
      </c>
      <c r="B148" s="1" t="s">
        <v>2050</v>
      </c>
      <c r="C148" s="1" t="s">
        <v>2074</v>
      </c>
    </row>
    <row r="149" spans="1:3">
      <c r="A149" s="1" t="s">
        <v>2051</v>
      </c>
      <c r="B149" s="1" t="s">
        <v>2052</v>
      </c>
      <c r="C149" s="1" t="s">
        <v>2074</v>
      </c>
    </row>
    <row r="150" spans="1:3">
      <c r="A150" s="1" t="s">
        <v>2053</v>
      </c>
      <c r="B150" s="1" t="s">
        <v>2054</v>
      </c>
      <c r="C150" s="1" t="s">
        <v>2074</v>
      </c>
    </row>
    <row r="151" spans="1:3">
      <c r="A151" s="1" t="s">
        <v>2055</v>
      </c>
      <c r="B151" s="1" t="s">
        <v>2056</v>
      </c>
      <c r="C151" s="1" t="s">
        <v>2074</v>
      </c>
    </row>
    <row r="152" spans="1:3">
      <c r="A152" s="1" t="s">
        <v>2057</v>
      </c>
      <c r="B152" s="1" t="s">
        <v>2058</v>
      </c>
      <c r="C152" s="1" t="s">
        <v>2074</v>
      </c>
    </row>
    <row r="153" spans="1:3">
      <c r="A153" s="1" t="s">
        <v>2059</v>
      </c>
      <c r="B153" s="1" t="s">
        <v>2060</v>
      </c>
      <c r="C153" s="1" t="s">
        <v>2074</v>
      </c>
    </row>
    <row r="154" spans="1:3">
      <c r="A154" s="1" t="s">
        <v>2061</v>
      </c>
      <c r="B154" s="1" t="s">
        <v>2062</v>
      </c>
      <c r="C154" s="1" t="s">
        <v>2074</v>
      </c>
    </row>
    <row r="155" spans="1:3">
      <c r="A155" s="1" t="s">
        <v>2063</v>
      </c>
      <c r="B155" s="1" t="s">
        <v>2064</v>
      </c>
      <c r="C155" s="1" t="s">
        <v>2075</v>
      </c>
    </row>
    <row r="156" spans="1:3">
      <c r="A156" s="1" t="s">
        <v>2065</v>
      </c>
      <c r="B156" s="1" t="s">
        <v>2066</v>
      </c>
      <c r="C156" s="1" t="s">
        <v>2075</v>
      </c>
    </row>
    <row r="157" spans="1:3">
      <c r="A157" s="1" t="s">
        <v>2067</v>
      </c>
      <c r="B157" s="1" t="s">
        <v>2068</v>
      </c>
      <c r="C157" s="1" t="s">
        <v>2075</v>
      </c>
    </row>
    <row r="158" spans="1:3">
      <c r="A158" s="1" t="s">
        <v>2069</v>
      </c>
      <c r="B158" s="1" t="s">
        <v>2070</v>
      </c>
      <c r="C158" s="1" t="s">
        <v>26</v>
      </c>
    </row>
    <row r="159" spans="1:3">
      <c r="A159" s="1" t="s">
        <v>2071</v>
      </c>
      <c r="B159" s="1" t="s">
        <v>2072</v>
      </c>
      <c r="C159" s="1" t="s">
        <v>26</v>
      </c>
    </row>
  </sheetData>
  <customSheetViews>
    <customSheetView guid="{5693F48F-8FCA-4CC0-9286-11E7497B1810}" state="hidden">
      <selection activeCell="I18" sqref="I18"/>
      <pageMargins left="0.7" right="0.7" top="0.75" bottom="0.75" header="0.3" footer="0.3"/>
    </customSheetView>
  </customSheetView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AB20"/>
  <sheetViews>
    <sheetView zoomScaleNormal="100" workbookViewId="0">
      <selection activeCell="D7" sqref="D7"/>
    </sheetView>
  </sheetViews>
  <sheetFormatPr defaultRowHeight="15.75"/>
  <cols>
    <col min="1" max="1" width="4" style="9" customWidth="1"/>
    <col min="2" max="2" width="6.375" style="9" customWidth="1"/>
    <col min="3" max="3" width="33.5" style="9" customWidth="1"/>
    <col min="4" max="4" width="27" style="9" customWidth="1"/>
    <col min="5" max="5" width="89.25" style="9" customWidth="1"/>
    <col min="6" max="16384" width="9" style="9"/>
  </cols>
  <sheetData>
    <row r="1" spans="2:28" ht="25.5">
      <c r="B1" s="7" t="s">
        <v>2084</v>
      </c>
      <c r="C1" s="8"/>
    </row>
    <row r="2" spans="2:28">
      <c r="B2" s="148" t="s">
        <v>2092</v>
      </c>
      <c r="C2" s="149"/>
    </row>
    <row r="3" spans="2:28">
      <c r="B3" s="11" t="s">
        <v>2085</v>
      </c>
      <c r="C3" s="11" t="s">
        <v>2086</v>
      </c>
      <c r="D3" s="11" t="s">
        <v>2084</v>
      </c>
      <c r="E3" s="11" t="s">
        <v>2087</v>
      </c>
    </row>
    <row r="4" spans="2:28" ht="113.25" customHeight="1">
      <c r="B4" s="12">
        <v>1</v>
      </c>
      <c r="C4" s="119" t="s">
        <v>2164</v>
      </c>
      <c r="D4" s="14" t="s">
        <v>2165</v>
      </c>
      <c r="E4" s="15"/>
    </row>
    <row r="5" spans="2:28" ht="113.25" customHeight="1">
      <c r="B5" s="12">
        <v>2</v>
      </c>
      <c r="C5" s="14" t="s">
        <v>2159</v>
      </c>
      <c r="D5" s="14" t="s">
        <v>2126</v>
      </c>
      <c r="E5" s="15"/>
    </row>
    <row r="6" spans="2:28" ht="113.25" customHeight="1">
      <c r="B6" s="12">
        <v>3</v>
      </c>
      <c r="C6" s="14" t="s">
        <v>2160</v>
      </c>
      <c r="D6" s="14" t="s">
        <v>2127</v>
      </c>
      <c r="E6" s="15"/>
    </row>
    <row r="7" spans="2:28" ht="113.25" customHeight="1">
      <c r="B7" s="12">
        <v>4</v>
      </c>
      <c r="C7" s="119" t="s">
        <v>2162</v>
      </c>
      <c r="D7" s="14" t="s">
        <v>2124</v>
      </c>
      <c r="E7" s="15"/>
    </row>
    <row r="9" spans="2:28">
      <c r="B9" s="16" t="s">
        <v>2125</v>
      </c>
      <c r="C9" s="16"/>
      <c r="D9" s="16"/>
      <c r="E9" s="16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2:28" ht="22.5" customHeight="1">
      <c r="B10" s="11" t="s">
        <v>6</v>
      </c>
      <c r="C10" s="11" t="s">
        <v>2086</v>
      </c>
      <c r="D10" s="150" t="s">
        <v>2084</v>
      </c>
      <c r="E10" s="151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2:28" ht="42.75" customHeight="1">
      <c r="B11" s="15">
        <v>1</v>
      </c>
      <c r="C11" s="18" t="s">
        <v>2128</v>
      </c>
      <c r="D11" s="147" t="s">
        <v>2129</v>
      </c>
      <c r="E11" s="14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2:28" ht="42.75" customHeight="1">
      <c r="B12" s="15">
        <v>2</v>
      </c>
      <c r="C12" s="18" t="s">
        <v>2130</v>
      </c>
      <c r="D12" s="147" t="s">
        <v>2131</v>
      </c>
      <c r="E12" s="146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2:28" ht="42.75" customHeight="1">
      <c r="B13" s="15">
        <v>3</v>
      </c>
      <c r="C13" s="18" t="s">
        <v>2098</v>
      </c>
      <c r="D13" s="147" t="s">
        <v>2132</v>
      </c>
      <c r="E13" s="146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2:28" ht="42.75" customHeight="1">
      <c r="B14" s="15">
        <v>4</v>
      </c>
      <c r="C14" s="20" t="s">
        <v>2093</v>
      </c>
      <c r="D14" s="145" t="s">
        <v>2133</v>
      </c>
      <c r="E14" s="146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2:28" ht="37.5" customHeight="1">
      <c r="B15" s="15">
        <v>5</v>
      </c>
      <c r="C15" s="20" t="s">
        <v>2094</v>
      </c>
      <c r="D15" s="145" t="s">
        <v>2134</v>
      </c>
      <c r="E15" s="146"/>
    </row>
    <row r="17" spans="2:5">
      <c r="B17" s="10" t="s">
        <v>2091</v>
      </c>
    </row>
    <row r="18" spans="2:5">
      <c r="B18" s="15" t="s">
        <v>6</v>
      </c>
      <c r="C18" s="21" t="s">
        <v>7</v>
      </c>
      <c r="D18" s="13" t="s">
        <v>2080</v>
      </c>
      <c r="E18" s="13" t="s">
        <v>2079</v>
      </c>
    </row>
    <row r="19" spans="2:5" ht="36.75" customHeight="1">
      <c r="B19" s="15">
        <v>1</v>
      </c>
      <c r="C19" s="21" t="s">
        <v>25</v>
      </c>
      <c r="D19" s="130" t="s">
        <v>2169</v>
      </c>
      <c r="E19" s="14"/>
    </row>
    <row r="20" spans="2:5" ht="36.75" customHeight="1">
      <c r="B20" s="15">
        <v>2</v>
      </c>
      <c r="C20" s="4" t="s">
        <v>2163</v>
      </c>
      <c r="D20" s="131" t="s">
        <v>2170</v>
      </c>
      <c r="E20" s="13"/>
    </row>
  </sheetData>
  <protectedRanges>
    <protectedRange sqref="C19:C20" name="範圍4"/>
  </protectedRanges>
  <customSheetViews>
    <customSheetView guid="{5693F48F-8FCA-4CC0-9286-11E7497B1810}" scale="85">
      <selection activeCell="C6" sqref="C6"/>
      <pageMargins left="0.7" right="0.7" top="0.75" bottom="0.75" header="0.3" footer="0.3"/>
      <pageSetup orientation="portrait" r:id="rId1"/>
    </customSheetView>
  </customSheetViews>
  <mergeCells count="7">
    <mergeCell ref="D15:E15"/>
    <mergeCell ref="D13:E13"/>
    <mergeCell ref="B2:C2"/>
    <mergeCell ref="D10:E10"/>
    <mergeCell ref="D11:E11"/>
    <mergeCell ref="D12:E12"/>
    <mergeCell ref="D14:E14"/>
  </mergeCells>
  <phoneticPr fontId="3" type="noConversion"/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B1:AU57"/>
  <sheetViews>
    <sheetView showGridLines="0" tabSelected="1" zoomScale="85" zoomScaleNormal="85" workbookViewId="0">
      <selection activeCell="AO17" sqref="AO17"/>
    </sheetView>
  </sheetViews>
  <sheetFormatPr defaultColWidth="8.5" defaultRowHeight="15.75"/>
  <cols>
    <col min="1" max="1" width="2.625" style="23" customWidth="1"/>
    <col min="2" max="2" width="2.625" style="71" customWidth="1"/>
    <col min="3" max="3" width="3.625" style="71" customWidth="1"/>
    <col min="4" max="14" width="2.625" style="71" customWidth="1"/>
    <col min="15" max="17" width="3.75" style="71" customWidth="1"/>
    <col min="18" max="18" width="2.625" style="71" customWidth="1"/>
    <col min="19" max="21" width="2.875" style="71" customWidth="1"/>
    <col min="22" max="26" width="2.625" style="71" customWidth="1"/>
    <col min="27" max="29" width="3.625" style="71" customWidth="1"/>
    <col min="30" max="32" width="3.5" style="71" customWidth="1"/>
    <col min="33" max="35" width="4" style="71" customWidth="1"/>
    <col min="36" max="36" width="2.75" style="23" customWidth="1"/>
    <col min="37" max="37" width="10.625" style="23" customWidth="1"/>
    <col min="38" max="16384" width="8.5" style="23"/>
  </cols>
  <sheetData>
    <row r="1" spans="2:47" ht="22.5">
      <c r="B1" s="262" t="s">
        <v>2135</v>
      </c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4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</row>
    <row r="2" spans="2:47" s="28" customFormat="1" ht="15.75" customHeight="1">
      <c r="B2" s="24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65" t="s">
        <v>5</v>
      </c>
      <c r="AB2" s="265"/>
      <c r="AC2" s="265"/>
      <c r="AD2" s="266"/>
      <c r="AE2" s="266"/>
      <c r="AF2" s="266"/>
      <c r="AG2" s="266"/>
      <c r="AH2" s="266"/>
      <c r="AI2" s="266"/>
      <c r="AJ2" s="26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</row>
    <row r="3" spans="2:47" s="28" customFormat="1" ht="15.75" customHeight="1">
      <c r="B3" s="29"/>
      <c r="C3" s="30" t="s">
        <v>2089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267" t="s">
        <v>2100</v>
      </c>
      <c r="AB3" s="267"/>
      <c r="AC3" s="267"/>
      <c r="AD3" s="268"/>
      <c r="AE3" s="268"/>
      <c r="AF3" s="268"/>
      <c r="AG3" s="268"/>
      <c r="AH3" s="268"/>
      <c r="AI3" s="268"/>
      <c r="AJ3" s="32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</row>
    <row r="4" spans="2:47" s="37" customFormat="1" ht="15.75" customHeight="1">
      <c r="B4" s="33"/>
      <c r="C4" s="34">
        <v>1</v>
      </c>
      <c r="D4" s="248" t="s">
        <v>16</v>
      </c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9"/>
      <c r="AE4" s="249"/>
      <c r="AF4" s="249"/>
      <c r="AG4" s="249"/>
      <c r="AH4" s="249"/>
      <c r="AI4" s="249"/>
      <c r="AJ4" s="35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</row>
    <row r="5" spans="2:47" s="37" customFormat="1" ht="15.75" customHeight="1">
      <c r="B5" s="33"/>
      <c r="C5" s="34">
        <v>2</v>
      </c>
      <c r="D5" s="248" t="s">
        <v>17</v>
      </c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9"/>
      <c r="AE5" s="249"/>
      <c r="AF5" s="249"/>
      <c r="AG5" s="249"/>
      <c r="AH5" s="249"/>
      <c r="AI5" s="249"/>
      <c r="AJ5" s="38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</row>
    <row r="6" spans="2:47" s="37" customFormat="1" ht="15.75" customHeight="1">
      <c r="B6" s="33"/>
      <c r="C6" s="34">
        <v>3</v>
      </c>
      <c r="D6" s="248" t="s">
        <v>2077</v>
      </c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9"/>
      <c r="AE6" s="249"/>
      <c r="AF6" s="249"/>
      <c r="AG6" s="249"/>
      <c r="AH6" s="249"/>
      <c r="AI6" s="249"/>
      <c r="AJ6" s="35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</row>
    <row r="7" spans="2:47" s="37" customFormat="1" ht="15.75" customHeight="1">
      <c r="B7" s="33"/>
      <c r="C7" s="39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1"/>
      <c r="AE7" s="41"/>
      <c r="AF7" s="41"/>
      <c r="AG7" s="41"/>
      <c r="AH7" s="41"/>
      <c r="AI7" s="41"/>
      <c r="AJ7" s="38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</row>
    <row r="8" spans="2:47" s="37" customFormat="1" ht="15.75" customHeight="1">
      <c r="B8" s="33"/>
      <c r="C8" s="164" t="s">
        <v>2088</v>
      </c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52" t="s">
        <v>2102</v>
      </c>
      <c r="AE8" s="153"/>
      <c r="AF8" s="154" t="s">
        <v>2121</v>
      </c>
      <c r="AG8" s="155"/>
      <c r="AH8" s="156" t="s">
        <v>2122</v>
      </c>
      <c r="AI8" s="157"/>
      <c r="AJ8" s="38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</row>
    <row r="9" spans="2:47" s="37" customFormat="1" ht="15.75" customHeight="1">
      <c r="B9" s="33"/>
      <c r="C9" s="34">
        <v>1</v>
      </c>
      <c r="D9" s="248" t="s">
        <v>2146</v>
      </c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152">
        <f>AF9+AH9</f>
        <v>0</v>
      </c>
      <c r="AE9" s="153"/>
      <c r="AF9" s="158">
        <f>COUNTA('Testable nets list'!B:B)-1-AF10-AF11</f>
        <v>0</v>
      </c>
      <c r="AG9" s="159"/>
      <c r="AH9" s="158">
        <f>COUNTA('Untestable nets list'!C:C)-1-AH10-AH11</f>
        <v>0</v>
      </c>
      <c r="AI9" s="159"/>
      <c r="AJ9" s="38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</row>
    <row r="10" spans="2:47" s="37" customFormat="1" ht="15.75" customHeight="1">
      <c r="B10" s="33"/>
      <c r="C10" s="34">
        <v>2</v>
      </c>
      <c r="D10" s="248" t="s">
        <v>2149</v>
      </c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152">
        <f>COUNTA('Nets not required'!B:B)-1</f>
        <v>0</v>
      </c>
      <c r="AE10" s="153"/>
      <c r="AF10" s="158">
        <f>COUNTIFS('Testable nets list'!H:H,"Y")</f>
        <v>0</v>
      </c>
      <c r="AG10" s="159"/>
      <c r="AH10" s="158">
        <f>COUNTIFS('Untestable nets list'!E:E,"Y")</f>
        <v>0</v>
      </c>
      <c r="AI10" s="159"/>
      <c r="AJ10" s="38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</row>
    <row r="11" spans="2:47" s="37" customFormat="1" ht="15.75" customHeight="1">
      <c r="B11" s="33"/>
      <c r="C11" s="34">
        <v>3</v>
      </c>
      <c r="D11" s="248" t="s">
        <v>2154</v>
      </c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152">
        <f>COUNTA('Nets not required'!E:E)-1</f>
        <v>0</v>
      </c>
      <c r="AE11" s="153"/>
      <c r="AF11" s="158">
        <f>COUNTIFS('Testable nets list'!I:I,"Y")</f>
        <v>0</v>
      </c>
      <c r="AG11" s="159"/>
      <c r="AH11" s="158">
        <f>COUNTIFS('Untestable nets list'!F:F,"Y")</f>
        <v>0</v>
      </c>
      <c r="AI11" s="159"/>
      <c r="AJ11" s="38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</row>
    <row r="12" spans="2:47" s="37" customFormat="1" ht="15.75" customHeight="1">
      <c r="B12" s="33"/>
      <c r="C12" s="34">
        <v>4</v>
      </c>
      <c r="D12" s="248" t="s">
        <v>2161</v>
      </c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152">
        <f>COUNTA('Nets not required'!K:K)-1</f>
        <v>0</v>
      </c>
      <c r="AE12" s="153"/>
      <c r="AF12" s="158" t="s">
        <v>2141</v>
      </c>
      <c r="AG12" s="159"/>
      <c r="AH12" s="162">
        <f>AD12</f>
        <v>0</v>
      </c>
      <c r="AI12" s="163"/>
      <c r="AJ12" s="38"/>
      <c r="AK12" s="36"/>
      <c r="AL12" s="36"/>
      <c r="AM12" s="36"/>
      <c r="AN12" s="36" t="s">
        <v>2118</v>
      </c>
      <c r="AO12" s="36"/>
      <c r="AP12" s="36"/>
      <c r="AQ12" s="36"/>
      <c r="AR12" s="36"/>
      <c r="AS12" s="36"/>
      <c r="AT12" s="36"/>
      <c r="AU12" s="36"/>
    </row>
    <row r="13" spans="2:47" s="37" customFormat="1" ht="15.75" customHeight="1">
      <c r="B13" s="33"/>
      <c r="C13" s="165" t="s">
        <v>2078</v>
      </c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52">
        <f>AF13+AH13</f>
        <v>0</v>
      </c>
      <c r="AE13" s="153"/>
      <c r="AF13" s="160">
        <f>SUM(AF9:AF12)</f>
        <v>0</v>
      </c>
      <c r="AG13" s="161"/>
      <c r="AH13" s="160">
        <f>SUM(AH9:AH12)</f>
        <v>0</v>
      </c>
      <c r="AI13" s="161"/>
      <c r="AJ13" s="38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</row>
    <row r="14" spans="2:47" s="37" customFormat="1" ht="15.75" customHeight="1">
      <c r="B14" s="33"/>
      <c r="C14" s="39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5"/>
      <c r="AE14" s="185"/>
      <c r="AF14" s="185"/>
      <c r="AG14" s="185"/>
      <c r="AH14" s="185"/>
      <c r="AI14" s="185"/>
      <c r="AJ14" s="38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</row>
    <row r="15" spans="2:47" s="37" customFormat="1" ht="15.75" customHeight="1">
      <c r="B15" s="33"/>
      <c r="C15" s="186" t="s">
        <v>2147</v>
      </c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5"/>
      <c r="AE15" s="185"/>
      <c r="AF15" s="185"/>
      <c r="AG15" s="185"/>
      <c r="AH15" s="185"/>
      <c r="AI15" s="185"/>
      <c r="AJ15" s="38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</row>
    <row r="16" spans="2:47" s="37" customFormat="1" ht="15.75" customHeight="1">
      <c r="B16" s="33"/>
      <c r="C16" s="34">
        <v>1</v>
      </c>
      <c r="D16" s="250" t="s">
        <v>2101</v>
      </c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Z16" s="251"/>
      <c r="AA16" s="251"/>
      <c r="AB16" s="251"/>
      <c r="AC16" s="252"/>
      <c r="AD16" s="200">
        <f>AD9</f>
        <v>0</v>
      </c>
      <c r="AE16" s="201"/>
      <c r="AF16" s="201"/>
      <c r="AG16" s="201"/>
      <c r="AH16" s="201"/>
      <c r="AI16" s="202"/>
      <c r="AJ16" s="38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</row>
    <row r="17" spans="2:47" s="37" customFormat="1" ht="15.75" customHeight="1">
      <c r="B17" s="33"/>
      <c r="C17" s="34">
        <v>2</v>
      </c>
      <c r="D17" s="250" t="s">
        <v>2148</v>
      </c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Z17" s="251"/>
      <c r="AA17" s="251"/>
      <c r="AB17" s="251"/>
      <c r="AC17" s="252"/>
      <c r="AD17" s="200">
        <f>AH9</f>
        <v>0</v>
      </c>
      <c r="AE17" s="201"/>
      <c r="AF17" s="201"/>
      <c r="AG17" s="201"/>
      <c r="AH17" s="201"/>
      <c r="AI17" s="202"/>
      <c r="AJ17" s="38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</row>
    <row r="18" spans="2:47" s="37" customFormat="1" ht="15.75" customHeight="1">
      <c r="B18" s="33"/>
      <c r="C18" s="34">
        <v>3</v>
      </c>
      <c r="D18" s="250" t="s">
        <v>2158</v>
      </c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251"/>
      <c r="R18" s="251"/>
      <c r="S18" s="251"/>
      <c r="T18" s="251"/>
      <c r="U18" s="251"/>
      <c r="V18" s="251"/>
      <c r="W18" s="251"/>
      <c r="X18" s="251"/>
      <c r="Y18" s="251"/>
      <c r="Z18" s="251"/>
      <c r="AA18" s="251"/>
      <c r="AB18" s="251"/>
      <c r="AC18" s="252"/>
      <c r="AD18" s="253"/>
      <c r="AE18" s="254"/>
      <c r="AF18" s="254"/>
      <c r="AG18" s="254"/>
      <c r="AH18" s="254"/>
      <c r="AI18" s="255"/>
      <c r="AJ18" s="43"/>
      <c r="AK18" s="44"/>
      <c r="AL18" s="36"/>
      <c r="AM18" s="36"/>
      <c r="AN18" s="36"/>
      <c r="AO18" s="36"/>
      <c r="AP18" s="36"/>
      <c r="AQ18" s="36"/>
      <c r="AR18" s="36"/>
      <c r="AS18" s="36"/>
      <c r="AT18" s="36"/>
      <c r="AU18" s="36"/>
    </row>
    <row r="19" spans="2:47" s="37" customFormat="1" ht="15.75" customHeight="1">
      <c r="B19" s="33"/>
      <c r="C19" s="34">
        <v>4</v>
      </c>
      <c r="D19" s="187" t="s">
        <v>2123</v>
      </c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8">
        <v>0</v>
      </c>
      <c r="AE19" s="189"/>
      <c r="AF19" s="189"/>
      <c r="AG19" s="189"/>
      <c r="AH19" s="189"/>
      <c r="AI19" s="190"/>
      <c r="AJ19" s="43"/>
      <c r="AK19" s="44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:47" s="37" customFormat="1" ht="15.75" customHeight="1">
      <c r="B20" s="33"/>
      <c r="C20" s="34">
        <v>5</v>
      </c>
      <c r="D20" s="187" t="s">
        <v>2099</v>
      </c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8">
        <v>0</v>
      </c>
      <c r="AE20" s="189"/>
      <c r="AF20" s="189"/>
      <c r="AG20" s="189"/>
      <c r="AH20" s="189"/>
      <c r="AI20" s="190"/>
      <c r="AJ20" s="43"/>
      <c r="AK20" s="44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:47" s="37" customFormat="1" ht="15.75" customHeight="1">
      <c r="B21" s="33"/>
      <c r="C21" s="34">
        <v>6</v>
      </c>
      <c r="D21" s="248" t="s">
        <v>2119</v>
      </c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56" t="e">
        <f>(AD16-AD17-AD18)/AD16</f>
        <v>#DIV/0!</v>
      </c>
      <c r="AE21" s="257"/>
      <c r="AF21" s="257"/>
      <c r="AG21" s="257"/>
      <c r="AH21" s="257"/>
      <c r="AI21" s="258"/>
      <c r="AJ21" s="43"/>
      <c r="AK21" s="45"/>
      <c r="AL21" s="46"/>
      <c r="AM21" s="36"/>
      <c r="AN21" s="36"/>
      <c r="AO21" s="36"/>
      <c r="AP21" s="36"/>
      <c r="AQ21" s="36"/>
      <c r="AR21" s="36"/>
      <c r="AS21" s="36"/>
      <c r="AT21" s="36"/>
    </row>
    <row r="22" spans="2:47" s="37" customFormat="1" ht="15.75" customHeight="1">
      <c r="B22" s="33"/>
      <c r="C22" s="34">
        <v>7</v>
      </c>
      <c r="D22" s="248" t="s">
        <v>2120</v>
      </c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59" t="str">
        <f>IF(COUNTA('Nets not required'!H:H)&gt;1,(AD16-AD17-AD18-AD20)/(AD16-AD19)," ")</f>
        <v xml:space="preserve"> </v>
      </c>
      <c r="AE22" s="260"/>
      <c r="AF22" s="260"/>
      <c r="AG22" s="260"/>
      <c r="AH22" s="260"/>
      <c r="AI22" s="261"/>
      <c r="AJ22" s="43"/>
      <c r="AK22" s="45"/>
      <c r="AL22" s="46"/>
      <c r="AM22" s="36"/>
      <c r="AN22" s="36"/>
      <c r="AO22" s="36"/>
      <c r="AP22" s="36"/>
      <c r="AQ22" s="36"/>
      <c r="AR22" s="36"/>
      <c r="AS22" s="36"/>
      <c r="AT22" s="36"/>
    </row>
    <row r="23" spans="2:47" s="37" customFormat="1" ht="15.75" customHeight="1">
      <c r="B23" s="47"/>
      <c r="C23" s="48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38"/>
      <c r="AK23" s="36"/>
      <c r="AL23" s="46"/>
      <c r="AM23" s="46"/>
      <c r="AN23" s="36"/>
      <c r="AO23" s="36"/>
      <c r="AP23" s="36"/>
      <c r="AQ23" s="36"/>
      <c r="AR23" s="36"/>
      <c r="AS23" s="36"/>
      <c r="AT23" s="36"/>
      <c r="AU23" s="36"/>
    </row>
    <row r="24" spans="2:47" s="53" customFormat="1" ht="15.75" customHeight="1">
      <c r="B24" s="50"/>
      <c r="C24" s="51" t="s">
        <v>2166</v>
      </c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2"/>
      <c r="AK24" s="46"/>
      <c r="AL24" s="36"/>
      <c r="AM24" s="36"/>
      <c r="AN24" s="46"/>
      <c r="AO24" s="46"/>
      <c r="AP24" s="46"/>
      <c r="AQ24" s="46"/>
      <c r="AR24" s="46"/>
      <c r="AS24" s="46"/>
      <c r="AT24" s="46"/>
      <c r="AU24" s="46"/>
    </row>
    <row r="25" spans="2:47" s="53" customFormat="1" ht="15.75" customHeight="1">
      <c r="B25" s="54"/>
      <c r="C25" s="242" t="s">
        <v>2136</v>
      </c>
      <c r="D25" s="243"/>
      <c r="E25" s="244"/>
      <c r="F25" s="236" t="s">
        <v>13</v>
      </c>
      <c r="G25" s="237"/>
      <c r="H25" s="237"/>
      <c r="I25" s="237"/>
      <c r="J25" s="237"/>
      <c r="K25" s="237"/>
      <c r="L25" s="237"/>
      <c r="M25" s="237"/>
      <c r="N25" s="237"/>
      <c r="O25" s="237"/>
      <c r="P25" s="237"/>
      <c r="Q25" s="238"/>
      <c r="R25" s="239" t="s">
        <v>18</v>
      </c>
      <c r="S25" s="240"/>
      <c r="T25" s="240"/>
      <c r="U25" s="240"/>
      <c r="V25" s="240"/>
      <c r="W25" s="240"/>
      <c r="X25" s="240"/>
      <c r="Y25" s="240"/>
      <c r="Z25" s="240"/>
      <c r="AA25" s="240"/>
      <c r="AB25" s="240"/>
      <c r="AC25" s="241"/>
      <c r="AD25" s="194" t="s">
        <v>14</v>
      </c>
      <c r="AE25" s="195"/>
      <c r="AF25" s="196"/>
      <c r="AG25" s="194" t="s">
        <v>2096</v>
      </c>
      <c r="AH25" s="195"/>
      <c r="AI25" s="196"/>
      <c r="AJ25" s="52"/>
      <c r="AK25" s="46"/>
      <c r="AL25" s="55"/>
      <c r="AM25" s="55"/>
      <c r="AN25" s="46"/>
      <c r="AO25" s="46"/>
      <c r="AP25" s="46"/>
      <c r="AQ25" s="46"/>
      <c r="AR25" s="46"/>
      <c r="AS25" s="46"/>
      <c r="AT25" s="46"/>
      <c r="AU25" s="46"/>
    </row>
    <row r="26" spans="2:47" s="53" customFormat="1" ht="21.75" customHeight="1">
      <c r="B26" s="56"/>
      <c r="C26" s="245"/>
      <c r="D26" s="246"/>
      <c r="E26" s="247"/>
      <c r="F26" s="236" t="s">
        <v>9</v>
      </c>
      <c r="G26" s="237"/>
      <c r="H26" s="238"/>
      <c r="I26" s="236" t="s">
        <v>10</v>
      </c>
      <c r="J26" s="237"/>
      <c r="K26" s="238"/>
      <c r="L26" s="236" t="s">
        <v>11</v>
      </c>
      <c r="M26" s="237"/>
      <c r="N26" s="238"/>
      <c r="O26" s="236" t="s">
        <v>12</v>
      </c>
      <c r="P26" s="237"/>
      <c r="Q26" s="238"/>
      <c r="R26" s="239" t="s">
        <v>9</v>
      </c>
      <c r="S26" s="240"/>
      <c r="T26" s="241"/>
      <c r="U26" s="239" t="s">
        <v>10</v>
      </c>
      <c r="V26" s="240"/>
      <c r="W26" s="241"/>
      <c r="X26" s="239" t="s">
        <v>11</v>
      </c>
      <c r="Y26" s="240"/>
      <c r="Z26" s="241"/>
      <c r="AA26" s="239" t="s">
        <v>12</v>
      </c>
      <c r="AB26" s="240"/>
      <c r="AC26" s="241"/>
      <c r="AD26" s="197"/>
      <c r="AE26" s="198"/>
      <c r="AF26" s="199"/>
      <c r="AG26" s="197"/>
      <c r="AH26" s="198"/>
      <c r="AI26" s="199"/>
      <c r="AJ26" s="57"/>
      <c r="AK26" s="46"/>
      <c r="AL26" s="55"/>
      <c r="AM26" s="55"/>
      <c r="AN26" s="46"/>
      <c r="AO26" s="46"/>
      <c r="AP26" s="46"/>
      <c r="AQ26" s="46"/>
      <c r="AR26" s="46"/>
      <c r="AS26" s="46"/>
      <c r="AT26" s="46"/>
      <c r="AU26" s="46"/>
    </row>
    <row r="27" spans="2:47" s="37" customFormat="1" ht="15.75" customHeight="1">
      <c r="B27" s="56"/>
      <c r="C27" s="234" t="s">
        <v>0</v>
      </c>
      <c r="D27" s="234"/>
      <c r="E27" s="234"/>
      <c r="F27" s="231">
        <f>COUNTIFS('Testable nets list'!G:G,5,'Testable nets list'!F:F,1,'Testable nets list'!D:D,"T")</f>
        <v>0</v>
      </c>
      <c r="G27" s="232"/>
      <c r="H27" s="233"/>
      <c r="I27" s="231">
        <f>COUNTIFS('Testable nets list'!G:G,6,'Testable nets list'!F:F,1,'Testable nets list'!D:D,"T")</f>
        <v>0</v>
      </c>
      <c r="J27" s="232"/>
      <c r="K27" s="233"/>
      <c r="L27" s="231">
        <f>COUNTIFS('Testable nets list'!G:G,7,'Testable nets list'!F:F,1,'Testable nets list'!D:D,"T")</f>
        <v>0</v>
      </c>
      <c r="M27" s="232"/>
      <c r="N27" s="233"/>
      <c r="O27" s="231" t="s">
        <v>2142</v>
      </c>
      <c r="P27" s="232"/>
      <c r="Q27" s="233"/>
      <c r="R27" s="231">
        <f>COUNTIFS('Testable nets list'!G:G,5,'Testable nets list'!F:F,1,'Testable nets list'!D:D,"B")</f>
        <v>0</v>
      </c>
      <c r="S27" s="232"/>
      <c r="T27" s="233"/>
      <c r="U27" s="231">
        <f>COUNTIFS('Testable nets list'!G:G,6,'Testable nets list'!F:F,1,'Testable nets list'!D:D,"B")</f>
        <v>0</v>
      </c>
      <c r="V27" s="232"/>
      <c r="W27" s="233"/>
      <c r="X27" s="231">
        <f>COUNTIFS('Testable nets list'!G:G,7,'Testable nets list'!F:F,1,'Testable nets list'!D:D,"B")</f>
        <v>0</v>
      </c>
      <c r="Y27" s="232"/>
      <c r="Z27" s="233"/>
      <c r="AA27" s="231" t="s">
        <v>2143</v>
      </c>
      <c r="AB27" s="232"/>
      <c r="AC27" s="233"/>
      <c r="AD27" s="228">
        <f>SUM(F27:AC27)</f>
        <v>0</v>
      </c>
      <c r="AE27" s="229"/>
      <c r="AF27" s="230"/>
      <c r="AG27" s="191" t="e">
        <f>AD27/AD31</f>
        <v>#DIV/0!</v>
      </c>
      <c r="AH27" s="192"/>
      <c r="AI27" s="193"/>
      <c r="AJ27" s="38"/>
      <c r="AK27" s="36"/>
      <c r="AL27" s="55"/>
      <c r="AM27" s="55"/>
      <c r="AN27" s="36"/>
      <c r="AO27" s="36"/>
      <c r="AP27" s="36"/>
      <c r="AQ27" s="36"/>
      <c r="AR27" s="36"/>
      <c r="AS27" s="36"/>
      <c r="AT27" s="36"/>
      <c r="AU27" s="36"/>
    </row>
    <row r="28" spans="2:47" s="59" customFormat="1" ht="15.75" customHeight="1">
      <c r="B28" s="33"/>
      <c r="C28" s="234" t="s">
        <v>4</v>
      </c>
      <c r="D28" s="234"/>
      <c r="E28" s="234"/>
      <c r="F28" s="231">
        <f>COUNTIFS('Testable nets list'!G:G,5,'Testable nets list'!F:F,2,'Testable nets list'!D:D,"T")</f>
        <v>0</v>
      </c>
      <c r="G28" s="232"/>
      <c r="H28" s="233"/>
      <c r="I28" s="231">
        <f>COUNTIFS('Testable nets list'!G:G,6,'Testable nets list'!F:F,2,'Testable nets list'!D:D,"T")</f>
        <v>0</v>
      </c>
      <c r="J28" s="232"/>
      <c r="K28" s="233"/>
      <c r="L28" s="231">
        <f>COUNTIFS('Testable nets list'!G:G,7,'Testable nets list'!F:F,2,'Testable nets list'!D:D,"T")</f>
        <v>0</v>
      </c>
      <c r="M28" s="232"/>
      <c r="N28" s="233"/>
      <c r="O28" s="231" t="s">
        <v>2142</v>
      </c>
      <c r="P28" s="232"/>
      <c r="Q28" s="233"/>
      <c r="R28" s="231">
        <f>COUNTIFS('Testable nets list'!G:G,5,'Testable nets list'!F:F,2,'Testable nets list'!D:D,"B")</f>
        <v>0</v>
      </c>
      <c r="S28" s="232"/>
      <c r="T28" s="233"/>
      <c r="U28" s="231">
        <f>COUNTIFS('Testable nets list'!G:G,6,'Testable nets list'!F:F,2,'Testable nets list'!D:D,"B")</f>
        <v>0</v>
      </c>
      <c r="V28" s="232"/>
      <c r="W28" s="233"/>
      <c r="X28" s="231">
        <f>COUNTIFS('Testable nets list'!G:G,7,'Testable nets list'!F:F,2,'Testable nets list'!D:D,"B")</f>
        <v>0</v>
      </c>
      <c r="Y28" s="232"/>
      <c r="Z28" s="233"/>
      <c r="AA28" s="231" t="s">
        <v>2142</v>
      </c>
      <c r="AB28" s="232"/>
      <c r="AC28" s="233"/>
      <c r="AD28" s="228">
        <f>SUM(F28:AC28)</f>
        <v>0</v>
      </c>
      <c r="AE28" s="229"/>
      <c r="AF28" s="230"/>
      <c r="AG28" s="191" t="e">
        <f>AD28/AD31</f>
        <v>#DIV/0!</v>
      </c>
      <c r="AH28" s="192"/>
      <c r="AI28" s="193"/>
      <c r="AJ28" s="58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</row>
    <row r="29" spans="2:47" s="59" customFormat="1" ht="15.75" customHeight="1">
      <c r="B29" s="33"/>
      <c r="C29" s="234" t="s">
        <v>1</v>
      </c>
      <c r="D29" s="234"/>
      <c r="E29" s="234"/>
      <c r="F29" s="231">
        <f>COUNTIFS('Testable nets list'!G:G,5,'Testable nets list'!F:F,3,'Testable nets list'!D:D,"T")</f>
        <v>0</v>
      </c>
      <c r="G29" s="232"/>
      <c r="H29" s="233"/>
      <c r="I29" s="231">
        <f>COUNTIFS('Testable nets list'!G:G,6,'Testable nets list'!F:F,3,'Testable nets list'!D:D,"T")</f>
        <v>0</v>
      </c>
      <c r="J29" s="232"/>
      <c r="K29" s="233"/>
      <c r="L29" s="231">
        <f>COUNTIFS('Testable nets list'!G:G,7,'Testable nets list'!F:F,3,'Testable nets list'!D:D,"T")</f>
        <v>0</v>
      </c>
      <c r="M29" s="232"/>
      <c r="N29" s="233"/>
      <c r="O29" s="231" t="s">
        <v>2143</v>
      </c>
      <c r="P29" s="232"/>
      <c r="Q29" s="233"/>
      <c r="R29" s="231">
        <f>COUNTIFS('Testable nets list'!G:G,5,'Testable nets list'!F:F,3,'Testable nets list'!D:D,"B")</f>
        <v>0</v>
      </c>
      <c r="S29" s="232"/>
      <c r="T29" s="233"/>
      <c r="U29" s="231">
        <f>COUNTIFS('Testable nets list'!G:G,6,'Testable nets list'!F:F,3,'Testable nets list'!D:D,"B")</f>
        <v>0</v>
      </c>
      <c r="V29" s="232"/>
      <c r="W29" s="233"/>
      <c r="X29" s="231">
        <f>COUNTIFS('Testable nets list'!G:G,7,'Testable nets list'!F:F,3,'Testable nets list'!D:D,"B")</f>
        <v>0</v>
      </c>
      <c r="Y29" s="232"/>
      <c r="Z29" s="233"/>
      <c r="AA29" s="231" t="s">
        <v>2142</v>
      </c>
      <c r="AB29" s="232"/>
      <c r="AC29" s="233"/>
      <c r="AD29" s="228">
        <f>SUM(F29:AC29)</f>
        <v>0</v>
      </c>
      <c r="AE29" s="229"/>
      <c r="AF29" s="230"/>
      <c r="AG29" s="191" t="e">
        <f>AD29/AD31</f>
        <v>#DIV/0!</v>
      </c>
      <c r="AH29" s="192"/>
      <c r="AI29" s="193"/>
      <c r="AJ29" s="60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</row>
    <row r="30" spans="2:47" s="59" customFormat="1" ht="15.75" customHeight="1">
      <c r="B30" s="33"/>
      <c r="C30" s="234" t="s">
        <v>2</v>
      </c>
      <c r="D30" s="234" t="s">
        <v>2</v>
      </c>
      <c r="E30" s="234"/>
      <c r="F30" s="231">
        <f>COUNTIFS('Testable nets list'!G:G,5,'Testable nets list'!F:F,4,'Testable nets list'!D:D,"T")</f>
        <v>0</v>
      </c>
      <c r="G30" s="232"/>
      <c r="H30" s="233"/>
      <c r="I30" s="231">
        <f>COUNTIFS('Testable nets list'!G:G,6,'Testable nets list'!F:F,4,'Testable nets list'!D:D,"T")</f>
        <v>0</v>
      </c>
      <c r="J30" s="232"/>
      <c r="K30" s="233"/>
      <c r="L30" s="231">
        <f>COUNTIFS('Testable nets list'!G:G,7,'Testable nets list'!F:F,4,'Testable nets list'!D:D,"T")</f>
        <v>0</v>
      </c>
      <c r="M30" s="232"/>
      <c r="N30" s="233"/>
      <c r="O30" s="231" t="s">
        <v>2144</v>
      </c>
      <c r="P30" s="232"/>
      <c r="Q30" s="233"/>
      <c r="R30" s="231">
        <f>COUNTIFS('Testable nets list'!G:G,5,'Testable nets list'!F:F,4,'Testable nets list'!D:D,"B")</f>
        <v>0</v>
      </c>
      <c r="S30" s="232"/>
      <c r="T30" s="233"/>
      <c r="U30" s="231">
        <f>COUNTIFS('Testable nets list'!G:G,6,'Testable nets list'!F:F,4,'Testable nets list'!D:D,"B")</f>
        <v>0</v>
      </c>
      <c r="V30" s="232"/>
      <c r="W30" s="233"/>
      <c r="X30" s="231">
        <f>COUNTIFS('Testable nets list'!G:G,7,'Testable nets list'!F:F,4,'Testable nets list'!D:D,"B")</f>
        <v>0</v>
      </c>
      <c r="Y30" s="232"/>
      <c r="Z30" s="233"/>
      <c r="AA30" s="231" t="s">
        <v>2145</v>
      </c>
      <c r="AB30" s="232"/>
      <c r="AC30" s="233"/>
      <c r="AD30" s="228">
        <f>SUM(F30:AC30)</f>
        <v>0</v>
      </c>
      <c r="AE30" s="229"/>
      <c r="AF30" s="230"/>
      <c r="AG30" s="191" t="e">
        <f>AD30/AD31</f>
        <v>#DIV/0!</v>
      </c>
      <c r="AH30" s="192"/>
      <c r="AI30" s="193"/>
      <c r="AJ30" s="60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</row>
    <row r="31" spans="2:47" s="59" customFormat="1" ht="15.75" customHeight="1">
      <c r="B31" s="33"/>
      <c r="C31" s="234" t="s">
        <v>15</v>
      </c>
      <c r="D31" s="234" t="s">
        <v>3</v>
      </c>
      <c r="E31" s="234"/>
      <c r="F31" s="223">
        <f>SUM(F27:H30)</f>
        <v>0</v>
      </c>
      <c r="G31" s="224"/>
      <c r="H31" s="225"/>
      <c r="I31" s="223">
        <f>SUM(I27:K30)</f>
        <v>0</v>
      </c>
      <c r="J31" s="224"/>
      <c r="K31" s="225"/>
      <c r="L31" s="223">
        <f>SUM(L27:N30)</f>
        <v>0</v>
      </c>
      <c r="M31" s="224"/>
      <c r="N31" s="225"/>
      <c r="O31" s="223">
        <f>SUM(O27:Q30)</f>
        <v>0</v>
      </c>
      <c r="P31" s="224"/>
      <c r="Q31" s="225"/>
      <c r="R31" s="223">
        <f>SUM(R27:T30)</f>
        <v>0</v>
      </c>
      <c r="S31" s="224"/>
      <c r="T31" s="225"/>
      <c r="U31" s="223">
        <f>SUM(U27:W30)</f>
        <v>0</v>
      </c>
      <c r="V31" s="224"/>
      <c r="W31" s="225"/>
      <c r="X31" s="223">
        <f>SUM(X27:Z30)</f>
        <v>0</v>
      </c>
      <c r="Y31" s="224"/>
      <c r="Z31" s="225"/>
      <c r="AA31" s="223">
        <f>SUM(AA27:AC30)</f>
        <v>0</v>
      </c>
      <c r="AB31" s="224"/>
      <c r="AC31" s="225"/>
      <c r="AD31" s="228">
        <f>SUM(F31:AC31)</f>
        <v>0</v>
      </c>
      <c r="AE31" s="229"/>
      <c r="AF31" s="230"/>
      <c r="AG31" s="191">
        <f>1</f>
        <v>1</v>
      </c>
      <c r="AH31" s="192"/>
      <c r="AI31" s="193"/>
      <c r="AJ31" s="60"/>
      <c r="AK31" s="55"/>
      <c r="AL31" s="36"/>
      <c r="AM31" s="36"/>
      <c r="AN31" s="55"/>
      <c r="AO31" s="55"/>
      <c r="AP31" s="55"/>
      <c r="AQ31" s="55"/>
      <c r="AR31" s="55"/>
      <c r="AS31" s="55"/>
      <c r="AT31" s="55"/>
      <c r="AU31" s="55"/>
    </row>
    <row r="32" spans="2:47" s="59" customFormat="1" ht="15.75" customHeight="1">
      <c r="B32" s="33"/>
      <c r="C32" s="72" t="s">
        <v>2138</v>
      </c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4"/>
      <c r="V32" s="74"/>
      <c r="W32" s="74"/>
      <c r="X32" s="73"/>
      <c r="Y32" s="73"/>
      <c r="Z32" s="73"/>
      <c r="AA32" s="73"/>
      <c r="AB32" s="73"/>
      <c r="AC32" s="73"/>
      <c r="AD32" s="73"/>
      <c r="AE32" s="73"/>
      <c r="AF32" s="73"/>
      <c r="AG32" s="205" t="e">
        <f>(AD27+AD28)/AD31</f>
        <v>#DIV/0!</v>
      </c>
      <c r="AH32" s="205"/>
      <c r="AI32" s="205"/>
      <c r="AJ32" s="60"/>
      <c r="AK32" s="55"/>
      <c r="AL32" s="36"/>
      <c r="AM32" s="36"/>
      <c r="AN32" s="55"/>
      <c r="AO32" s="55"/>
      <c r="AP32" s="55"/>
      <c r="AQ32" s="55"/>
      <c r="AR32" s="55"/>
      <c r="AS32" s="55"/>
      <c r="AT32" s="55"/>
      <c r="AU32" s="55"/>
    </row>
    <row r="33" spans="2:47" s="59" customFormat="1" ht="15.75" customHeight="1">
      <c r="B33" s="33"/>
      <c r="C33" s="75" t="s">
        <v>2081</v>
      </c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76"/>
      <c r="V33" s="76"/>
      <c r="W33" s="76"/>
      <c r="X33" s="61"/>
      <c r="Y33" s="61"/>
      <c r="Z33" s="61"/>
      <c r="AA33" s="61"/>
      <c r="AB33" s="61"/>
      <c r="AC33" s="61"/>
      <c r="AD33" s="61"/>
      <c r="AE33" s="61"/>
      <c r="AF33" s="61"/>
      <c r="AG33" s="204" t="e">
        <f>(F31+I31+R31+U31)/AD31</f>
        <v>#DIV/0!</v>
      </c>
      <c r="AH33" s="204"/>
      <c r="AI33" s="204"/>
      <c r="AJ33" s="60"/>
      <c r="AK33" s="55"/>
      <c r="AL33" s="36"/>
      <c r="AM33" s="36"/>
      <c r="AN33" s="55"/>
      <c r="AO33" s="55"/>
      <c r="AP33" s="55"/>
      <c r="AQ33" s="55"/>
      <c r="AR33" s="55"/>
      <c r="AS33" s="55"/>
      <c r="AT33" s="55"/>
      <c r="AU33" s="55"/>
    </row>
    <row r="34" spans="2:47" s="37" customFormat="1" ht="15.75" customHeight="1">
      <c r="B34" s="47"/>
      <c r="C34" s="77" t="s">
        <v>2082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9"/>
      <c r="V34" s="79"/>
      <c r="W34" s="79"/>
      <c r="X34" s="78"/>
      <c r="Y34" s="78"/>
      <c r="Z34" s="78"/>
      <c r="AA34" s="78"/>
      <c r="AB34" s="78"/>
      <c r="AC34" s="78"/>
      <c r="AD34" s="78"/>
      <c r="AE34" s="78"/>
      <c r="AF34" s="78"/>
      <c r="AG34" s="203" t="e">
        <f>(R31+U31+X31+AA31)/AD31</f>
        <v>#DIV/0!</v>
      </c>
      <c r="AH34" s="203"/>
      <c r="AI34" s="203"/>
      <c r="AJ34" s="38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</row>
    <row r="35" spans="2:47" s="37" customFormat="1" ht="15.75" customHeight="1">
      <c r="B35" s="62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8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</row>
    <row r="36" spans="2:47" s="37" customFormat="1" ht="15.75" customHeight="1">
      <c r="B36" s="62"/>
      <c r="C36" s="51" t="s">
        <v>2090</v>
      </c>
      <c r="D36" s="51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38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</row>
    <row r="37" spans="2:47" s="37" customFormat="1" ht="15.75" customHeight="1">
      <c r="B37" s="62"/>
      <c r="C37" s="64" t="s">
        <v>2083</v>
      </c>
      <c r="D37" s="226" t="s">
        <v>19</v>
      </c>
      <c r="E37" s="226"/>
      <c r="F37" s="226"/>
      <c r="G37" s="226"/>
      <c r="H37" s="226"/>
      <c r="I37" s="226"/>
      <c r="J37" s="226" t="s">
        <v>22</v>
      </c>
      <c r="K37" s="226"/>
      <c r="L37" s="226"/>
      <c r="M37" s="226"/>
      <c r="N37" s="226" t="s">
        <v>23</v>
      </c>
      <c r="O37" s="226"/>
      <c r="P37" s="226"/>
      <c r="Q37" s="226"/>
      <c r="R37" s="226" t="s">
        <v>11</v>
      </c>
      <c r="S37" s="226"/>
      <c r="T37" s="226"/>
      <c r="U37" s="226"/>
      <c r="V37" s="227" t="s">
        <v>2097</v>
      </c>
      <c r="W37" s="227"/>
      <c r="X37" s="227"/>
      <c r="Y37" s="227"/>
      <c r="Z37" s="227" t="s">
        <v>2096</v>
      </c>
      <c r="AA37" s="227"/>
      <c r="AB37" s="227"/>
      <c r="AC37" s="227"/>
      <c r="AD37" s="63"/>
      <c r="AE37" s="63"/>
      <c r="AF37" s="63"/>
      <c r="AG37" s="63"/>
      <c r="AH37" s="63"/>
      <c r="AI37" s="63"/>
      <c r="AJ37" s="38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</row>
    <row r="38" spans="2:47" s="37" customFormat="1" ht="15.75" customHeight="1">
      <c r="B38" s="62"/>
      <c r="C38" s="209">
        <v>1</v>
      </c>
      <c r="D38" s="235" t="s">
        <v>24</v>
      </c>
      <c r="E38" s="212"/>
      <c r="F38" s="212"/>
      <c r="G38" s="212"/>
      <c r="H38" s="212"/>
      <c r="I38" s="213"/>
      <c r="J38" s="65" t="s">
        <v>20</v>
      </c>
      <c r="K38" s="180">
        <f>COUNTIFS('Testable nets list'!D:D,"T",'Testable nets list'!E:E,"24.00,24.00",'Testable nets list'!G:G,"5")</f>
        <v>0</v>
      </c>
      <c r="L38" s="180"/>
      <c r="M38" s="181"/>
      <c r="N38" s="65" t="s">
        <v>20</v>
      </c>
      <c r="O38" s="180">
        <f>COUNTIFS('Testable nets list'!D:D,"T",'Testable nets list'!E:E,"24.00,24.00",'Testable nets list'!G:G,"6")</f>
        <v>0</v>
      </c>
      <c r="P38" s="180"/>
      <c r="Q38" s="181"/>
      <c r="R38" s="65" t="s">
        <v>20</v>
      </c>
      <c r="S38" s="180">
        <f>COUNTIFS('Testable nets list'!D:D,"T",'Testable nets list'!E:E,"24.00,24.00",'Testable nets list'!G:G,"7")</f>
        <v>0</v>
      </c>
      <c r="T38" s="180"/>
      <c r="U38" s="181"/>
      <c r="V38" s="179">
        <f>K38+O38+S38</f>
        <v>0</v>
      </c>
      <c r="W38" s="180"/>
      <c r="X38" s="180"/>
      <c r="Y38" s="181"/>
      <c r="Z38" s="173" t="e">
        <f>V38/($AD$13-$AF$13)</f>
        <v>#DIV/0!</v>
      </c>
      <c r="AA38" s="174"/>
      <c r="AB38" s="174"/>
      <c r="AC38" s="175"/>
      <c r="AD38" s="63"/>
      <c r="AE38" s="63"/>
      <c r="AF38" s="63"/>
      <c r="AG38" s="63"/>
      <c r="AH38" s="63"/>
      <c r="AI38" s="63"/>
      <c r="AJ38" s="38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</row>
    <row r="39" spans="2:47" s="37" customFormat="1" ht="15.75" customHeight="1">
      <c r="B39" s="62"/>
      <c r="C39" s="210"/>
      <c r="D39" s="214"/>
      <c r="E39" s="215"/>
      <c r="F39" s="215"/>
      <c r="G39" s="215"/>
      <c r="H39" s="215"/>
      <c r="I39" s="216"/>
      <c r="J39" s="65" t="s">
        <v>21</v>
      </c>
      <c r="K39" s="180">
        <f>COUNTIFS('Testable nets list'!D:D,"B",'Testable nets list'!E:E,"24.00,24.00",'Testable nets list'!G:G,"5")</f>
        <v>0</v>
      </c>
      <c r="L39" s="180"/>
      <c r="M39" s="181"/>
      <c r="N39" s="65" t="s">
        <v>21</v>
      </c>
      <c r="O39" s="180">
        <f>COUNTIFS('Testable nets list'!D:D,"B",'Testable nets list'!E:E,"24.00,24.00",'Testable nets list'!G:G,"6")</f>
        <v>0</v>
      </c>
      <c r="P39" s="180"/>
      <c r="Q39" s="181"/>
      <c r="R39" s="65" t="s">
        <v>21</v>
      </c>
      <c r="S39" s="180">
        <f>COUNTIFS('Testable nets list'!D:D,"B",'Testable nets list'!E:E,"24.00,24.00",'Testable nets list'!G:G,"7")</f>
        <v>0</v>
      </c>
      <c r="T39" s="180"/>
      <c r="U39" s="181"/>
      <c r="V39" s="179">
        <f>K39+O39+S39</f>
        <v>0</v>
      </c>
      <c r="W39" s="180"/>
      <c r="X39" s="180"/>
      <c r="Y39" s="181"/>
      <c r="Z39" s="173" t="e">
        <f>V39/($AD$13-$AF$13)</f>
        <v>#DIV/0!</v>
      </c>
      <c r="AA39" s="174"/>
      <c r="AB39" s="174"/>
      <c r="AC39" s="175"/>
      <c r="AD39" s="63"/>
      <c r="AE39" s="63"/>
      <c r="AF39" s="63"/>
      <c r="AG39" s="63"/>
      <c r="AH39" s="63"/>
      <c r="AI39" s="63"/>
      <c r="AJ39" s="38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</row>
    <row r="40" spans="2:47" s="37" customFormat="1" ht="15.75" customHeight="1">
      <c r="B40" s="62"/>
      <c r="C40" s="209">
        <v>2</v>
      </c>
      <c r="D40" s="211" t="s">
        <v>2137</v>
      </c>
      <c r="E40" s="212"/>
      <c r="F40" s="212"/>
      <c r="G40" s="212"/>
      <c r="H40" s="212"/>
      <c r="I40" s="213"/>
      <c r="J40" s="65" t="s">
        <v>20</v>
      </c>
      <c r="K40" s="180">
        <f>COUNTIFS('Testable nets list'!D:D,"T",'Testable nets list'!E:E,"22.00,22.00",'Testable nets list'!G:G,"5")+COUNTIFS('Testable nets list'!D:D,"T",'Testable nets list'!E:E,"20.00,20.00",'Testable nets list'!G:G,"5")+COUNTIFS('Testable nets list'!D:D,"T",'Testable nets list'!E:E,"18.00,18.00",'Testable nets list'!G:G,"5")</f>
        <v>0</v>
      </c>
      <c r="L40" s="180"/>
      <c r="M40" s="181"/>
      <c r="N40" s="65" t="s">
        <v>20</v>
      </c>
      <c r="O40" s="180">
        <f>COUNTIFS('Testable nets list'!D:D,"T",'Testable nets list'!E:E,"22.00,22.00",'Testable nets list'!G:G,"6")+COUNTIFS('Testable nets list'!D:D,"T",'Testable nets list'!E:E,"20.00,20.00",'Testable nets list'!G:G,"6")+COUNTIFS('Testable nets list'!D:D,"T",'Testable nets list'!E:E,"18.00,18.00",'Testable nets list'!G:G,"6")</f>
        <v>0</v>
      </c>
      <c r="P40" s="180"/>
      <c r="Q40" s="181"/>
      <c r="R40" s="65" t="s">
        <v>20</v>
      </c>
      <c r="S40" s="180">
        <f>COUNTIFS('Testable nets list'!D:D,"T",'Testable nets list'!E:E,"22.00,22.00",'Testable nets list'!G:G,"7")+COUNTIFS('Testable nets list'!D:D,"T",'Testable nets list'!E:E,"20.00,20.00",'Testable nets list'!G:G,"7")+COUNTIFS('Testable nets list'!D:D,"T",'Testable nets list'!E:E,"18.00,18.00",'Testable nets list'!G:G,"7")</f>
        <v>0</v>
      </c>
      <c r="T40" s="180"/>
      <c r="U40" s="181"/>
      <c r="V40" s="179">
        <f>K40+O40+S40</f>
        <v>0</v>
      </c>
      <c r="W40" s="180"/>
      <c r="X40" s="180"/>
      <c r="Y40" s="181"/>
      <c r="Z40" s="173" t="e">
        <f>V40/($AD$13-$AF$13)</f>
        <v>#DIV/0!</v>
      </c>
      <c r="AA40" s="174"/>
      <c r="AB40" s="174"/>
      <c r="AC40" s="175"/>
      <c r="AD40" s="63"/>
      <c r="AE40" s="63"/>
      <c r="AF40" s="63"/>
      <c r="AG40" s="63"/>
      <c r="AH40" s="63"/>
      <c r="AI40" s="63"/>
      <c r="AJ40" s="38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</row>
    <row r="41" spans="2:47" s="37" customFormat="1" ht="15.75" customHeight="1">
      <c r="B41" s="62"/>
      <c r="C41" s="210"/>
      <c r="D41" s="214"/>
      <c r="E41" s="215"/>
      <c r="F41" s="215"/>
      <c r="G41" s="215"/>
      <c r="H41" s="215"/>
      <c r="I41" s="216"/>
      <c r="J41" s="65" t="s">
        <v>21</v>
      </c>
      <c r="K41" s="180">
        <f>COUNTIFS('Testable nets list'!D:D,"B",'Testable nets list'!E:E,"22.00,22.00",'Testable nets list'!G:G,"5")+COUNTIFS('Testable nets list'!D:D,"B",'Testable nets list'!E:E,"20.00,20.00",'Testable nets list'!G:G,"5")+COUNTIFS('Testable nets list'!D:D,"B",'Testable nets list'!E:E,"18.00,18.00",'Testable nets list'!G:G,"5")</f>
        <v>0</v>
      </c>
      <c r="L41" s="180"/>
      <c r="M41" s="181"/>
      <c r="N41" s="65" t="s">
        <v>21</v>
      </c>
      <c r="O41" s="180">
        <f>COUNTIFS('Testable nets list'!D:D,"B",'Testable nets list'!E:E,"22.00,22.00",'Testable nets list'!G:G,"6")+COUNTIFS('Testable nets list'!D:D,"B",'Testable nets list'!E:E,"20.00,20.00",'Testable nets list'!G:G,"6")+COUNTIFS('Testable nets list'!D:D,"B",'Testable nets list'!E:E,"18.00,18.00",'Testable nets list'!G:G,"6")</f>
        <v>0</v>
      </c>
      <c r="P41" s="180"/>
      <c r="Q41" s="181"/>
      <c r="R41" s="65" t="s">
        <v>21</v>
      </c>
      <c r="S41" s="180">
        <f>COUNTIFS('Testable nets list'!D:D,"B",'Testable nets list'!E:E,"22.00,22.00",'Testable nets list'!G:G,"7")+COUNTIFS('Testable nets list'!D:D,"B",'Testable nets list'!E:E,"20.00,20.00",'Testable nets list'!G:G,"7")+COUNTIFS('Testable nets list'!D:D,"B",'Testable nets list'!E:E,"18.00,18.00",'Testable nets list'!G:G,"7")</f>
        <v>0</v>
      </c>
      <c r="T41" s="180"/>
      <c r="U41" s="181"/>
      <c r="V41" s="179">
        <f>K41+O41+S41</f>
        <v>0</v>
      </c>
      <c r="W41" s="180"/>
      <c r="X41" s="180"/>
      <c r="Y41" s="181"/>
      <c r="Z41" s="173" t="e">
        <f>V41/($AD$13-$AF$13)</f>
        <v>#DIV/0!</v>
      </c>
      <c r="AA41" s="174"/>
      <c r="AB41" s="174"/>
      <c r="AC41" s="175"/>
      <c r="AD41" s="63"/>
      <c r="AE41" s="63"/>
      <c r="AF41" s="63"/>
      <c r="AG41" s="63"/>
      <c r="AH41" s="63"/>
      <c r="AI41" s="63"/>
      <c r="AJ41" s="38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</row>
    <row r="42" spans="2:47" s="37" customFormat="1" ht="15.75" customHeight="1">
      <c r="B42" s="47"/>
      <c r="C42" s="66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38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</row>
    <row r="43" spans="2:47" s="37" customFormat="1" ht="15.75" customHeight="1">
      <c r="B43" s="62"/>
      <c r="C43" s="42" t="s">
        <v>2091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38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</row>
    <row r="44" spans="2:47" s="37" customFormat="1" ht="15.75" customHeight="1">
      <c r="B44" s="62"/>
      <c r="C44" s="64" t="s">
        <v>6</v>
      </c>
      <c r="D44" s="217" t="s">
        <v>7</v>
      </c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9"/>
      <c r="P44" s="182" t="s">
        <v>2080</v>
      </c>
      <c r="Q44" s="182"/>
      <c r="R44" s="182"/>
      <c r="S44" s="182" t="s">
        <v>2095</v>
      </c>
      <c r="T44" s="182"/>
      <c r="U44" s="182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38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</row>
    <row r="45" spans="2:47" s="37" customFormat="1" ht="15.75" customHeight="1">
      <c r="B45" s="62"/>
      <c r="C45" s="34">
        <v>1</v>
      </c>
      <c r="D45" s="220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2"/>
      <c r="P45" s="166"/>
      <c r="Q45" s="166"/>
      <c r="R45" s="166"/>
      <c r="S45" s="166"/>
      <c r="T45" s="166"/>
      <c r="U45" s="166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38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</row>
    <row r="46" spans="2:47" s="37" customFormat="1" ht="15.75" customHeight="1">
      <c r="B46" s="62"/>
      <c r="C46" s="34">
        <v>2</v>
      </c>
      <c r="D46" s="167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9"/>
      <c r="P46" s="166"/>
      <c r="Q46" s="166"/>
      <c r="R46" s="166"/>
      <c r="S46" s="166"/>
      <c r="T46" s="166"/>
      <c r="U46" s="166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38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</row>
    <row r="47" spans="2:47" s="37" customFormat="1" ht="15.75" customHeight="1">
      <c r="B47" s="62"/>
      <c r="C47" s="34">
        <v>3</v>
      </c>
      <c r="D47" s="167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9"/>
      <c r="P47" s="166"/>
      <c r="Q47" s="166"/>
      <c r="R47" s="166"/>
      <c r="S47" s="166"/>
      <c r="T47" s="166"/>
      <c r="U47" s="166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38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</row>
    <row r="48" spans="2:47" s="37" customFormat="1" ht="15.75" customHeight="1">
      <c r="B48" s="62"/>
      <c r="C48" s="34">
        <v>4</v>
      </c>
      <c r="D48" s="167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9"/>
      <c r="P48" s="183"/>
      <c r="Q48" s="183"/>
      <c r="R48" s="183"/>
      <c r="S48" s="166"/>
      <c r="T48" s="166"/>
      <c r="U48" s="166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38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</row>
    <row r="49" spans="2:47" s="37" customFormat="1" ht="15.75" customHeight="1">
      <c r="B49" s="62"/>
      <c r="C49" s="34">
        <v>5</v>
      </c>
      <c r="D49" s="167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9"/>
      <c r="P49" s="183"/>
      <c r="Q49" s="183"/>
      <c r="R49" s="183"/>
      <c r="S49" s="166"/>
      <c r="T49" s="166"/>
      <c r="U49" s="166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38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</row>
    <row r="50" spans="2:47" s="37" customFormat="1" ht="15.75" customHeight="1">
      <c r="B50" s="62"/>
      <c r="C50" s="34">
        <v>6</v>
      </c>
      <c r="D50" s="167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9"/>
      <c r="P50" s="206"/>
      <c r="Q50" s="207"/>
      <c r="R50" s="208"/>
      <c r="S50" s="176"/>
      <c r="T50" s="177"/>
      <c r="U50" s="178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38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</row>
    <row r="51" spans="2:47" s="37" customFormat="1" ht="15.75" customHeight="1">
      <c r="B51" s="62"/>
      <c r="C51" s="34">
        <v>7</v>
      </c>
      <c r="D51" s="167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  <c r="P51" s="183"/>
      <c r="Q51" s="183"/>
      <c r="R51" s="183"/>
      <c r="S51" s="166"/>
      <c r="T51" s="166"/>
      <c r="U51" s="166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38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</row>
    <row r="52" spans="2:47" s="37" customFormat="1" ht="15.75" customHeight="1">
      <c r="B52" s="62"/>
      <c r="C52" s="34">
        <v>8</v>
      </c>
      <c r="D52" s="167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9"/>
      <c r="P52" s="183"/>
      <c r="Q52" s="183"/>
      <c r="R52" s="183"/>
      <c r="S52" s="166"/>
      <c r="T52" s="166"/>
      <c r="U52" s="166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38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</row>
    <row r="53" spans="2:47" s="37" customFormat="1" ht="15.75" customHeight="1">
      <c r="B53" s="62"/>
      <c r="C53" s="34">
        <v>9</v>
      </c>
      <c r="D53" s="167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9"/>
      <c r="P53" s="183"/>
      <c r="Q53" s="183"/>
      <c r="R53" s="183"/>
      <c r="S53" s="166"/>
      <c r="T53" s="166"/>
      <c r="U53" s="166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38"/>
      <c r="AK53" s="36"/>
      <c r="AL53" s="27"/>
      <c r="AM53" s="27"/>
      <c r="AN53" s="36"/>
      <c r="AO53" s="36"/>
      <c r="AP53" s="36"/>
      <c r="AQ53" s="36"/>
      <c r="AR53" s="36"/>
      <c r="AS53" s="36"/>
      <c r="AT53" s="36"/>
      <c r="AU53" s="36"/>
    </row>
    <row r="54" spans="2:47" s="37" customFormat="1" ht="15.75" customHeight="1">
      <c r="B54" s="62"/>
      <c r="C54" s="34">
        <v>10</v>
      </c>
      <c r="D54" s="170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  <c r="P54" s="183"/>
      <c r="Q54" s="183"/>
      <c r="R54" s="183"/>
      <c r="S54" s="166"/>
      <c r="T54" s="166"/>
      <c r="U54" s="166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38"/>
      <c r="AK54" s="36"/>
      <c r="AL54" s="27"/>
      <c r="AM54" s="27"/>
      <c r="AN54" s="36"/>
      <c r="AO54" s="36"/>
      <c r="AP54" s="36"/>
      <c r="AQ54" s="36"/>
      <c r="AR54" s="36"/>
      <c r="AS54" s="36"/>
      <c r="AT54" s="36"/>
      <c r="AU54" s="36"/>
    </row>
    <row r="55" spans="2:47" s="37" customFormat="1" ht="15.75" customHeight="1" thickBot="1">
      <c r="B55" s="67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9"/>
      <c r="AK55" s="36"/>
      <c r="AL55" s="23"/>
      <c r="AM55" s="23"/>
      <c r="AN55" s="36"/>
      <c r="AO55" s="36"/>
      <c r="AP55" s="36"/>
      <c r="AQ55" s="36"/>
      <c r="AR55" s="36"/>
      <c r="AS55" s="36"/>
      <c r="AT55" s="36"/>
      <c r="AU55" s="36"/>
    </row>
    <row r="56" spans="2:47" s="28" customFormat="1"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K56" s="27"/>
      <c r="AL56" s="23"/>
      <c r="AM56" s="23"/>
      <c r="AN56" s="27"/>
      <c r="AO56" s="27"/>
      <c r="AP56" s="27"/>
      <c r="AQ56" s="27"/>
      <c r="AR56" s="27"/>
      <c r="AS56" s="27"/>
      <c r="AT56" s="27"/>
      <c r="AU56" s="27"/>
    </row>
    <row r="57" spans="2:47" s="28" customFormat="1"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K57" s="27"/>
      <c r="AL57" s="23"/>
      <c r="AM57" s="23"/>
      <c r="AN57" s="27"/>
      <c r="AO57" s="27"/>
      <c r="AP57" s="27"/>
      <c r="AQ57" s="27"/>
      <c r="AR57" s="27"/>
      <c r="AS57" s="27"/>
      <c r="AT57" s="27"/>
      <c r="AU57" s="27"/>
    </row>
  </sheetData>
  <sheetProtection selectLockedCells="1"/>
  <protectedRanges>
    <protectedRange sqref="D48:U54" name="範圍1" securityDescriptor="O:WDG:WDD:(A;;CC;;;S-1-5-21-1209599712-1461700933-852523008-28653)"/>
    <protectedRange sqref="D45:U47" name="範圍1_2" securityDescriptor="O:WDG:WDD:(A;;CC;;;S-1-5-21-1209599712-1461700933-852523008-28653)"/>
    <protectedRange sqref="AD2" name="範圍1_3" securityDescriptor="O:WDG:WDD:(A;;CC;;;S-1-5-21-1209599712-1461700933-852523008-28653)"/>
    <protectedRange sqref="AD3" name="範圍1_4" securityDescriptor="O:WDG:WDD:(A;;CC;;;S-1-5-21-1209599712-1461700933-852523008-28653)"/>
    <protectedRange sqref="AD4:AD6" name="範圍1_1_1" securityDescriptor="O:WDG:WDD:(A;;CC;;;S-1-5-21-1209599712-1461700933-852523008-28653)"/>
  </protectedRanges>
  <customSheetViews>
    <customSheetView guid="{5693F48F-8FCA-4CC0-9286-11E7497B1810}" scale="85" showGridLines="0" topLeftCell="B23">
      <selection activeCell="AL35" sqref="AL35"/>
      <pageMargins left="0.7" right="0.7" top="0.75" bottom="0.75" header="0.3" footer="0.3"/>
      <pageSetup orientation="portrait" r:id="rId1"/>
    </customSheetView>
  </customSheetViews>
  <mergeCells count="187">
    <mergeCell ref="B1:AJ1"/>
    <mergeCell ref="AA2:AC2"/>
    <mergeCell ref="AD2:AI2"/>
    <mergeCell ref="AA3:AC3"/>
    <mergeCell ref="AD3:AI3"/>
    <mergeCell ref="D4:AC4"/>
    <mergeCell ref="AD4:AI4"/>
    <mergeCell ref="D5:AC5"/>
    <mergeCell ref="AD5:AI5"/>
    <mergeCell ref="D6:AC6"/>
    <mergeCell ref="AD6:AI6"/>
    <mergeCell ref="S46:U46"/>
    <mergeCell ref="S47:U47"/>
    <mergeCell ref="D9:AC9"/>
    <mergeCell ref="D10:AC10"/>
    <mergeCell ref="D11:AC11"/>
    <mergeCell ref="D12:AC12"/>
    <mergeCell ref="AD15:AI15"/>
    <mergeCell ref="D18:AC18"/>
    <mergeCell ref="D20:AC20"/>
    <mergeCell ref="AD20:AI20"/>
    <mergeCell ref="AD18:AI18"/>
    <mergeCell ref="AD17:AI17"/>
    <mergeCell ref="D17:AC17"/>
    <mergeCell ref="D16:AC16"/>
    <mergeCell ref="AD25:AF26"/>
    <mergeCell ref="F26:H26"/>
    <mergeCell ref="I26:K26"/>
    <mergeCell ref="L26:N26"/>
    <mergeCell ref="AD21:AI21"/>
    <mergeCell ref="D22:AC22"/>
    <mergeCell ref="AD22:AI22"/>
    <mergeCell ref="D21:AC21"/>
    <mergeCell ref="O26:Q26"/>
    <mergeCell ref="R26:T26"/>
    <mergeCell ref="U26:W26"/>
    <mergeCell ref="X26:Z26"/>
    <mergeCell ref="AA26:AC26"/>
    <mergeCell ref="C25:E26"/>
    <mergeCell ref="F25:Q25"/>
    <mergeCell ref="R25:AC25"/>
    <mergeCell ref="C28:E28"/>
    <mergeCell ref="F28:H28"/>
    <mergeCell ref="I28:K28"/>
    <mergeCell ref="L28:N28"/>
    <mergeCell ref="O28:Q28"/>
    <mergeCell ref="C27:E27"/>
    <mergeCell ref="F27:H27"/>
    <mergeCell ref="I27:K27"/>
    <mergeCell ref="L27:N27"/>
    <mergeCell ref="O27:Q27"/>
    <mergeCell ref="R28:T28"/>
    <mergeCell ref="U28:W28"/>
    <mergeCell ref="X28:Z28"/>
    <mergeCell ref="AA28:AC28"/>
    <mergeCell ref="AD28:AF28"/>
    <mergeCell ref="U27:W27"/>
    <mergeCell ref="X27:Z27"/>
    <mergeCell ref="AA27:AC27"/>
    <mergeCell ref="AD27:AF27"/>
    <mergeCell ref="R27:T27"/>
    <mergeCell ref="C30:E30"/>
    <mergeCell ref="F30:H30"/>
    <mergeCell ref="I30:K30"/>
    <mergeCell ref="L30:N30"/>
    <mergeCell ref="O30:Q30"/>
    <mergeCell ref="C29:E29"/>
    <mergeCell ref="F29:H29"/>
    <mergeCell ref="I29:K29"/>
    <mergeCell ref="L29:N29"/>
    <mergeCell ref="O29:Q29"/>
    <mergeCell ref="R30:T30"/>
    <mergeCell ref="U30:W30"/>
    <mergeCell ref="X30:Z30"/>
    <mergeCell ref="AA30:AC30"/>
    <mergeCell ref="AD30:AF30"/>
    <mergeCell ref="U29:W29"/>
    <mergeCell ref="X29:Z29"/>
    <mergeCell ref="AA29:AC29"/>
    <mergeCell ref="AD29:AF29"/>
    <mergeCell ref="R29:T29"/>
    <mergeCell ref="AD31:AF31"/>
    <mergeCell ref="V38:Y38"/>
    <mergeCell ref="C31:E31"/>
    <mergeCell ref="F31:H31"/>
    <mergeCell ref="I31:K31"/>
    <mergeCell ref="L31:N31"/>
    <mergeCell ref="O31:Q31"/>
    <mergeCell ref="R31:T31"/>
    <mergeCell ref="Z37:AC37"/>
    <mergeCell ref="D37:I37"/>
    <mergeCell ref="C38:C39"/>
    <mergeCell ref="D38:I39"/>
    <mergeCell ref="Z39:AC39"/>
    <mergeCell ref="Z40:AC40"/>
    <mergeCell ref="Z41:AC41"/>
    <mergeCell ref="U31:W31"/>
    <mergeCell ref="X31:Z31"/>
    <mergeCell ref="AA31:AC31"/>
    <mergeCell ref="J37:M37"/>
    <mergeCell ref="N37:Q37"/>
    <mergeCell ref="R37:U37"/>
    <mergeCell ref="V37:Y37"/>
    <mergeCell ref="K38:M38"/>
    <mergeCell ref="O38:Q38"/>
    <mergeCell ref="S38:U38"/>
    <mergeCell ref="K39:M39"/>
    <mergeCell ref="O39:Q39"/>
    <mergeCell ref="S39:U39"/>
    <mergeCell ref="P49:R49"/>
    <mergeCell ref="P51:R51"/>
    <mergeCell ref="P50:R50"/>
    <mergeCell ref="C40:C41"/>
    <mergeCell ref="D40:I41"/>
    <mergeCell ref="K40:M40"/>
    <mergeCell ref="O40:Q40"/>
    <mergeCell ref="S40:U40"/>
    <mergeCell ref="K41:M41"/>
    <mergeCell ref="O41:Q41"/>
    <mergeCell ref="D44:O44"/>
    <mergeCell ref="D45:O45"/>
    <mergeCell ref="AD14:AI14"/>
    <mergeCell ref="C15:AC15"/>
    <mergeCell ref="D19:AC19"/>
    <mergeCell ref="AD19:AI19"/>
    <mergeCell ref="S53:U53"/>
    <mergeCell ref="D50:O50"/>
    <mergeCell ref="D51:O51"/>
    <mergeCell ref="S51:U51"/>
    <mergeCell ref="P52:R52"/>
    <mergeCell ref="S52:U52"/>
    <mergeCell ref="AG28:AI28"/>
    <mergeCell ref="AG27:AI27"/>
    <mergeCell ref="AG25:AI26"/>
    <mergeCell ref="AD16:AI16"/>
    <mergeCell ref="AG34:AI34"/>
    <mergeCell ref="AG33:AI33"/>
    <mergeCell ref="AG32:AI32"/>
    <mergeCell ref="AG31:AI31"/>
    <mergeCell ref="AG30:AI30"/>
    <mergeCell ref="AG29:AI29"/>
    <mergeCell ref="D46:O46"/>
    <mergeCell ref="P44:R44"/>
    <mergeCell ref="P45:R45"/>
    <mergeCell ref="P46:R46"/>
    <mergeCell ref="C8:AC8"/>
    <mergeCell ref="C13:AC13"/>
    <mergeCell ref="S49:U49"/>
    <mergeCell ref="D53:O53"/>
    <mergeCell ref="D54:O54"/>
    <mergeCell ref="Z38:AC38"/>
    <mergeCell ref="S50:U50"/>
    <mergeCell ref="S45:U45"/>
    <mergeCell ref="V39:Y39"/>
    <mergeCell ref="S48:U48"/>
    <mergeCell ref="S44:U44"/>
    <mergeCell ref="S41:U41"/>
    <mergeCell ref="V40:Y40"/>
    <mergeCell ref="V41:Y41"/>
    <mergeCell ref="P53:R53"/>
    <mergeCell ref="P54:R54"/>
    <mergeCell ref="D14:AC14"/>
    <mergeCell ref="S54:U54"/>
    <mergeCell ref="D52:O52"/>
    <mergeCell ref="D47:O47"/>
    <mergeCell ref="D48:O48"/>
    <mergeCell ref="D49:O49"/>
    <mergeCell ref="P47:R47"/>
    <mergeCell ref="P48:R48"/>
    <mergeCell ref="AD8:AE8"/>
    <mergeCell ref="AD9:AE9"/>
    <mergeCell ref="AD10:AE10"/>
    <mergeCell ref="AD11:AE11"/>
    <mergeCell ref="AD12:AE12"/>
    <mergeCell ref="AD13:AE13"/>
    <mergeCell ref="AF8:AG8"/>
    <mergeCell ref="AH8:AI8"/>
    <mergeCell ref="AF9:AG9"/>
    <mergeCell ref="AF10:AG10"/>
    <mergeCell ref="AF11:AG11"/>
    <mergeCell ref="AF12:AG12"/>
    <mergeCell ref="AF13:AG13"/>
    <mergeCell ref="AH9:AI9"/>
    <mergeCell ref="AH10:AI10"/>
    <mergeCell ref="AH11:AI11"/>
    <mergeCell ref="AH12:AI12"/>
    <mergeCell ref="AH13:AI13"/>
  </mergeCells>
  <phoneticPr fontId="3" type="noConversion"/>
  <conditionalFormatting sqref="AJ24:AJ25">
    <cfRule type="cellIs" dxfId="0" priority="20" stopIfTrue="1" operator="lessThan">
      <formula>0.8</formula>
    </cfRule>
  </conditionalFormatting>
  <pageMargins left="0.7" right="0.7" top="0.75" bottom="0.75" header="0.3" footer="0.3"/>
  <pageSetup orientation="portrait" r:id="rId2"/>
  <ignoredErrors>
    <ignoredError sqref="AE21:AI21 AE22:AI22 AF13 AH13 AD10:AD11" unlockedFormula="1"/>
  </ignoredErrors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00B0F0"/>
  </sheetPr>
  <dimension ref="A1:K34"/>
  <sheetViews>
    <sheetView showGridLines="0" workbookViewId="0">
      <pane ySplit="1" topLeftCell="A2" activePane="bottomLeft" state="frozen"/>
      <selection activeCell="B1" sqref="B1"/>
      <selection pane="bottomLeft" activeCell="E13" sqref="E13"/>
    </sheetView>
  </sheetViews>
  <sheetFormatPr defaultRowHeight="12.75"/>
  <cols>
    <col min="1" max="1" width="6.125" style="114" customWidth="1"/>
    <col min="2" max="2" width="29.625" style="115" customWidth="1"/>
    <col min="3" max="3" width="56.625" style="115" customWidth="1"/>
    <col min="4" max="4" width="10.625" style="115" bestFit="1" customWidth="1"/>
    <col min="5" max="5" width="10" style="115" bestFit="1" customWidth="1"/>
    <col min="6" max="6" width="10.125" style="115" bestFit="1" customWidth="1"/>
    <col min="7" max="7" width="9.5" style="115" bestFit="1" customWidth="1"/>
    <col min="8" max="8" width="21.125" style="115" customWidth="1"/>
    <col min="9" max="9" width="16.5" style="115" bestFit="1" customWidth="1"/>
    <col min="10" max="10" width="10.125" style="114" customWidth="1"/>
    <col min="11" max="11" width="7.625" style="114" bestFit="1" customWidth="1"/>
    <col min="12" max="16384" width="9" style="114"/>
  </cols>
  <sheetData>
    <row r="1" spans="1:11" s="122" customFormat="1" ht="50.25" customHeight="1" thickBot="1">
      <c r="A1" s="120" t="s">
        <v>2103</v>
      </c>
      <c r="B1" s="120" t="s">
        <v>2104</v>
      </c>
      <c r="C1" s="120" t="s">
        <v>2105</v>
      </c>
      <c r="D1" s="120" t="s">
        <v>2106</v>
      </c>
      <c r="E1" s="120" t="s">
        <v>2107</v>
      </c>
      <c r="F1" s="120" t="s">
        <v>2140</v>
      </c>
      <c r="G1" s="120" t="s">
        <v>2108</v>
      </c>
      <c r="H1" s="121" t="s">
        <v>2150</v>
      </c>
      <c r="I1" s="121" t="s">
        <v>2151</v>
      </c>
      <c r="J1" s="120" t="s">
        <v>2109</v>
      </c>
      <c r="K1" s="120" t="s">
        <v>2110</v>
      </c>
    </row>
    <row r="2" spans="1:11" ht="13.5" thickBot="1">
      <c r="A2" s="125">
        <v>1</v>
      </c>
      <c r="B2" s="129"/>
      <c r="C2" s="129"/>
      <c r="D2" s="125"/>
      <c r="E2" s="125"/>
      <c r="F2" s="125"/>
      <c r="G2" s="126"/>
      <c r="H2" s="113" t="e">
        <f>VLOOKUP(B:B,'Nets not required'!B:C,2,0)</f>
        <v>#N/A</v>
      </c>
      <c r="I2" s="113" t="e">
        <f>VLOOKUP(B:B,'Nets not required'!E:F,2,0)</f>
        <v>#N/A</v>
      </c>
      <c r="J2" s="82" t="e">
        <f>VLOOKUP(B:B,'Nets not required'!H:I,2,0)</f>
        <v>#N/A</v>
      </c>
      <c r="K2" s="82" t="str">
        <f t="shared" ref="K2:K25" si="0">MID(B2,1,4)</f>
        <v/>
      </c>
    </row>
    <row r="3" spans="1:11" ht="13.5" thickBot="1">
      <c r="A3" s="127">
        <v>2</v>
      </c>
      <c r="B3" s="140"/>
      <c r="C3" s="140"/>
      <c r="D3" s="139"/>
      <c r="E3" s="139"/>
      <c r="F3" s="139"/>
      <c r="G3" s="139"/>
      <c r="H3" s="113" t="e">
        <f>VLOOKUP(B:B,'Nets not required'!B:C,2,0)</f>
        <v>#N/A</v>
      </c>
      <c r="I3" s="113" t="e">
        <f>VLOOKUP(B:B,'Nets not required'!E:F,2,0)</f>
        <v>#N/A</v>
      </c>
      <c r="J3" s="82" t="e">
        <f>VLOOKUP(B:B,'Nets not required'!H:I,2,0)</f>
        <v>#N/A</v>
      </c>
      <c r="K3" s="82" t="str">
        <f t="shared" si="0"/>
        <v/>
      </c>
    </row>
    <row r="4" spans="1:11" ht="13.5" thickBot="1">
      <c r="A4" s="127">
        <v>3</v>
      </c>
      <c r="B4" s="129"/>
      <c r="C4" s="129"/>
      <c r="D4" s="127"/>
      <c r="E4" s="127"/>
      <c r="F4" s="127"/>
      <c r="G4" s="127"/>
      <c r="H4" s="113" t="e">
        <f>VLOOKUP(B:B,'Nets not required'!B:C,2,0)</f>
        <v>#N/A</v>
      </c>
      <c r="I4" s="113" t="e">
        <f>VLOOKUP(B:B,'Nets not required'!E:F,2,0)</f>
        <v>#N/A</v>
      </c>
      <c r="J4" s="82" t="e">
        <f>VLOOKUP(B:B,'Nets not required'!H:I,2,0)</f>
        <v>#N/A</v>
      </c>
      <c r="K4" s="82" t="str">
        <f t="shared" si="0"/>
        <v/>
      </c>
    </row>
    <row r="5" spans="1:11" ht="13.5" thickBot="1">
      <c r="A5" s="127">
        <v>4</v>
      </c>
      <c r="B5" s="140"/>
      <c r="C5" s="140"/>
      <c r="D5" s="139"/>
      <c r="E5" s="139"/>
      <c r="F5" s="139"/>
      <c r="G5" s="139"/>
      <c r="H5" s="113" t="e">
        <f>VLOOKUP(B:B,'Nets not required'!B:C,2,0)</f>
        <v>#N/A</v>
      </c>
      <c r="I5" s="113" t="e">
        <f>VLOOKUP(B:B,'Nets not required'!E:F,2,0)</f>
        <v>#N/A</v>
      </c>
      <c r="J5" s="82" t="e">
        <f>VLOOKUP(B:B,'Nets not required'!H:I,2,0)</f>
        <v>#N/A</v>
      </c>
      <c r="K5" s="82" t="str">
        <f t="shared" si="0"/>
        <v/>
      </c>
    </row>
    <row r="6" spans="1:11" ht="13.5" thickBot="1">
      <c r="A6" s="127">
        <v>5</v>
      </c>
      <c r="B6" s="129"/>
      <c r="C6" s="129"/>
      <c r="D6" s="127"/>
      <c r="E6" s="127"/>
      <c r="F6" s="127"/>
      <c r="G6" s="127"/>
      <c r="H6" s="113" t="e">
        <f>VLOOKUP(B:B,'Nets not required'!B:C,2,0)</f>
        <v>#N/A</v>
      </c>
      <c r="I6" s="113" t="e">
        <f>VLOOKUP(B:B,'Nets not required'!E:F,2,0)</f>
        <v>#N/A</v>
      </c>
      <c r="J6" s="82" t="e">
        <f>VLOOKUP(B:B,'Nets not required'!H:I,2,0)</f>
        <v>#N/A</v>
      </c>
      <c r="K6" s="82" t="str">
        <f t="shared" si="0"/>
        <v/>
      </c>
    </row>
    <row r="7" spans="1:11" ht="13.5" thickBot="1">
      <c r="A7" s="127">
        <v>6</v>
      </c>
      <c r="B7" s="140"/>
      <c r="C7" s="140"/>
      <c r="D7" s="139"/>
      <c r="E7" s="139"/>
      <c r="F7" s="139"/>
      <c r="G7" s="139"/>
      <c r="H7" s="113" t="e">
        <f>VLOOKUP(B:B,'Nets not required'!B:C,2,0)</f>
        <v>#N/A</v>
      </c>
      <c r="I7" s="113" t="e">
        <f>VLOOKUP(B:B,'Nets not required'!E:F,2,0)</f>
        <v>#N/A</v>
      </c>
      <c r="J7" s="82" t="e">
        <f>VLOOKUP(B:B,'Nets not required'!H:I,2,0)</f>
        <v>#N/A</v>
      </c>
      <c r="K7" s="82" t="str">
        <f t="shared" si="0"/>
        <v/>
      </c>
    </row>
    <row r="8" spans="1:11" ht="13.5" thickBot="1">
      <c r="A8" s="127">
        <v>7</v>
      </c>
      <c r="B8" s="129"/>
      <c r="C8" s="129"/>
      <c r="D8" s="127"/>
      <c r="E8" s="127"/>
      <c r="F8" s="127"/>
      <c r="G8" s="127"/>
      <c r="H8" s="113" t="e">
        <f>VLOOKUP(B:B,'Nets not required'!B:C,2,0)</f>
        <v>#N/A</v>
      </c>
      <c r="I8" s="113" t="e">
        <f>VLOOKUP(B:B,'Nets not required'!E:F,2,0)</f>
        <v>#N/A</v>
      </c>
      <c r="J8" s="82" t="e">
        <f>VLOOKUP(B:B,'Nets not required'!H:I,2,0)</f>
        <v>#N/A</v>
      </c>
      <c r="K8" s="82" t="str">
        <f t="shared" si="0"/>
        <v/>
      </c>
    </row>
    <row r="9" spans="1:11" ht="13.5" thickBot="1">
      <c r="A9" s="127">
        <v>8</v>
      </c>
      <c r="B9" s="140"/>
      <c r="C9" s="140"/>
      <c r="D9" s="139"/>
      <c r="E9" s="139"/>
      <c r="F9" s="139"/>
      <c r="G9" s="139"/>
      <c r="H9" s="113" t="e">
        <f>VLOOKUP(B:B,'Nets not required'!B:C,2,0)</f>
        <v>#N/A</v>
      </c>
      <c r="I9" s="113" t="e">
        <f>VLOOKUP(B:B,'Nets not required'!E:F,2,0)</f>
        <v>#N/A</v>
      </c>
      <c r="J9" s="82" t="e">
        <f>VLOOKUP(B:B,'Nets not required'!H:I,2,0)</f>
        <v>#N/A</v>
      </c>
      <c r="K9" s="82" t="str">
        <f t="shared" si="0"/>
        <v/>
      </c>
    </row>
    <row r="10" spans="1:11" ht="13.5" thickBot="1">
      <c r="A10" s="127">
        <v>9</v>
      </c>
      <c r="B10" s="129"/>
      <c r="C10" s="129"/>
      <c r="D10" s="127"/>
      <c r="E10" s="127"/>
      <c r="F10" s="127"/>
      <c r="G10" s="127"/>
      <c r="H10" s="113" t="e">
        <f>VLOOKUP(B:B,'Nets not required'!B:C,2,0)</f>
        <v>#N/A</v>
      </c>
      <c r="I10" s="113" t="e">
        <f>VLOOKUP(B:B,'Nets not required'!E:F,2,0)</f>
        <v>#N/A</v>
      </c>
      <c r="J10" s="82" t="e">
        <f>VLOOKUP(B:B,'Nets not required'!H:I,2,0)</f>
        <v>#N/A</v>
      </c>
      <c r="K10" s="82" t="str">
        <f t="shared" si="0"/>
        <v/>
      </c>
    </row>
    <row r="11" spans="1:11" ht="13.5" thickBot="1">
      <c r="A11" s="127">
        <v>10</v>
      </c>
      <c r="B11" s="140"/>
      <c r="C11" s="140"/>
      <c r="D11" s="139"/>
      <c r="E11" s="139"/>
      <c r="F11" s="139"/>
      <c r="G11" s="139"/>
      <c r="H11" s="113" t="e">
        <f>VLOOKUP(B:B,'Nets not required'!B:C,2,0)</f>
        <v>#N/A</v>
      </c>
      <c r="I11" s="113" t="e">
        <f>VLOOKUP(B:B,'Nets not required'!E:F,2,0)</f>
        <v>#N/A</v>
      </c>
      <c r="J11" s="82" t="e">
        <f>VLOOKUP(B:B,'Nets not required'!H:I,2,0)</f>
        <v>#N/A</v>
      </c>
      <c r="K11" s="82" t="str">
        <f t="shared" si="0"/>
        <v/>
      </c>
    </row>
    <row r="12" spans="1:11" ht="13.5" thickBot="1">
      <c r="A12" s="127">
        <v>11</v>
      </c>
      <c r="B12" s="129"/>
      <c r="C12" s="129"/>
      <c r="D12" s="127"/>
      <c r="E12" s="127"/>
      <c r="F12" s="127"/>
      <c r="G12" s="127"/>
      <c r="H12" s="113" t="e">
        <f>VLOOKUP(B:B,'Nets not required'!B:C,2,0)</f>
        <v>#N/A</v>
      </c>
      <c r="I12" s="113" t="e">
        <f>VLOOKUP(B:B,'Nets not required'!E:F,2,0)</f>
        <v>#N/A</v>
      </c>
      <c r="J12" s="82" t="e">
        <f>VLOOKUP(B:B,'Nets not required'!H:I,2,0)</f>
        <v>#N/A</v>
      </c>
      <c r="K12" s="82" t="str">
        <f t="shared" si="0"/>
        <v/>
      </c>
    </row>
    <row r="13" spans="1:11" ht="13.5" thickBot="1">
      <c r="A13" s="127">
        <v>12</v>
      </c>
      <c r="B13" s="140"/>
      <c r="C13" s="140"/>
      <c r="D13" s="139"/>
      <c r="E13" s="139"/>
      <c r="F13" s="139"/>
      <c r="G13" s="139"/>
      <c r="H13" s="113" t="e">
        <f>VLOOKUP(B:B,'Nets not required'!B:C,2,0)</f>
        <v>#N/A</v>
      </c>
      <c r="I13" s="113" t="e">
        <f>VLOOKUP(B:B,'Nets not required'!E:F,2,0)</f>
        <v>#N/A</v>
      </c>
      <c r="J13" s="82" t="e">
        <f>VLOOKUP(B:B,'Nets not required'!H:I,2,0)</f>
        <v>#N/A</v>
      </c>
      <c r="K13" s="82" t="str">
        <f t="shared" si="0"/>
        <v/>
      </c>
    </row>
    <row r="14" spans="1:11" ht="13.5" thickBot="1">
      <c r="A14" s="127">
        <v>13</v>
      </c>
      <c r="B14" s="129"/>
      <c r="C14" s="129"/>
      <c r="D14" s="127"/>
      <c r="E14" s="127"/>
      <c r="F14" s="127"/>
      <c r="G14" s="127"/>
      <c r="H14" s="113" t="e">
        <f>VLOOKUP(B:B,'Nets not required'!B:C,2,0)</f>
        <v>#N/A</v>
      </c>
      <c r="I14" s="113" t="e">
        <f>VLOOKUP(B:B,'Nets not required'!E:F,2,0)</f>
        <v>#N/A</v>
      </c>
      <c r="J14" s="82" t="e">
        <f>VLOOKUP(B:B,'Nets not required'!H:I,2,0)</f>
        <v>#N/A</v>
      </c>
      <c r="K14" s="82" t="str">
        <f t="shared" si="0"/>
        <v/>
      </c>
    </row>
    <row r="15" spans="1:11" ht="13.5" thickBot="1">
      <c r="A15" s="127">
        <v>14</v>
      </c>
      <c r="B15" s="140"/>
      <c r="C15" s="140"/>
      <c r="D15" s="139"/>
      <c r="E15" s="139"/>
      <c r="F15" s="139"/>
      <c r="G15" s="139"/>
      <c r="H15" s="113" t="e">
        <f>VLOOKUP(B:B,'Nets not required'!B:C,2,0)</f>
        <v>#N/A</v>
      </c>
      <c r="I15" s="113" t="e">
        <f>VLOOKUP(B:B,'Nets not required'!E:F,2,0)</f>
        <v>#N/A</v>
      </c>
      <c r="J15" s="82" t="e">
        <f>VLOOKUP(B:B,'Nets not required'!H:I,2,0)</f>
        <v>#N/A</v>
      </c>
      <c r="K15" s="82" t="str">
        <f t="shared" si="0"/>
        <v/>
      </c>
    </row>
    <row r="16" spans="1:11" ht="13.5" thickBot="1">
      <c r="A16" s="127">
        <v>15</v>
      </c>
      <c r="B16" s="129"/>
      <c r="C16" s="129"/>
      <c r="D16" s="127"/>
      <c r="E16" s="127"/>
      <c r="F16" s="127"/>
      <c r="G16" s="127"/>
      <c r="H16" s="113" t="e">
        <f>VLOOKUP(B:B,'Nets not required'!B:C,2,0)</f>
        <v>#N/A</v>
      </c>
      <c r="I16" s="113" t="e">
        <f>VLOOKUP(B:B,'Nets not required'!E:F,2,0)</f>
        <v>#N/A</v>
      </c>
      <c r="J16" s="82" t="e">
        <f>VLOOKUP(B:B,'Nets not required'!H:I,2,0)</f>
        <v>#N/A</v>
      </c>
      <c r="K16" s="82" t="str">
        <f t="shared" si="0"/>
        <v/>
      </c>
    </row>
    <row r="17" spans="1:11" ht="13.5" thickBot="1">
      <c r="A17" s="127">
        <v>16</v>
      </c>
      <c r="B17" s="140"/>
      <c r="C17" s="140"/>
      <c r="D17" s="139"/>
      <c r="E17" s="139"/>
      <c r="F17" s="139"/>
      <c r="G17" s="139"/>
      <c r="H17" s="113" t="e">
        <f>VLOOKUP(B:B,'Nets not required'!B:C,2,0)</f>
        <v>#N/A</v>
      </c>
      <c r="I17" s="113" t="e">
        <f>VLOOKUP(B:B,'Nets not required'!E:F,2,0)</f>
        <v>#N/A</v>
      </c>
      <c r="J17" s="82" t="e">
        <f>VLOOKUP(B:B,'Nets not required'!H:I,2,0)</f>
        <v>#N/A</v>
      </c>
      <c r="K17" s="82" t="str">
        <f t="shared" si="0"/>
        <v/>
      </c>
    </row>
    <row r="18" spans="1:11" ht="13.5" thickBot="1">
      <c r="A18" s="127">
        <v>18</v>
      </c>
      <c r="B18" s="140"/>
      <c r="C18" s="140"/>
      <c r="D18" s="139"/>
      <c r="E18" s="139"/>
      <c r="F18" s="139"/>
      <c r="G18" s="139"/>
      <c r="H18" s="113" t="e">
        <f>VLOOKUP(B:B,'Nets not required'!B:C,2,0)</f>
        <v>#N/A</v>
      </c>
      <c r="I18" s="113" t="e">
        <f>VLOOKUP(B:B,'Nets not required'!E:F,2,0)</f>
        <v>#N/A</v>
      </c>
      <c r="J18" s="82" t="e">
        <f>VLOOKUP(B:B,'Nets not required'!H:I,2,0)</f>
        <v>#N/A</v>
      </c>
      <c r="K18" s="82" t="str">
        <f t="shared" si="0"/>
        <v/>
      </c>
    </row>
    <row r="19" spans="1:11" ht="13.5" thickBot="1">
      <c r="A19" s="127">
        <v>20</v>
      </c>
      <c r="B19" s="140"/>
      <c r="C19" s="140"/>
      <c r="D19" s="139"/>
      <c r="E19" s="139"/>
      <c r="F19" s="139"/>
      <c r="G19" s="139"/>
      <c r="H19" s="113" t="e">
        <f>VLOOKUP(B:B,'Nets not required'!B:C,2,0)</f>
        <v>#N/A</v>
      </c>
      <c r="I19" s="113" t="e">
        <f>VLOOKUP(B:B,'Nets not required'!E:F,2,0)</f>
        <v>#N/A</v>
      </c>
      <c r="J19" s="82" t="e">
        <f>VLOOKUP(B:B,'Nets not required'!H:I,2,0)</f>
        <v>#N/A</v>
      </c>
      <c r="K19" s="82" t="str">
        <f t="shared" si="0"/>
        <v/>
      </c>
    </row>
    <row r="20" spans="1:11" ht="13.5" thickBot="1">
      <c r="A20" s="127">
        <v>21</v>
      </c>
      <c r="B20" s="129"/>
      <c r="C20" s="129"/>
      <c r="D20" s="127"/>
      <c r="E20" s="127"/>
      <c r="F20" s="127"/>
      <c r="G20" s="127"/>
      <c r="H20" s="113" t="e">
        <f>VLOOKUP(B:B,'Nets not required'!B:C,2,0)</f>
        <v>#N/A</v>
      </c>
      <c r="I20" s="113" t="e">
        <f>VLOOKUP(B:B,'Nets not required'!E:F,2,0)</f>
        <v>#N/A</v>
      </c>
      <c r="J20" s="82" t="e">
        <f>VLOOKUP(B:B,'Nets not required'!H:I,2,0)</f>
        <v>#N/A</v>
      </c>
      <c r="K20" s="82" t="str">
        <f t="shared" si="0"/>
        <v/>
      </c>
    </row>
    <row r="21" spans="1:11" ht="13.5" thickBot="1">
      <c r="A21" s="127">
        <v>22</v>
      </c>
      <c r="B21" s="140"/>
      <c r="C21" s="140"/>
      <c r="D21" s="139"/>
      <c r="E21" s="139"/>
      <c r="F21" s="139"/>
      <c r="G21" s="139"/>
      <c r="H21" s="113" t="e">
        <f>VLOOKUP(B:B,'Nets not required'!B:C,2,0)</f>
        <v>#N/A</v>
      </c>
      <c r="I21" s="113" t="e">
        <f>VLOOKUP(B:B,'Nets not required'!E:F,2,0)</f>
        <v>#N/A</v>
      </c>
      <c r="J21" s="82" t="e">
        <f>VLOOKUP(B:B,'Nets not required'!H:I,2,0)</f>
        <v>#N/A</v>
      </c>
      <c r="K21" s="82" t="str">
        <f t="shared" si="0"/>
        <v/>
      </c>
    </row>
    <row r="22" spans="1:11" ht="13.5" thickBot="1">
      <c r="A22" s="127">
        <v>23</v>
      </c>
      <c r="B22" s="129"/>
      <c r="C22" s="129"/>
      <c r="D22" s="127"/>
      <c r="E22" s="127"/>
      <c r="F22" s="127"/>
      <c r="G22" s="127"/>
      <c r="H22" s="113" t="e">
        <f>VLOOKUP(B:B,'Nets not required'!B:C,2,0)</f>
        <v>#N/A</v>
      </c>
      <c r="I22" s="113" t="e">
        <f>VLOOKUP(B:B,'Nets not required'!E:F,2,0)</f>
        <v>#N/A</v>
      </c>
      <c r="J22" s="82" t="e">
        <f>VLOOKUP(B:B,'Nets not required'!H:I,2,0)</f>
        <v>#N/A</v>
      </c>
      <c r="K22" s="82" t="str">
        <f t="shared" si="0"/>
        <v/>
      </c>
    </row>
    <row r="23" spans="1:11" ht="13.5" thickBot="1">
      <c r="A23" s="127">
        <v>24</v>
      </c>
      <c r="B23" s="140"/>
      <c r="C23" s="140"/>
      <c r="D23" s="139"/>
      <c r="E23" s="139"/>
      <c r="F23" s="139"/>
      <c r="G23" s="139"/>
      <c r="H23" s="113" t="e">
        <f>VLOOKUP(B:B,'Nets not required'!B:C,2,0)</f>
        <v>#N/A</v>
      </c>
      <c r="I23" s="113" t="e">
        <f>VLOOKUP(B:B,'Nets not required'!E:F,2,0)</f>
        <v>#N/A</v>
      </c>
      <c r="J23" s="82" t="e">
        <f>VLOOKUP(B:B,'Nets not required'!H:I,2,0)</f>
        <v>#N/A</v>
      </c>
      <c r="K23" s="82" t="str">
        <f t="shared" si="0"/>
        <v/>
      </c>
    </row>
    <row r="24" spans="1:11" ht="13.5" thickBot="1">
      <c r="A24" s="127">
        <v>25</v>
      </c>
      <c r="B24" s="140"/>
      <c r="C24" s="140"/>
      <c r="D24" s="139"/>
      <c r="E24" s="139"/>
      <c r="F24" s="139"/>
      <c r="G24" s="139"/>
      <c r="H24" s="113" t="e">
        <f>VLOOKUP(B:B,'Nets not required'!B:C,2,0)</f>
        <v>#N/A</v>
      </c>
      <c r="I24" s="113" t="e">
        <f>VLOOKUP(B:B,'Nets not required'!E:F,2,0)</f>
        <v>#N/A</v>
      </c>
      <c r="J24" s="82" t="e">
        <f>VLOOKUP(B:B,'Nets not required'!H:I,2,0)</f>
        <v>#N/A</v>
      </c>
      <c r="K24" s="82" t="str">
        <f t="shared" si="0"/>
        <v/>
      </c>
    </row>
    <row r="25" spans="1:11" ht="13.5" thickBot="1">
      <c r="A25" s="127">
        <v>26</v>
      </c>
      <c r="B25" s="144"/>
      <c r="C25" s="144"/>
      <c r="D25" s="141"/>
      <c r="E25" s="141"/>
      <c r="F25" s="141"/>
      <c r="G25" s="141"/>
      <c r="H25" s="143" t="e">
        <f>VLOOKUP(B:B,'Nets not required'!B:C,2,0)</f>
        <v>#N/A</v>
      </c>
      <c r="I25" s="113" t="e">
        <f>VLOOKUP(B:B,'Nets not required'!E:F,2,0)</f>
        <v>#N/A</v>
      </c>
      <c r="J25" s="82" t="e">
        <f>VLOOKUP(B:B,'Nets not required'!H:I,2,0)</f>
        <v>#N/A</v>
      </c>
      <c r="K25" s="82" t="str">
        <f t="shared" si="0"/>
        <v/>
      </c>
    </row>
    <row r="26" spans="1:11" ht="16.5">
      <c r="A26"/>
      <c r="B26"/>
      <c r="C26"/>
      <c r="D26"/>
      <c r="E26"/>
      <c r="F26"/>
      <c r="G26"/>
      <c r="H26"/>
      <c r="I26"/>
      <c r="J26"/>
      <c r="K26"/>
    </row>
    <row r="27" spans="1:11" ht="16.5">
      <c r="A27"/>
      <c r="B27"/>
      <c r="C27"/>
      <c r="D27"/>
      <c r="E27"/>
      <c r="F27"/>
      <c r="G27"/>
      <c r="H27"/>
      <c r="I27"/>
      <c r="J27"/>
      <c r="K27"/>
    </row>
    <row r="28" spans="1:11" ht="16.5">
      <c r="A28"/>
      <c r="B28"/>
      <c r="C28"/>
      <c r="D28"/>
      <c r="E28"/>
      <c r="F28"/>
      <c r="G28"/>
      <c r="H28"/>
      <c r="I28"/>
      <c r="J28"/>
      <c r="K28"/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</sheetData>
  <sheetProtection sort="0" autoFilter="0" pivotTables="0"/>
  <autoFilter ref="A1:K25" xr:uid="{00000000-0001-0000-0400-000000000000}"/>
  <customSheetViews>
    <customSheetView guid="{5693F48F-8FCA-4CC0-9286-11E7497B1810}" showGridLines="0" filter="1" showAutoFilter="1" topLeftCell="B1">
      <selection activeCell="H1" sqref="H1:H65536"/>
      <pageMargins left="0.75" right="0.75" top="1" bottom="1" header="0.5" footer="0.5"/>
      <pageSetup paperSize="9" orientation="landscape" r:id="rId1"/>
      <headerFooter alignWithMargins="0"/>
      <autoFilter ref="B1:AE1" xr:uid="{02C57C53-6914-47A0-A6AA-DC2601D32372}">
        <filterColumn colId="3">
          <filters>
            <filter val="T"/>
          </filters>
        </filterColumn>
        <filterColumn colId="5">
          <filters>
            <filter val="3"/>
          </filters>
        </filterColumn>
        <filterColumn colId="6">
          <filters>
            <filter val="Pad"/>
          </filters>
        </filterColumn>
      </autoFilter>
    </customSheetView>
  </customSheetViews>
  <phoneticPr fontId="3" type="noConversion"/>
  <pageMargins left="0.75" right="0.75" top="1" bottom="1" header="0.5" footer="0.5"/>
  <pageSetup paperSize="9" orientation="landscape" r:id="rId2"/>
  <headerFooter alignWithMargins="0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/>
  <dimension ref="A1:L7"/>
  <sheetViews>
    <sheetView workbookViewId="0">
      <pane ySplit="1" topLeftCell="A2" activePane="bottomLeft" state="frozen"/>
      <selection pane="bottomLeft" activeCell="K13" sqref="K13"/>
    </sheetView>
  </sheetViews>
  <sheetFormatPr defaultRowHeight="12.75"/>
  <cols>
    <col min="1" max="1" width="6.5" style="100" bestFit="1" customWidth="1"/>
    <col min="2" max="2" width="24.375" style="96" customWidth="1"/>
    <col min="3" max="3" width="12.5" style="96" customWidth="1"/>
    <col min="4" max="4" width="4.125" style="100" customWidth="1"/>
    <col min="5" max="5" width="36.625" style="100" customWidth="1"/>
    <col min="6" max="6" width="7.625" style="96" customWidth="1"/>
    <col min="7" max="7" width="5" style="100" bestFit="1" customWidth="1"/>
    <col min="8" max="8" width="34" style="101" customWidth="1"/>
    <col min="9" max="9" width="7" style="97" customWidth="1"/>
    <col min="10" max="10" width="5" style="100" customWidth="1"/>
    <col min="11" max="11" width="22.75" style="101" bestFit="1" customWidth="1"/>
    <col min="12" max="12" width="9" style="97"/>
    <col min="13" max="16384" width="9" style="99"/>
  </cols>
  <sheetData>
    <row r="1" spans="1:12" ht="25.5">
      <c r="A1" s="135" t="s">
        <v>2103</v>
      </c>
      <c r="B1" s="136" t="s">
        <v>2152</v>
      </c>
      <c r="C1" s="95"/>
      <c r="D1" s="93" t="s">
        <v>2103</v>
      </c>
      <c r="E1" s="116" t="s">
        <v>2167</v>
      </c>
      <c r="G1" s="93" t="s">
        <v>2103</v>
      </c>
      <c r="H1" s="94" t="s">
        <v>2168</v>
      </c>
      <c r="J1" s="93" t="s">
        <v>6</v>
      </c>
      <c r="K1" s="98" t="s">
        <v>2153</v>
      </c>
    </row>
    <row r="2" spans="1:12" ht="16.5">
      <c r="A2" s="134">
        <v>1</v>
      </c>
      <c r="B2" s="132"/>
      <c r="C2" s="133"/>
      <c r="D2" s="83">
        <v>1</v>
      </c>
      <c r="E2" s="83"/>
      <c r="F2" s="95"/>
      <c r="G2" s="82">
        <v>1</v>
      </c>
      <c r="H2" s="100"/>
      <c r="I2"/>
      <c r="J2" s="82">
        <v>1</v>
      </c>
      <c r="K2" s="83"/>
      <c r="L2" s="95"/>
    </row>
    <row r="3" spans="1:12" ht="16.5">
      <c r="A3" s="134">
        <v>2</v>
      </c>
      <c r="B3" s="132"/>
      <c r="C3" s="133"/>
      <c r="D3" s="83">
        <v>2</v>
      </c>
      <c r="E3" s="83"/>
      <c r="F3" s="95"/>
      <c r="G3" s="82">
        <v>2</v>
      </c>
      <c r="H3" s="100"/>
      <c r="I3"/>
      <c r="J3" s="82">
        <v>2</v>
      </c>
      <c r="K3" s="123"/>
      <c r="L3" s="95"/>
    </row>
    <row r="4" spans="1:12">
      <c r="J4" s="82">
        <v>3</v>
      </c>
      <c r="L4" s="95"/>
    </row>
    <row r="5" spans="1:12">
      <c r="J5" s="82">
        <v>4</v>
      </c>
      <c r="L5" s="95"/>
    </row>
    <row r="6" spans="1:12">
      <c r="J6" s="82">
        <v>5</v>
      </c>
      <c r="L6" s="95"/>
    </row>
    <row r="7" spans="1:12">
      <c r="J7" s="82">
        <v>6</v>
      </c>
      <c r="L7" s="95"/>
    </row>
  </sheetData>
  <customSheetViews>
    <customSheetView guid="{5693F48F-8FCA-4CC0-9286-11E7497B1810}">
      <selection activeCell="E1" sqref="E1"/>
      <pageMargins left="0.7" right="0.7" top="0.75" bottom="0.75" header="0.3" footer="0.3"/>
    </customSheetView>
  </customSheetViews>
  <phoneticPr fontId="3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/>
  <dimension ref="B1:M804"/>
  <sheetViews>
    <sheetView showGridLines="0" zoomScaleNormal="100" workbookViewId="0">
      <pane ySplit="1" topLeftCell="A2" activePane="bottomLeft" state="frozen"/>
      <selection pane="bottomLeft" activeCell="D9" sqref="D9"/>
    </sheetView>
  </sheetViews>
  <sheetFormatPr defaultRowHeight="12"/>
  <cols>
    <col min="1" max="1" width="4.625" style="88" customWidth="1"/>
    <col min="2" max="2" width="5" style="89" bestFit="1" customWidth="1"/>
    <col min="3" max="3" width="30.5" style="90" customWidth="1"/>
    <col min="4" max="4" width="24.75" style="88" customWidth="1"/>
    <col min="5" max="5" width="24.875" style="91" bestFit="1" customWidth="1"/>
    <col min="6" max="6" width="16.375" style="92" bestFit="1" customWidth="1"/>
    <col min="7" max="7" width="16.75" style="88" customWidth="1"/>
    <col min="8" max="16384" width="9" style="88"/>
  </cols>
  <sheetData>
    <row r="1" spans="2:13" s="81" customFormat="1" ht="31.5" customHeight="1" thickBot="1">
      <c r="B1" s="93" t="s">
        <v>2112</v>
      </c>
      <c r="C1" s="112" t="s">
        <v>7</v>
      </c>
      <c r="D1" s="80" t="s">
        <v>8</v>
      </c>
      <c r="E1" s="116" t="s">
        <v>2152</v>
      </c>
      <c r="F1" s="116" t="s">
        <v>2155</v>
      </c>
      <c r="G1" s="80" t="s">
        <v>2156</v>
      </c>
      <c r="H1" s="93" t="s">
        <v>2111</v>
      </c>
    </row>
    <row r="2" spans="2:13" ht="12.75" thickBot="1">
      <c r="B2" s="82">
        <v>1</v>
      </c>
      <c r="C2" s="128"/>
      <c r="D2" s="128"/>
      <c r="E2" s="85" t="e">
        <f>VLOOKUP(C:C,'Nets not required'!B:C,2,0)</f>
        <v>#N/A</v>
      </c>
      <c r="F2" s="85" t="e">
        <f>VLOOKUP(C:C,'Nets not required'!E:F,2,0)</f>
        <v>#N/A</v>
      </c>
      <c r="G2" s="86" t="e">
        <f>VLOOKUP(C:C,'Nets not required'!H:I,2,0)</f>
        <v>#N/A</v>
      </c>
      <c r="H2" s="84"/>
      <c r="I2" s="87"/>
      <c r="J2" s="87"/>
      <c r="K2" s="87"/>
      <c r="L2" s="87"/>
      <c r="M2" s="87"/>
    </row>
    <row r="3" spans="2:13">
      <c r="B3" s="82">
        <v>2</v>
      </c>
      <c r="C3" s="138"/>
      <c r="D3" s="138"/>
      <c r="E3" s="85" t="e">
        <f>VLOOKUP(C:C,'Nets not required'!B:C,2,0)</f>
        <v>#N/A</v>
      </c>
      <c r="F3" s="85" t="e">
        <f>VLOOKUP(C:C,'Nets not required'!E:F,2,0)</f>
        <v>#N/A</v>
      </c>
      <c r="G3" s="86" t="e">
        <f>VLOOKUP(C:C,'Nets not required'!H:I,2,0)</f>
        <v>#N/A</v>
      </c>
      <c r="H3" s="84"/>
    </row>
    <row r="5" spans="2:13" ht="16.5">
      <c r="C5"/>
    </row>
    <row r="6" spans="2:13" ht="16.5">
      <c r="C6"/>
    </row>
    <row r="7" spans="2:13" ht="16.5">
      <c r="C7"/>
    </row>
    <row r="8" spans="2:13" ht="16.5">
      <c r="C8"/>
    </row>
    <row r="9" spans="2:13" ht="16.5">
      <c r="C9"/>
    </row>
    <row r="10" spans="2:13" ht="16.5">
      <c r="C10"/>
    </row>
    <row r="11" spans="2:13" ht="16.5">
      <c r="C11"/>
    </row>
    <row r="12" spans="2:13" ht="16.5">
      <c r="C12"/>
    </row>
    <row r="13" spans="2:13" ht="16.5">
      <c r="C13"/>
    </row>
    <row r="14" spans="2:13" ht="16.5">
      <c r="C14"/>
    </row>
    <row r="15" spans="2:13" ht="16.5">
      <c r="C15"/>
    </row>
    <row r="16" spans="2:13" ht="16.5">
      <c r="C16"/>
    </row>
    <row r="17" spans="3:3" ht="16.5">
      <c r="C17"/>
    </row>
    <row r="18" spans="3:3" ht="16.5">
      <c r="C18"/>
    </row>
    <row r="19" spans="3:3" ht="16.5">
      <c r="C19"/>
    </row>
    <row r="20" spans="3:3" ht="16.5">
      <c r="C20"/>
    </row>
    <row r="21" spans="3:3" ht="16.5">
      <c r="C21"/>
    </row>
    <row r="22" spans="3:3" ht="16.5">
      <c r="C22"/>
    </row>
    <row r="23" spans="3:3" ht="16.5">
      <c r="C23"/>
    </row>
    <row r="24" spans="3:3" ht="16.5">
      <c r="C24"/>
    </row>
    <row r="25" spans="3:3" ht="16.5">
      <c r="C25"/>
    </row>
    <row r="26" spans="3:3" ht="16.5">
      <c r="C26"/>
    </row>
    <row r="27" spans="3:3" ht="16.5">
      <c r="C27"/>
    </row>
    <row r="28" spans="3:3" ht="16.5">
      <c r="C28"/>
    </row>
    <row r="29" spans="3:3" ht="16.5">
      <c r="C29"/>
    </row>
    <row r="30" spans="3:3" ht="16.5">
      <c r="C30"/>
    </row>
    <row r="31" spans="3:3" ht="16.5">
      <c r="C31"/>
    </row>
    <row r="32" spans="3:3" ht="16.5">
      <c r="C32"/>
    </row>
    <row r="33" spans="3:3" ht="16.5">
      <c r="C33"/>
    </row>
    <row r="34" spans="3:3" ht="16.5">
      <c r="C34"/>
    </row>
    <row r="35" spans="3:3" ht="16.5">
      <c r="C35"/>
    </row>
    <row r="36" spans="3:3" ht="16.5">
      <c r="C36"/>
    </row>
    <row r="37" spans="3:3" ht="16.5">
      <c r="C37"/>
    </row>
    <row r="38" spans="3:3" ht="16.5">
      <c r="C38"/>
    </row>
    <row r="39" spans="3:3" ht="16.5">
      <c r="C39"/>
    </row>
    <row r="40" spans="3:3" ht="16.5">
      <c r="C40"/>
    </row>
    <row r="41" spans="3:3" ht="16.5">
      <c r="C41"/>
    </row>
    <row r="42" spans="3:3" ht="16.5">
      <c r="C42"/>
    </row>
    <row r="43" spans="3:3" ht="16.5">
      <c r="C43"/>
    </row>
    <row r="44" spans="3:3" ht="16.5">
      <c r="C44"/>
    </row>
    <row r="45" spans="3:3" ht="16.5">
      <c r="C45"/>
    </row>
    <row r="46" spans="3:3" ht="16.5">
      <c r="C46"/>
    </row>
    <row r="47" spans="3:3" ht="16.5">
      <c r="C47"/>
    </row>
    <row r="48" spans="3:3" ht="16.5">
      <c r="C48"/>
    </row>
    <row r="49" spans="3:3" ht="16.5">
      <c r="C49"/>
    </row>
    <row r="50" spans="3:3" ht="16.5">
      <c r="C50"/>
    </row>
    <row r="51" spans="3:3" ht="16.5">
      <c r="C51"/>
    </row>
    <row r="52" spans="3:3" ht="16.5">
      <c r="C52"/>
    </row>
    <row r="53" spans="3:3" ht="16.5">
      <c r="C53"/>
    </row>
    <row r="54" spans="3:3" ht="16.5">
      <c r="C54"/>
    </row>
    <row r="55" spans="3:3" ht="16.5">
      <c r="C55"/>
    </row>
    <row r="56" spans="3:3" ht="16.5">
      <c r="C56"/>
    </row>
    <row r="57" spans="3:3" ht="16.5">
      <c r="C57"/>
    </row>
    <row r="58" spans="3:3" ht="16.5">
      <c r="C58"/>
    </row>
    <row r="59" spans="3:3" ht="16.5">
      <c r="C59"/>
    </row>
    <row r="60" spans="3:3" ht="16.5">
      <c r="C60"/>
    </row>
    <row r="61" spans="3:3" ht="16.5">
      <c r="C61"/>
    </row>
    <row r="62" spans="3:3" ht="16.5">
      <c r="C62"/>
    </row>
    <row r="63" spans="3:3" ht="16.5">
      <c r="C63"/>
    </row>
    <row r="64" spans="3:3" ht="16.5">
      <c r="C64"/>
    </row>
    <row r="65" spans="3:3" ht="16.5">
      <c r="C65"/>
    </row>
    <row r="66" spans="3:3" ht="16.5">
      <c r="C66"/>
    </row>
    <row r="67" spans="3:3" ht="16.5">
      <c r="C67"/>
    </row>
    <row r="68" spans="3:3" ht="16.5">
      <c r="C68"/>
    </row>
    <row r="69" spans="3:3" ht="16.5">
      <c r="C69"/>
    </row>
    <row r="70" spans="3:3" ht="16.5">
      <c r="C70"/>
    </row>
    <row r="71" spans="3:3" ht="16.5">
      <c r="C71"/>
    </row>
    <row r="72" spans="3:3" ht="16.5">
      <c r="C72"/>
    </row>
    <row r="73" spans="3:3" ht="16.5">
      <c r="C73"/>
    </row>
    <row r="74" spans="3:3" ht="16.5">
      <c r="C74"/>
    </row>
    <row r="75" spans="3:3" ht="16.5">
      <c r="C75"/>
    </row>
    <row r="76" spans="3:3" ht="16.5">
      <c r="C76"/>
    </row>
    <row r="77" spans="3:3" ht="16.5">
      <c r="C77"/>
    </row>
    <row r="78" spans="3:3" ht="16.5">
      <c r="C78"/>
    </row>
    <row r="79" spans="3:3" ht="16.5">
      <c r="C79"/>
    </row>
    <row r="80" spans="3:3" ht="16.5">
      <c r="C80"/>
    </row>
    <row r="81" spans="3:3" ht="16.5">
      <c r="C81"/>
    </row>
    <row r="82" spans="3:3" ht="16.5">
      <c r="C82"/>
    </row>
    <row r="83" spans="3:3" ht="16.5">
      <c r="C83"/>
    </row>
    <row r="84" spans="3:3" ht="16.5">
      <c r="C84"/>
    </row>
    <row r="85" spans="3:3" ht="16.5">
      <c r="C85"/>
    </row>
    <row r="86" spans="3:3" ht="16.5">
      <c r="C86"/>
    </row>
    <row r="87" spans="3:3" ht="16.5">
      <c r="C87"/>
    </row>
    <row r="88" spans="3:3" ht="16.5">
      <c r="C88"/>
    </row>
    <row r="89" spans="3:3" ht="16.5">
      <c r="C89"/>
    </row>
    <row r="90" spans="3:3" ht="16.5">
      <c r="C90"/>
    </row>
    <row r="91" spans="3:3" ht="16.5">
      <c r="C91"/>
    </row>
    <row r="92" spans="3:3" ht="16.5">
      <c r="C92"/>
    </row>
    <row r="93" spans="3:3" ht="16.5">
      <c r="C93"/>
    </row>
    <row r="94" spans="3:3" ht="16.5">
      <c r="C94"/>
    </row>
    <row r="95" spans="3:3" ht="16.5">
      <c r="C95"/>
    </row>
    <row r="96" spans="3:3" ht="16.5">
      <c r="C96"/>
    </row>
    <row r="97" spans="3:3" ht="16.5">
      <c r="C97"/>
    </row>
    <row r="98" spans="3:3" ht="16.5">
      <c r="C98"/>
    </row>
    <row r="99" spans="3:3" ht="16.5">
      <c r="C99"/>
    </row>
    <row r="100" spans="3:3" ht="16.5">
      <c r="C100"/>
    </row>
    <row r="101" spans="3:3" ht="16.5">
      <c r="C101"/>
    </row>
    <row r="102" spans="3:3" ht="16.5">
      <c r="C102"/>
    </row>
    <row r="103" spans="3:3" ht="16.5">
      <c r="C103"/>
    </row>
    <row r="104" spans="3:3" ht="16.5">
      <c r="C104"/>
    </row>
    <row r="105" spans="3:3" ht="16.5">
      <c r="C105"/>
    </row>
    <row r="106" spans="3:3" ht="16.5">
      <c r="C106"/>
    </row>
    <row r="107" spans="3:3" ht="16.5">
      <c r="C107"/>
    </row>
    <row r="108" spans="3:3" ht="16.5">
      <c r="C108"/>
    </row>
    <row r="109" spans="3:3" ht="16.5">
      <c r="C109"/>
    </row>
    <row r="110" spans="3:3" ht="16.5">
      <c r="C110"/>
    </row>
    <row r="111" spans="3:3" ht="16.5">
      <c r="C111"/>
    </row>
    <row r="112" spans="3:3" ht="16.5">
      <c r="C112"/>
    </row>
    <row r="113" spans="3:3" ht="16.5">
      <c r="C113"/>
    </row>
    <row r="114" spans="3:3" ht="16.5">
      <c r="C114"/>
    </row>
    <row r="115" spans="3:3" ht="16.5">
      <c r="C115"/>
    </row>
    <row r="116" spans="3:3" ht="16.5">
      <c r="C116"/>
    </row>
    <row r="117" spans="3:3" ht="16.5">
      <c r="C117"/>
    </row>
    <row r="118" spans="3:3" ht="16.5">
      <c r="C118"/>
    </row>
    <row r="119" spans="3:3" ht="16.5">
      <c r="C119"/>
    </row>
    <row r="120" spans="3:3" ht="16.5">
      <c r="C120"/>
    </row>
    <row r="121" spans="3:3" ht="16.5">
      <c r="C121"/>
    </row>
    <row r="122" spans="3:3" ht="16.5">
      <c r="C122"/>
    </row>
    <row r="123" spans="3:3" ht="16.5">
      <c r="C123"/>
    </row>
    <row r="124" spans="3:3" ht="16.5">
      <c r="C124"/>
    </row>
    <row r="125" spans="3:3" ht="16.5">
      <c r="C125"/>
    </row>
    <row r="126" spans="3:3" ht="16.5">
      <c r="C126"/>
    </row>
    <row r="127" spans="3:3" ht="16.5">
      <c r="C127"/>
    </row>
    <row r="128" spans="3:3" ht="16.5">
      <c r="C128"/>
    </row>
    <row r="129" spans="3:3" ht="16.5">
      <c r="C129"/>
    </row>
    <row r="130" spans="3:3" ht="16.5">
      <c r="C130"/>
    </row>
    <row r="131" spans="3:3" ht="16.5">
      <c r="C131"/>
    </row>
    <row r="132" spans="3:3" ht="16.5">
      <c r="C132"/>
    </row>
    <row r="133" spans="3:3" ht="16.5">
      <c r="C133"/>
    </row>
    <row r="134" spans="3:3" ht="16.5">
      <c r="C134"/>
    </row>
    <row r="135" spans="3:3" ht="16.5">
      <c r="C135"/>
    </row>
    <row r="136" spans="3:3" ht="16.5">
      <c r="C136"/>
    </row>
    <row r="137" spans="3:3" ht="16.5">
      <c r="C137"/>
    </row>
    <row r="138" spans="3:3" ht="16.5">
      <c r="C138"/>
    </row>
    <row r="139" spans="3:3" ht="16.5">
      <c r="C139"/>
    </row>
    <row r="140" spans="3:3" ht="16.5">
      <c r="C140"/>
    </row>
    <row r="141" spans="3:3" ht="16.5">
      <c r="C141"/>
    </row>
    <row r="142" spans="3:3" ht="16.5">
      <c r="C142"/>
    </row>
    <row r="143" spans="3:3" ht="16.5">
      <c r="C143"/>
    </row>
    <row r="144" spans="3:3" ht="16.5">
      <c r="C144"/>
    </row>
    <row r="145" spans="3:3" ht="16.5">
      <c r="C145"/>
    </row>
    <row r="146" spans="3:3" ht="16.5">
      <c r="C146"/>
    </row>
    <row r="147" spans="3:3" ht="16.5">
      <c r="C147"/>
    </row>
    <row r="148" spans="3:3" ht="16.5">
      <c r="C148"/>
    </row>
    <row r="149" spans="3:3" ht="16.5">
      <c r="C149"/>
    </row>
    <row r="150" spans="3:3" ht="16.5">
      <c r="C150"/>
    </row>
    <row r="151" spans="3:3" ht="16.5">
      <c r="C151"/>
    </row>
    <row r="152" spans="3:3" ht="16.5">
      <c r="C152"/>
    </row>
    <row r="153" spans="3:3" ht="16.5">
      <c r="C153"/>
    </row>
    <row r="154" spans="3:3" ht="16.5">
      <c r="C154"/>
    </row>
    <row r="155" spans="3:3" ht="16.5">
      <c r="C155"/>
    </row>
    <row r="156" spans="3:3" ht="16.5">
      <c r="C156"/>
    </row>
    <row r="157" spans="3:3" ht="16.5">
      <c r="C157"/>
    </row>
    <row r="158" spans="3:3" ht="16.5">
      <c r="C158"/>
    </row>
    <row r="159" spans="3:3" ht="16.5">
      <c r="C159"/>
    </row>
    <row r="160" spans="3:3" ht="16.5">
      <c r="C160"/>
    </row>
    <row r="161" spans="3:3" ht="16.5">
      <c r="C161"/>
    </row>
    <row r="162" spans="3:3" ht="16.5">
      <c r="C162"/>
    </row>
    <row r="163" spans="3:3" ht="16.5">
      <c r="C163"/>
    </row>
    <row r="164" spans="3:3" ht="16.5">
      <c r="C164"/>
    </row>
    <row r="165" spans="3:3" ht="16.5">
      <c r="C165"/>
    </row>
    <row r="166" spans="3:3" ht="16.5">
      <c r="C166"/>
    </row>
    <row r="167" spans="3:3" ht="16.5">
      <c r="C167"/>
    </row>
    <row r="168" spans="3:3" ht="16.5">
      <c r="C168"/>
    </row>
    <row r="169" spans="3:3" ht="16.5">
      <c r="C169"/>
    </row>
    <row r="170" spans="3:3" ht="16.5">
      <c r="C170"/>
    </row>
    <row r="171" spans="3:3" ht="16.5">
      <c r="C171"/>
    </row>
    <row r="172" spans="3:3" ht="16.5">
      <c r="C172"/>
    </row>
    <row r="173" spans="3:3" ht="16.5">
      <c r="C173"/>
    </row>
    <row r="174" spans="3:3" ht="16.5">
      <c r="C174"/>
    </row>
    <row r="175" spans="3:3" ht="16.5">
      <c r="C175"/>
    </row>
    <row r="176" spans="3:3" ht="16.5">
      <c r="C176"/>
    </row>
    <row r="177" spans="3:3" ht="16.5">
      <c r="C177"/>
    </row>
    <row r="178" spans="3:3" ht="16.5">
      <c r="C178"/>
    </row>
    <row r="179" spans="3:3" ht="16.5">
      <c r="C179"/>
    </row>
    <row r="180" spans="3:3" ht="16.5">
      <c r="C180"/>
    </row>
    <row r="181" spans="3:3" ht="16.5">
      <c r="C181"/>
    </row>
    <row r="182" spans="3:3" ht="16.5">
      <c r="C182"/>
    </row>
    <row r="183" spans="3:3" ht="16.5">
      <c r="C183"/>
    </row>
    <row r="184" spans="3:3" ht="16.5">
      <c r="C184"/>
    </row>
    <row r="185" spans="3:3" ht="16.5">
      <c r="C185"/>
    </row>
    <row r="186" spans="3:3" ht="16.5">
      <c r="C186"/>
    </row>
    <row r="187" spans="3:3" ht="16.5">
      <c r="C187"/>
    </row>
    <row r="188" spans="3:3" ht="16.5">
      <c r="C188"/>
    </row>
    <row r="189" spans="3:3" ht="16.5">
      <c r="C189"/>
    </row>
    <row r="190" spans="3:3" ht="16.5">
      <c r="C190"/>
    </row>
    <row r="191" spans="3:3" ht="16.5">
      <c r="C191"/>
    </row>
    <row r="192" spans="3:3" ht="16.5">
      <c r="C192"/>
    </row>
    <row r="193" spans="3:3" ht="16.5">
      <c r="C193"/>
    </row>
    <row r="194" spans="3:3" ht="16.5">
      <c r="C194"/>
    </row>
    <row r="195" spans="3:3" ht="16.5">
      <c r="C195"/>
    </row>
    <row r="196" spans="3:3" ht="16.5">
      <c r="C196"/>
    </row>
    <row r="197" spans="3:3" ht="16.5">
      <c r="C197"/>
    </row>
    <row r="198" spans="3:3" ht="16.5">
      <c r="C198"/>
    </row>
    <row r="199" spans="3:3" ht="16.5">
      <c r="C199"/>
    </row>
    <row r="200" spans="3:3" ht="16.5">
      <c r="C200"/>
    </row>
    <row r="201" spans="3:3" ht="16.5">
      <c r="C201"/>
    </row>
    <row r="202" spans="3:3" ht="16.5">
      <c r="C202"/>
    </row>
    <row r="203" spans="3:3" ht="16.5">
      <c r="C203"/>
    </row>
    <row r="204" spans="3:3" ht="16.5">
      <c r="C204"/>
    </row>
    <row r="205" spans="3:3" ht="16.5">
      <c r="C205"/>
    </row>
    <row r="206" spans="3:3" ht="16.5">
      <c r="C206"/>
    </row>
    <row r="207" spans="3:3" ht="16.5">
      <c r="C207"/>
    </row>
    <row r="208" spans="3:3" ht="16.5">
      <c r="C208"/>
    </row>
    <row r="209" spans="3:3" ht="16.5">
      <c r="C209"/>
    </row>
    <row r="210" spans="3:3" ht="16.5">
      <c r="C210"/>
    </row>
    <row r="211" spans="3:3" ht="16.5">
      <c r="C211"/>
    </row>
    <row r="212" spans="3:3" ht="16.5">
      <c r="C212"/>
    </row>
    <row r="213" spans="3:3" ht="16.5">
      <c r="C213"/>
    </row>
    <row r="214" spans="3:3" ht="16.5">
      <c r="C214"/>
    </row>
    <row r="215" spans="3:3" ht="16.5">
      <c r="C215"/>
    </row>
    <row r="216" spans="3:3" ht="16.5">
      <c r="C216"/>
    </row>
    <row r="217" spans="3:3" ht="16.5">
      <c r="C217"/>
    </row>
    <row r="218" spans="3:3" ht="16.5">
      <c r="C218"/>
    </row>
    <row r="219" spans="3:3" ht="16.5">
      <c r="C219"/>
    </row>
    <row r="220" spans="3:3" ht="16.5">
      <c r="C220"/>
    </row>
    <row r="221" spans="3:3" ht="16.5">
      <c r="C221"/>
    </row>
    <row r="222" spans="3:3" ht="16.5">
      <c r="C222"/>
    </row>
    <row r="223" spans="3:3" ht="16.5">
      <c r="C223"/>
    </row>
    <row r="224" spans="3:3" ht="16.5">
      <c r="C224"/>
    </row>
    <row r="225" spans="3:3" ht="16.5">
      <c r="C225"/>
    </row>
    <row r="226" spans="3:3" ht="16.5">
      <c r="C226"/>
    </row>
    <row r="227" spans="3:3" ht="16.5">
      <c r="C227"/>
    </row>
    <row r="228" spans="3:3" ht="16.5">
      <c r="C228"/>
    </row>
    <row r="229" spans="3:3" ht="16.5">
      <c r="C229"/>
    </row>
    <row r="230" spans="3:3" ht="16.5">
      <c r="C230"/>
    </row>
    <row r="231" spans="3:3" ht="16.5">
      <c r="C231"/>
    </row>
    <row r="232" spans="3:3" ht="16.5">
      <c r="C232"/>
    </row>
    <row r="233" spans="3:3" ht="16.5">
      <c r="C233"/>
    </row>
    <row r="234" spans="3:3" ht="16.5">
      <c r="C234"/>
    </row>
    <row r="235" spans="3:3" ht="16.5">
      <c r="C235"/>
    </row>
    <row r="236" spans="3:3" ht="16.5">
      <c r="C236"/>
    </row>
    <row r="237" spans="3:3" ht="16.5">
      <c r="C237"/>
    </row>
    <row r="238" spans="3:3" ht="16.5">
      <c r="C238"/>
    </row>
    <row r="239" spans="3:3" ht="16.5">
      <c r="C239"/>
    </row>
    <row r="240" spans="3:3" ht="16.5">
      <c r="C240"/>
    </row>
    <row r="241" spans="3:3" ht="16.5">
      <c r="C241"/>
    </row>
    <row r="242" spans="3:3" ht="16.5">
      <c r="C242"/>
    </row>
    <row r="243" spans="3:3" ht="16.5">
      <c r="C243"/>
    </row>
    <row r="244" spans="3:3" ht="16.5">
      <c r="C244"/>
    </row>
    <row r="245" spans="3:3" ht="16.5">
      <c r="C245"/>
    </row>
    <row r="246" spans="3:3" ht="16.5">
      <c r="C246"/>
    </row>
    <row r="247" spans="3:3" ht="16.5">
      <c r="C247"/>
    </row>
    <row r="248" spans="3:3" ht="16.5">
      <c r="C248"/>
    </row>
    <row r="249" spans="3:3" ht="16.5">
      <c r="C249"/>
    </row>
    <row r="250" spans="3:3" ht="16.5">
      <c r="C250"/>
    </row>
    <row r="251" spans="3:3" ht="16.5">
      <c r="C251"/>
    </row>
    <row r="252" spans="3:3" ht="16.5">
      <c r="C252"/>
    </row>
    <row r="253" spans="3:3" ht="16.5">
      <c r="C253"/>
    </row>
    <row r="254" spans="3:3" ht="16.5">
      <c r="C254"/>
    </row>
    <row r="255" spans="3:3" ht="16.5">
      <c r="C255"/>
    </row>
    <row r="256" spans="3:3" ht="16.5">
      <c r="C256"/>
    </row>
    <row r="257" spans="3:3" ht="16.5">
      <c r="C257"/>
    </row>
    <row r="258" spans="3:3" ht="16.5">
      <c r="C258"/>
    </row>
    <row r="259" spans="3:3" ht="16.5">
      <c r="C259"/>
    </row>
    <row r="260" spans="3:3" ht="16.5">
      <c r="C260"/>
    </row>
    <row r="261" spans="3:3" ht="16.5">
      <c r="C261"/>
    </row>
    <row r="262" spans="3:3" ht="16.5">
      <c r="C262"/>
    </row>
    <row r="263" spans="3:3" ht="16.5">
      <c r="C263"/>
    </row>
    <row r="264" spans="3:3" ht="16.5">
      <c r="C264"/>
    </row>
    <row r="265" spans="3:3" ht="16.5">
      <c r="C265"/>
    </row>
    <row r="266" spans="3:3" ht="16.5">
      <c r="C266"/>
    </row>
    <row r="267" spans="3:3" ht="16.5">
      <c r="C267"/>
    </row>
    <row r="268" spans="3:3" ht="16.5">
      <c r="C268"/>
    </row>
    <row r="269" spans="3:3" ht="16.5">
      <c r="C269"/>
    </row>
    <row r="270" spans="3:3" ht="16.5">
      <c r="C270"/>
    </row>
    <row r="271" spans="3:3" ht="16.5">
      <c r="C271"/>
    </row>
    <row r="272" spans="3:3" ht="16.5">
      <c r="C272"/>
    </row>
    <row r="273" spans="3:3" ht="16.5">
      <c r="C273"/>
    </row>
    <row r="274" spans="3:3" ht="16.5">
      <c r="C274"/>
    </row>
    <row r="275" spans="3:3" ht="16.5">
      <c r="C275"/>
    </row>
    <row r="276" spans="3:3" ht="16.5">
      <c r="C276"/>
    </row>
    <row r="277" spans="3:3" ht="16.5">
      <c r="C277"/>
    </row>
    <row r="278" spans="3:3" ht="16.5">
      <c r="C278"/>
    </row>
    <row r="279" spans="3:3" ht="16.5">
      <c r="C279"/>
    </row>
    <row r="280" spans="3:3" ht="16.5">
      <c r="C280"/>
    </row>
    <row r="281" spans="3:3" ht="16.5">
      <c r="C281"/>
    </row>
    <row r="282" spans="3:3" ht="16.5">
      <c r="C282"/>
    </row>
    <row r="283" spans="3:3" ht="16.5">
      <c r="C283"/>
    </row>
    <row r="284" spans="3:3" ht="16.5">
      <c r="C284"/>
    </row>
    <row r="285" spans="3:3" ht="16.5">
      <c r="C285"/>
    </row>
    <row r="286" spans="3:3" ht="16.5">
      <c r="C286"/>
    </row>
    <row r="287" spans="3:3" ht="16.5">
      <c r="C287"/>
    </row>
    <row r="288" spans="3:3" ht="16.5">
      <c r="C288"/>
    </row>
    <row r="289" spans="3:3" ht="16.5">
      <c r="C289"/>
    </row>
    <row r="290" spans="3:3" ht="16.5">
      <c r="C290"/>
    </row>
    <row r="291" spans="3:3" ht="16.5">
      <c r="C291"/>
    </row>
    <row r="292" spans="3:3" ht="16.5">
      <c r="C292"/>
    </row>
    <row r="293" spans="3:3" ht="16.5">
      <c r="C293"/>
    </row>
    <row r="294" spans="3:3" ht="16.5">
      <c r="C294"/>
    </row>
    <row r="295" spans="3:3" ht="16.5">
      <c r="C295"/>
    </row>
    <row r="296" spans="3:3" ht="16.5">
      <c r="C296"/>
    </row>
    <row r="297" spans="3:3" ht="16.5">
      <c r="C297"/>
    </row>
    <row r="298" spans="3:3" ht="16.5">
      <c r="C298"/>
    </row>
    <row r="299" spans="3:3" ht="16.5">
      <c r="C299"/>
    </row>
    <row r="300" spans="3:3" ht="16.5">
      <c r="C300"/>
    </row>
    <row r="301" spans="3:3" ht="16.5">
      <c r="C301"/>
    </row>
    <row r="302" spans="3:3" ht="16.5">
      <c r="C302"/>
    </row>
    <row r="303" spans="3:3" ht="16.5">
      <c r="C303"/>
    </row>
    <row r="304" spans="3:3" ht="16.5">
      <c r="C304"/>
    </row>
    <row r="305" spans="3:3" ht="16.5">
      <c r="C305"/>
    </row>
    <row r="306" spans="3:3" ht="16.5">
      <c r="C306"/>
    </row>
    <row r="307" spans="3:3" ht="16.5">
      <c r="C307"/>
    </row>
    <row r="308" spans="3:3" ht="16.5">
      <c r="C308"/>
    </row>
    <row r="309" spans="3:3" ht="16.5">
      <c r="C309"/>
    </row>
    <row r="310" spans="3:3" ht="16.5">
      <c r="C310"/>
    </row>
    <row r="311" spans="3:3" ht="16.5">
      <c r="C311"/>
    </row>
    <row r="312" spans="3:3" ht="16.5">
      <c r="C312"/>
    </row>
    <row r="313" spans="3:3" ht="16.5">
      <c r="C313"/>
    </row>
    <row r="314" spans="3:3" ht="16.5">
      <c r="C314"/>
    </row>
    <row r="315" spans="3:3" ht="16.5">
      <c r="C315"/>
    </row>
    <row r="316" spans="3:3" ht="16.5">
      <c r="C316"/>
    </row>
    <row r="317" spans="3:3" ht="16.5">
      <c r="C317"/>
    </row>
    <row r="318" spans="3:3" ht="16.5">
      <c r="C318"/>
    </row>
    <row r="319" spans="3:3" ht="16.5">
      <c r="C319"/>
    </row>
    <row r="320" spans="3:3" ht="16.5">
      <c r="C320"/>
    </row>
    <row r="321" spans="3:3" ht="16.5">
      <c r="C321"/>
    </row>
    <row r="322" spans="3:3" ht="16.5">
      <c r="C322"/>
    </row>
    <row r="323" spans="3:3" ht="16.5">
      <c r="C323"/>
    </row>
    <row r="324" spans="3:3" ht="16.5">
      <c r="C324"/>
    </row>
    <row r="325" spans="3:3" ht="16.5">
      <c r="C325"/>
    </row>
    <row r="326" spans="3:3" ht="16.5">
      <c r="C326"/>
    </row>
    <row r="327" spans="3:3" ht="16.5">
      <c r="C327"/>
    </row>
    <row r="328" spans="3:3" ht="16.5">
      <c r="C328"/>
    </row>
    <row r="329" spans="3:3" ht="16.5">
      <c r="C329"/>
    </row>
    <row r="330" spans="3:3" ht="16.5">
      <c r="C330"/>
    </row>
    <row r="331" spans="3:3" ht="16.5">
      <c r="C331"/>
    </row>
    <row r="332" spans="3:3" ht="16.5">
      <c r="C332"/>
    </row>
    <row r="333" spans="3:3" ht="16.5">
      <c r="C333"/>
    </row>
    <row r="334" spans="3:3" ht="16.5">
      <c r="C334"/>
    </row>
    <row r="335" spans="3:3" ht="16.5">
      <c r="C335"/>
    </row>
    <row r="336" spans="3:3" ht="16.5">
      <c r="C336"/>
    </row>
    <row r="337" spans="3:3" ht="16.5">
      <c r="C337"/>
    </row>
    <row r="338" spans="3:3" ht="16.5">
      <c r="C338"/>
    </row>
    <row r="339" spans="3:3" ht="16.5">
      <c r="C339"/>
    </row>
    <row r="340" spans="3:3" ht="16.5">
      <c r="C340"/>
    </row>
    <row r="341" spans="3:3" ht="16.5">
      <c r="C341"/>
    </row>
    <row r="342" spans="3:3" ht="16.5">
      <c r="C342"/>
    </row>
    <row r="343" spans="3:3" ht="16.5">
      <c r="C343"/>
    </row>
    <row r="344" spans="3:3" ht="16.5">
      <c r="C344"/>
    </row>
    <row r="345" spans="3:3" ht="16.5">
      <c r="C345"/>
    </row>
    <row r="346" spans="3:3" ht="16.5">
      <c r="C346"/>
    </row>
    <row r="347" spans="3:3" ht="16.5">
      <c r="C347"/>
    </row>
    <row r="348" spans="3:3" ht="16.5">
      <c r="C348"/>
    </row>
    <row r="349" spans="3:3" ht="16.5">
      <c r="C349"/>
    </row>
    <row r="350" spans="3:3" ht="16.5">
      <c r="C350"/>
    </row>
    <row r="351" spans="3:3" ht="16.5">
      <c r="C351"/>
    </row>
    <row r="352" spans="3:3" ht="16.5">
      <c r="C352"/>
    </row>
    <row r="353" spans="3:3" ht="16.5">
      <c r="C353"/>
    </row>
    <row r="354" spans="3:3" ht="16.5">
      <c r="C354"/>
    </row>
    <row r="355" spans="3:3" ht="16.5">
      <c r="C355"/>
    </row>
    <row r="356" spans="3:3" ht="16.5">
      <c r="C356"/>
    </row>
    <row r="357" spans="3:3" ht="16.5">
      <c r="C357"/>
    </row>
    <row r="358" spans="3:3" ht="16.5">
      <c r="C358"/>
    </row>
    <row r="359" spans="3:3" ht="16.5">
      <c r="C359"/>
    </row>
    <row r="360" spans="3:3" ht="16.5">
      <c r="C360"/>
    </row>
    <row r="361" spans="3:3" ht="16.5">
      <c r="C361"/>
    </row>
    <row r="362" spans="3:3" ht="16.5">
      <c r="C362"/>
    </row>
    <row r="363" spans="3:3" ht="16.5">
      <c r="C363"/>
    </row>
    <row r="364" spans="3:3" ht="16.5">
      <c r="C364"/>
    </row>
    <row r="365" spans="3:3" ht="16.5">
      <c r="C365"/>
    </row>
    <row r="366" spans="3:3" ht="16.5">
      <c r="C366"/>
    </row>
    <row r="367" spans="3:3" ht="16.5">
      <c r="C367"/>
    </row>
    <row r="368" spans="3:3" ht="16.5">
      <c r="C368"/>
    </row>
    <row r="369" spans="3:3" ht="16.5">
      <c r="C369"/>
    </row>
    <row r="370" spans="3:3" ht="16.5">
      <c r="C370"/>
    </row>
    <row r="371" spans="3:3" ht="16.5">
      <c r="C371"/>
    </row>
    <row r="372" spans="3:3" ht="16.5">
      <c r="C372"/>
    </row>
    <row r="373" spans="3:3" ht="16.5">
      <c r="C373"/>
    </row>
    <row r="374" spans="3:3" ht="16.5">
      <c r="C374"/>
    </row>
    <row r="375" spans="3:3" ht="16.5">
      <c r="C375"/>
    </row>
    <row r="376" spans="3:3" ht="16.5">
      <c r="C376"/>
    </row>
    <row r="377" spans="3:3" ht="16.5">
      <c r="C377"/>
    </row>
    <row r="378" spans="3:3" ht="16.5">
      <c r="C378"/>
    </row>
    <row r="379" spans="3:3" ht="16.5">
      <c r="C379"/>
    </row>
    <row r="380" spans="3:3" ht="16.5">
      <c r="C380"/>
    </row>
    <row r="381" spans="3:3" ht="16.5">
      <c r="C381"/>
    </row>
    <row r="382" spans="3:3" ht="16.5">
      <c r="C382"/>
    </row>
    <row r="383" spans="3:3" ht="16.5">
      <c r="C383"/>
    </row>
    <row r="384" spans="3:3" ht="16.5">
      <c r="C384"/>
    </row>
    <row r="385" spans="3:3" ht="16.5">
      <c r="C385"/>
    </row>
    <row r="386" spans="3:3" ht="16.5">
      <c r="C386"/>
    </row>
    <row r="387" spans="3:3" ht="16.5">
      <c r="C387"/>
    </row>
    <row r="388" spans="3:3" ht="16.5">
      <c r="C388"/>
    </row>
    <row r="389" spans="3:3" ht="16.5">
      <c r="C389"/>
    </row>
    <row r="390" spans="3:3" ht="16.5">
      <c r="C390"/>
    </row>
    <row r="391" spans="3:3" ht="16.5">
      <c r="C391"/>
    </row>
    <row r="392" spans="3:3" ht="16.5">
      <c r="C392"/>
    </row>
    <row r="393" spans="3:3" ht="16.5">
      <c r="C393"/>
    </row>
    <row r="394" spans="3:3" ht="16.5">
      <c r="C394"/>
    </row>
    <row r="395" spans="3:3" ht="16.5">
      <c r="C395"/>
    </row>
    <row r="396" spans="3:3" ht="16.5">
      <c r="C396"/>
    </row>
    <row r="397" spans="3:3" ht="16.5">
      <c r="C397"/>
    </row>
    <row r="398" spans="3:3" ht="16.5">
      <c r="C398"/>
    </row>
    <row r="399" spans="3:3" ht="16.5">
      <c r="C399"/>
    </row>
    <row r="400" spans="3:3" ht="16.5">
      <c r="C400"/>
    </row>
    <row r="401" spans="3:3" ht="16.5">
      <c r="C401"/>
    </row>
    <row r="402" spans="3:3" ht="16.5">
      <c r="C402"/>
    </row>
    <row r="403" spans="3:3" ht="16.5">
      <c r="C403"/>
    </row>
    <row r="404" spans="3:3" ht="16.5">
      <c r="C404"/>
    </row>
    <row r="405" spans="3:3" ht="16.5">
      <c r="C405"/>
    </row>
    <row r="406" spans="3:3" ht="16.5">
      <c r="C406"/>
    </row>
    <row r="407" spans="3:3" ht="16.5">
      <c r="C407"/>
    </row>
    <row r="408" spans="3:3" ht="16.5">
      <c r="C408"/>
    </row>
    <row r="409" spans="3:3" ht="16.5">
      <c r="C409"/>
    </row>
    <row r="410" spans="3:3" ht="16.5">
      <c r="C410"/>
    </row>
    <row r="411" spans="3:3" ht="16.5">
      <c r="C411"/>
    </row>
    <row r="412" spans="3:3" ht="16.5">
      <c r="C412"/>
    </row>
    <row r="413" spans="3:3" ht="16.5">
      <c r="C413"/>
    </row>
    <row r="414" spans="3:3" ht="16.5">
      <c r="C414"/>
    </row>
    <row r="415" spans="3:3" ht="16.5">
      <c r="C415"/>
    </row>
    <row r="416" spans="3:3" ht="16.5">
      <c r="C416"/>
    </row>
    <row r="417" spans="3:3" ht="16.5">
      <c r="C417"/>
    </row>
    <row r="418" spans="3:3" ht="16.5">
      <c r="C418"/>
    </row>
    <row r="419" spans="3:3" ht="16.5">
      <c r="C419"/>
    </row>
    <row r="420" spans="3:3" ht="16.5">
      <c r="C420"/>
    </row>
    <row r="421" spans="3:3" ht="16.5">
      <c r="C421"/>
    </row>
    <row r="422" spans="3:3" ht="16.5">
      <c r="C422"/>
    </row>
    <row r="423" spans="3:3" ht="16.5">
      <c r="C423"/>
    </row>
    <row r="424" spans="3:3" ht="16.5">
      <c r="C424"/>
    </row>
    <row r="425" spans="3:3" ht="16.5">
      <c r="C425"/>
    </row>
    <row r="426" spans="3:3" ht="16.5">
      <c r="C426"/>
    </row>
    <row r="427" spans="3:3" ht="16.5">
      <c r="C427"/>
    </row>
    <row r="428" spans="3:3" ht="16.5">
      <c r="C428"/>
    </row>
    <row r="429" spans="3:3" ht="16.5">
      <c r="C429"/>
    </row>
    <row r="430" spans="3:3" ht="16.5">
      <c r="C430"/>
    </row>
    <row r="431" spans="3:3" ht="16.5">
      <c r="C431"/>
    </row>
    <row r="432" spans="3:3" ht="16.5">
      <c r="C432"/>
    </row>
    <row r="433" spans="3:3" ht="16.5">
      <c r="C433"/>
    </row>
    <row r="434" spans="3:3" ht="16.5">
      <c r="C434"/>
    </row>
    <row r="435" spans="3:3" ht="16.5">
      <c r="C435"/>
    </row>
    <row r="436" spans="3:3" ht="16.5">
      <c r="C436"/>
    </row>
    <row r="437" spans="3:3" ht="16.5">
      <c r="C437"/>
    </row>
    <row r="438" spans="3:3" ht="16.5">
      <c r="C438"/>
    </row>
    <row r="439" spans="3:3" ht="16.5">
      <c r="C439"/>
    </row>
    <row r="440" spans="3:3" ht="16.5">
      <c r="C440"/>
    </row>
    <row r="441" spans="3:3" ht="16.5">
      <c r="C441"/>
    </row>
    <row r="442" spans="3:3" ht="16.5">
      <c r="C442"/>
    </row>
    <row r="443" spans="3:3" ht="16.5">
      <c r="C443"/>
    </row>
    <row r="444" spans="3:3" ht="16.5">
      <c r="C444"/>
    </row>
    <row r="445" spans="3:3" ht="16.5">
      <c r="C445"/>
    </row>
    <row r="446" spans="3:3" ht="16.5">
      <c r="C446"/>
    </row>
    <row r="447" spans="3:3" ht="16.5">
      <c r="C447"/>
    </row>
    <row r="448" spans="3:3" ht="16.5">
      <c r="C448"/>
    </row>
    <row r="449" spans="3:3" ht="16.5">
      <c r="C449"/>
    </row>
    <row r="450" spans="3:3" ht="16.5">
      <c r="C450"/>
    </row>
    <row r="451" spans="3:3" ht="16.5">
      <c r="C451"/>
    </row>
    <row r="452" spans="3:3" ht="16.5">
      <c r="C452"/>
    </row>
    <row r="453" spans="3:3" ht="16.5">
      <c r="C453"/>
    </row>
    <row r="454" spans="3:3" ht="16.5">
      <c r="C454"/>
    </row>
    <row r="455" spans="3:3" ht="16.5">
      <c r="C455"/>
    </row>
    <row r="456" spans="3:3" ht="16.5">
      <c r="C456"/>
    </row>
    <row r="457" spans="3:3" ht="16.5">
      <c r="C457"/>
    </row>
    <row r="458" spans="3:3" ht="16.5">
      <c r="C458"/>
    </row>
    <row r="459" spans="3:3" ht="16.5">
      <c r="C459"/>
    </row>
    <row r="460" spans="3:3" ht="16.5">
      <c r="C460"/>
    </row>
    <row r="461" spans="3:3" ht="16.5">
      <c r="C461"/>
    </row>
    <row r="462" spans="3:3" ht="16.5">
      <c r="C462"/>
    </row>
    <row r="463" spans="3:3" ht="16.5">
      <c r="C463"/>
    </row>
    <row r="464" spans="3:3" ht="16.5">
      <c r="C464"/>
    </row>
    <row r="465" spans="3:3" ht="16.5">
      <c r="C465"/>
    </row>
    <row r="466" spans="3:3" ht="16.5">
      <c r="C466"/>
    </row>
    <row r="467" spans="3:3" ht="16.5">
      <c r="C467"/>
    </row>
    <row r="468" spans="3:3" ht="16.5">
      <c r="C468"/>
    </row>
    <row r="469" spans="3:3" ht="16.5">
      <c r="C469"/>
    </row>
    <row r="470" spans="3:3" ht="16.5">
      <c r="C470"/>
    </row>
    <row r="471" spans="3:3" ht="16.5">
      <c r="C471"/>
    </row>
    <row r="472" spans="3:3" ht="16.5">
      <c r="C472"/>
    </row>
    <row r="473" spans="3:3" ht="16.5">
      <c r="C473"/>
    </row>
    <row r="474" spans="3:3" ht="16.5">
      <c r="C474"/>
    </row>
    <row r="475" spans="3:3" ht="16.5">
      <c r="C475"/>
    </row>
    <row r="476" spans="3:3" ht="16.5">
      <c r="C476"/>
    </row>
    <row r="477" spans="3:3" ht="16.5">
      <c r="C477"/>
    </row>
    <row r="478" spans="3:3" ht="16.5">
      <c r="C478"/>
    </row>
    <row r="479" spans="3:3" ht="16.5">
      <c r="C479"/>
    </row>
    <row r="480" spans="3:3" ht="16.5">
      <c r="C480"/>
    </row>
    <row r="481" spans="3:3" ht="16.5">
      <c r="C481"/>
    </row>
    <row r="482" spans="3:3" ht="16.5">
      <c r="C482"/>
    </row>
    <row r="483" spans="3:3" ht="16.5">
      <c r="C483"/>
    </row>
    <row r="484" spans="3:3" ht="16.5">
      <c r="C484"/>
    </row>
    <row r="485" spans="3:3" ht="16.5">
      <c r="C485"/>
    </row>
    <row r="486" spans="3:3" ht="16.5">
      <c r="C486"/>
    </row>
    <row r="487" spans="3:3" ht="16.5">
      <c r="C487"/>
    </row>
    <row r="488" spans="3:3" ht="16.5">
      <c r="C488"/>
    </row>
    <row r="489" spans="3:3" ht="16.5">
      <c r="C489"/>
    </row>
    <row r="490" spans="3:3" ht="16.5">
      <c r="C490"/>
    </row>
    <row r="491" spans="3:3" ht="16.5">
      <c r="C491"/>
    </row>
    <row r="492" spans="3:3" ht="16.5">
      <c r="C492"/>
    </row>
    <row r="493" spans="3:3" ht="16.5">
      <c r="C493"/>
    </row>
    <row r="494" spans="3:3" ht="16.5">
      <c r="C494"/>
    </row>
    <row r="495" spans="3:3" ht="16.5">
      <c r="C495"/>
    </row>
    <row r="496" spans="3:3" ht="16.5">
      <c r="C496"/>
    </row>
    <row r="497" spans="3:3" ht="16.5">
      <c r="C497"/>
    </row>
    <row r="498" spans="3:3" ht="16.5">
      <c r="C498"/>
    </row>
    <row r="499" spans="3:3" ht="16.5">
      <c r="C499"/>
    </row>
    <row r="500" spans="3:3" ht="16.5">
      <c r="C500"/>
    </row>
    <row r="501" spans="3:3" ht="16.5">
      <c r="C501"/>
    </row>
    <row r="502" spans="3:3" ht="16.5">
      <c r="C502"/>
    </row>
    <row r="503" spans="3:3" ht="16.5">
      <c r="C503"/>
    </row>
    <row r="504" spans="3:3" ht="16.5">
      <c r="C504"/>
    </row>
    <row r="505" spans="3:3" ht="16.5">
      <c r="C505"/>
    </row>
    <row r="506" spans="3:3" ht="16.5">
      <c r="C506"/>
    </row>
    <row r="507" spans="3:3" ht="16.5">
      <c r="C507"/>
    </row>
    <row r="508" spans="3:3" ht="16.5">
      <c r="C508"/>
    </row>
    <row r="509" spans="3:3" ht="16.5">
      <c r="C509"/>
    </row>
    <row r="510" spans="3:3" ht="16.5">
      <c r="C510"/>
    </row>
    <row r="511" spans="3:3" ht="16.5">
      <c r="C511"/>
    </row>
    <row r="512" spans="3:3" ht="16.5">
      <c r="C512"/>
    </row>
    <row r="513" spans="3:3" ht="16.5">
      <c r="C513"/>
    </row>
    <row r="514" spans="3:3" ht="16.5">
      <c r="C514"/>
    </row>
    <row r="515" spans="3:3" ht="16.5">
      <c r="C515"/>
    </row>
    <row r="516" spans="3:3" ht="16.5">
      <c r="C516"/>
    </row>
    <row r="517" spans="3:3" ht="16.5">
      <c r="C517"/>
    </row>
    <row r="518" spans="3:3" ht="16.5">
      <c r="C518"/>
    </row>
    <row r="519" spans="3:3" ht="16.5">
      <c r="C519"/>
    </row>
    <row r="520" spans="3:3" ht="16.5">
      <c r="C520"/>
    </row>
    <row r="521" spans="3:3" ht="16.5">
      <c r="C521"/>
    </row>
    <row r="522" spans="3:3" ht="16.5">
      <c r="C522"/>
    </row>
    <row r="523" spans="3:3" ht="16.5">
      <c r="C523"/>
    </row>
    <row r="524" spans="3:3" ht="16.5">
      <c r="C524"/>
    </row>
    <row r="525" spans="3:3" ht="16.5">
      <c r="C525"/>
    </row>
    <row r="526" spans="3:3" ht="16.5">
      <c r="C526"/>
    </row>
    <row r="527" spans="3:3" ht="16.5">
      <c r="C527"/>
    </row>
    <row r="528" spans="3:3" ht="16.5">
      <c r="C528"/>
    </row>
    <row r="529" spans="3:3" ht="16.5">
      <c r="C529"/>
    </row>
    <row r="530" spans="3:3" ht="16.5">
      <c r="C530"/>
    </row>
    <row r="531" spans="3:3" ht="16.5">
      <c r="C531"/>
    </row>
    <row r="532" spans="3:3" ht="16.5">
      <c r="C532"/>
    </row>
    <row r="533" spans="3:3" ht="16.5">
      <c r="C533"/>
    </row>
    <row r="534" spans="3:3" ht="16.5">
      <c r="C534"/>
    </row>
    <row r="535" spans="3:3" ht="16.5">
      <c r="C535"/>
    </row>
    <row r="536" spans="3:3" ht="16.5">
      <c r="C536"/>
    </row>
    <row r="537" spans="3:3" ht="16.5">
      <c r="C537"/>
    </row>
    <row r="538" spans="3:3" ht="16.5">
      <c r="C538"/>
    </row>
    <row r="539" spans="3:3" ht="16.5">
      <c r="C539"/>
    </row>
    <row r="540" spans="3:3" ht="16.5">
      <c r="C540"/>
    </row>
    <row r="541" spans="3:3" ht="16.5">
      <c r="C541"/>
    </row>
    <row r="542" spans="3:3" ht="16.5">
      <c r="C542"/>
    </row>
    <row r="543" spans="3:3" ht="16.5">
      <c r="C543"/>
    </row>
    <row r="544" spans="3:3" ht="16.5">
      <c r="C544"/>
    </row>
    <row r="545" spans="3:3" ht="16.5">
      <c r="C545"/>
    </row>
    <row r="546" spans="3:3" ht="16.5">
      <c r="C546"/>
    </row>
    <row r="547" spans="3:3" ht="16.5">
      <c r="C547"/>
    </row>
    <row r="548" spans="3:3" ht="16.5">
      <c r="C548"/>
    </row>
    <row r="549" spans="3:3" ht="16.5">
      <c r="C549"/>
    </row>
    <row r="550" spans="3:3" ht="16.5">
      <c r="C550"/>
    </row>
    <row r="551" spans="3:3" ht="16.5">
      <c r="C551"/>
    </row>
    <row r="552" spans="3:3" ht="16.5">
      <c r="C552"/>
    </row>
    <row r="553" spans="3:3" ht="16.5">
      <c r="C553"/>
    </row>
    <row r="554" spans="3:3" ht="16.5">
      <c r="C554"/>
    </row>
    <row r="555" spans="3:3" ht="16.5">
      <c r="C555"/>
    </row>
    <row r="556" spans="3:3" ht="16.5">
      <c r="C556"/>
    </row>
    <row r="557" spans="3:3" ht="16.5">
      <c r="C557"/>
    </row>
    <row r="558" spans="3:3" ht="16.5">
      <c r="C558"/>
    </row>
    <row r="559" spans="3:3" ht="16.5">
      <c r="C559"/>
    </row>
    <row r="560" spans="3:3" ht="16.5">
      <c r="C560"/>
    </row>
    <row r="561" spans="3:3" ht="16.5">
      <c r="C561"/>
    </row>
    <row r="562" spans="3:3" ht="16.5">
      <c r="C562"/>
    </row>
    <row r="563" spans="3:3" ht="16.5">
      <c r="C563"/>
    </row>
    <row r="564" spans="3:3" ht="16.5">
      <c r="C564"/>
    </row>
    <row r="565" spans="3:3" ht="16.5">
      <c r="C565"/>
    </row>
    <row r="566" spans="3:3" ht="16.5">
      <c r="C566"/>
    </row>
    <row r="567" spans="3:3" ht="16.5">
      <c r="C567"/>
    </row>
    <row r="568" spans="3:3" ht="16.5">
      <c r="C568"/>
    </row>
    <row r="569" spans="3:3" ht="16.5">
      <c r="C569"/>
    </row>
    <row r="570" spans="3:3" ht="16.5">
      <c r="C570"/>
    </row>
    <row r="571" spans="3:3" ht="16.5">
      <c r="C571"/>
    </row>
    <row r="572" spans="3:3" ht="16.5">
      <c r="C572"/>
    </row>
    <row r="573" spans="3:3" ht="16.5">
      <c r="C573"/>
    </row>
    <row r="574" spans="3:3" ht="16.5">
      <c r="C574"/>
    </row>
    <row r="575" spans="3:3" ht="16.5">
      <c r="C575"/>
    </row>
    <row r="576" spans="3:3" ht="16.5">
      <c r="C576"/>
    </row>
    <row r="577" spans="3:3" ht="16.5">
      <c r="C577"/>
    </row>
    <row r="578" spans="3:3" ht="16.5">
      <c r="C578"/>
    </row>
    <row r="579" spans="3:3" ht="16.5">
      <c r="C579"/>
    </row>
    <row r="580" spans="3:3" ht="16.5">
      <c r="C580"/>
    </row>
    <row r="581" spans="3:3" ht="16.5">
      <c r="C581"/>
    </row>
    <row r="582" spans="3:3" ht="16.5">
      <c r="C582"/>
    </row>
    <row r="583" spans="3:3" ht="16.5">
      <c r="C583"/>
    </row>
    <row r="584" spans="3:3" ht="16.5">
      <c r="C584"/>
    </row>
    <row r="585" spans="3:3" ht="16.5">
      <c r="C585"/>
    </row>
    <row r="586" spans="3:3" ht="16.5">
      <c r="C586"/>
    </row>
    <row r="587" spans="3:3" ht="16.5">
      <c r="C587"/>
    </row>
    <row r="588" spans="3:3" ht="16.5">
      <c r="C588"/>
    </row>
    <row r="589" spans="3:3" ht="16.5">
      <c r="C589"/>
    </row>
    <row r="590" spans="3:3" ht="16.5">
      <c r="C590"/>
    </row>
    <row r="591" spans="3:3" ht="16.5">
      <c r="C591"/>
    </row>
    <row r="592" spans="3:3" ht="16.5">
      <c r="C592"/>
    </row>
    <row r="593" spans="3:3" ht="16.5">
      <c r="C593"/>
    </row>
    <row r="594" spans="3:3" ht="16.5">
      <c r="C594"/>
    </row>
    <row r="595" spans="3:3" ht="16.5">
      <c r="C595"/>
    </row>
    <row r="596" spans="3:3" ht="16.5">
      <c r="C596"/>
    </row>
    <row r="597" spans="3:3" ht="16.5">
      <c r="C597"/>
    </row>
    <row r="598" spans="3:3" ht="16.5">
      <c r="C598"/>
    </row>
    <row r="599" spans="3:3" ht="16.5">
      <c r="C599"/>
    </row>
    <row r="600" spans="3:3" ht="16.5">
      <c r="C600"/>
    </row>
    <row r="601" spans="3:3" ht="16.5">
      <c r="C601"/>
    </row>
    <row r="602" spans="3:3" ht="16.5">
      <c r="C602"/>
    </row>
    <row r="603" spans="3:3" ht="16.5">
      <c r="C603"/>
    </row>
    <row r="604" spans="3:3" ht="16.5">
      <c r="C604"/>
    </row>
    <row r="605" spans="3:3" ht="16.5">
      <c r="C605"/>
    </row>
    <row r="606" spans="3:3" ht="16.5">
      <c r="C606"/>
    </row>
    <row r="607" spans="3:3" ht="16.5">
      <c r="C607"/>
    </row>
    <row r="608" spans="3:3" ht="16.5">
      <c r="C608"/>
    </row>
    <row r="609" spans="3:3" ht="16.5">
      <c r="C609"/>
    </row>
    <row r="610" spans="3:3" ht="16.5">
      <c r="C610"/>
    </row>
    <row r="611" spans="3:3" ht="16.5">
      <c r="C611"/>
    </row>
    <row r="612" spans="3:3" ht="16.5">
      <c r="C612"/>
    </row>
    <row r="613" spans="3:3" ht="16.5">
      <c r="C613"/>
    </row>
    <row r="614" spans="3:3" ht="16.5">
      <c r="C614"/>
    </row>
    <row r="615" spans="3:3" ht="16.5">
      <c r="C615"/>
    </row>
    <row r="616" spans="3:3" ht="16.5">
      <c r="C616"/>
    </row>
    <row r="617" spans="3:3" ht="16.5">
      <c r="C617"/>
    </row>
    <row r="618" spans="3:3" ht="16.5">
      <c r="C618"/>
    </row>
    <row r="619" spans="3:3" ht="16.5">
      <c r="C619"/>
    </row>
    <row r="620" spans="3:3" ht="16.5">
      <c r="C620"/>
    </row>
    <row r="621" spans="3:3" ht="16.5">
      <c r="C621"/>
    </row>
    <row r="622" spans="3:3" ht="16.5">
      <c r="C622"/>
    </row>
    <row r="623" spans="3:3" ht="16.5">
      <c r="C623"/>
    </row>
    <row r="624" spans="3:3" ht="16.5">
      <c r="C624"/>
    </row>
    <row r="625" spans="3:3" ht="16.5">
      <c r="C625"/>
    </row>
    <row r="626" spans="3:3" ht="16.5">
      <c r="C626"/>
    </row>
    <row r="627" spans="3:3" ht="16.5">
      <c r="C627"/>
    </row>
    <row r="628" spans="3:3" ht="16.5">
      <c r="C628"/>
    </row>
    <row r="629" spans="3:3" ht="16.5">
      <c r="C629"/>
    </row>
    <row r="630" spans="3:3" ht="16.5">
      <c r="C630"/>
    </row>
    <row r="631" spans="3:3" ht="16.5">
      <c r="C631"/>
    </row>
    <row r="632" spans="3:3" ht="16.5">
      <c r="C632"/>
    </row>
    <row r="633" spans="3:3" ht="16.5">
      <c r="C633"/>
    </row>
    <row r="634" spans="3:3" ht="16.5">
      <c r="C634"/>
    </row>
    <row r="635" spans="3:3" ht="16.5">
      <c r="C635"/>
    </row>
    <row r="636" spans="3:3" ht="16.5">
      <c r="C636"/>
    </row>
    <row r="637" spans="3:3" ht="16.5">
      <c r="C637"/>
    </row>
    <row r="638" spans="3:3" ht="16.5">
      <c r="C638"/>
    </row>
    <row r="639" spans="3:3" ht="16.5">
      <c r="C639"/>
    </row>
    <row r="640" spans="3:3" ht="16.5">
      <c r="C640"/>
    </row>
    <row r="641" spans="3:3" ht="16.5">
      <c r="C641"/>
    </row>
    <row r="642" spans="3:3" ht="16.5">
      <c r="C642"/>
    </row>
    <row r="643" spans="3:3" ht="16.5">
      <c r="C643"/>
    </row>
    <row r="644" spans="3:3" ht="16.5">
      <c r="C644"/>
    </row>
    <row r="645" spans="3:3" ht="16.5">
      <c r="C645"/>
    </row>
    <row r="646" spans="3:3" ht="16.5">
      <c r="C646"/>
    </row>
    <row r="647" spans="3:3" ht="16.5">
      <c r="C647"/>
    </row>
    <row r="648" spans="3:3" ht="16.5">
      <c r="C648"/>
    </row>
    <row r="649" spans="3:3" ht="16.5">
      <c r="C649"/>
    </row>
    <row r="650" spans="3:3" ht="16.5">
      <c r="C650"/>
    </row>
    <row r="651" spans="3:3" ht="16.5">
      <c r="C651"/>
    </row>
    <row r="652" spans="3:3" ht="16.5">
      <c r="C652"/>
    </row>
    <row r="653" spans="3:3" ht="16.5">
      <c r="C653"/>
    </row>
    <row r="654" spans="3:3" ht="16.5">
      <c r="C654"/>
    </row>
    <row r="655" spans="3:3" ht="16.5">
      <c r="C655"/>
    </row>
    <row r="656" spans="3:3" ht="16.5">
      <c r="C656"/>
    </row>
    <row r="657" spans="3:3" ht="16.5">
      <c r="C657"/>
    </row>
    <row r="658" spans="3:3" ht="16.5">
      <c r="C658"/>
    </row>
    <row r="659" spans="3:3" ht="16.5">
      <c r="C659"/>
    </row>
    <row r="660" spans="3:3" ht="16.5">
      <c r="C660"/>
    </row>
    <row r="661" spans="3:3" ht="16.5">
      <c r="C661"/>
    </row>
    <row r="662" spans="3:3" ht="16.5">
      <c r="C662"/>
    </row>
    <row r="663" spans="3:3" ht="16.5">
      <c r="C663"/>
    </row>
    <row r="664" spans="3:3" ht="16.5">
      <c r="C664"/>
    </row>
    <row r="665" spans="3:3" ht="16.5">
      <c r="C665"/>
    </row>
    <row r="666" spans="3:3" ht="16.5">
      <c r="C666"/>
    </row>
    <row r="667" spans="3:3" ht="16.5">
      <c r="C667"/>
    </row>
    <row r="668" spans="3:3" ht="16.5">
      <c r="C668"/>
    </row>
    <row r="669" spans="3:3" ht="16.5">
      <c r="C669"/>
    </row>
    <row r="670" spans="3:3" ht="16.5">
      <c r="C670"/>
    </row>
    <row r="671" spans="3:3" ht="16.5">
      <c r="C671"/>
    </row>
    <row r="672" spans="3:3" ht="16.5">
      <c r="C672"/>
    </row>
    <row r="673" spans="3:3" ht="16.5">
      <c r="C673"/>
    </row>
    <row r="674" spans="3:3" ht="16.5">
      <c r="C674"/>
    </row>
    <row r="675" spans="3:3" ht="16.5">
      <c r="C675"/>
    </row>
    <row r="676" spans="3:3" ht="16.5">
      <c r="C676"/>
    </row>
    <row r="677" spans="3:3" ht="16.5">
      <c r="C677"/>
    </row>
    <row r="678" spans="3:3" ht="16.5">
      <c r="C678"/>
    </row>
    <row r="679" spans="3:3" ht="16.5">
      <c r="C679"/>
    </row>
    <row r="680" spans="3:3" ht="16.5">
      <c r="C680"/>
    </row>
    <row r="681" spans="3:3" ht="16.5">
      <c r="C681"/>
    </row>
    <row r="682" spans="3:3" ht="16.5">
      <c r="C682"/>
    </row>
    <row r="683" spans="3:3" ht="16.5">
      <c r="C683"/>
    </row>
    <row r="684" spans="3:3" ht="16.5">
      <c r="C684"/>
    </row>
    <row r="685" spans="3:3" ht="16.5">
      <c r="C685"/>
    </row>
    <row r="686" spans="3:3" ht="16.5">
      <c r="C686"/>
    </row>
    <row r="687" spans="3:3" ht="16.5">
      <c r="C687"/>
    </row>
    <row r="688" spans="3:3" ht="16.5">
      <c r="C688"/>
    </row>
    <row r="689" spans="3:3" ht="16.5">
      <c r="C689"/>
    </row>
    <row r="690" spans="3:3" ht="16.5">
      <c r="C690"/>
    </row>
    <row r="691" spans="3:3" ht="16.5">
      <c r="C691"/>
    </row>
    <row r="692" spans="3:3" ht="16.5">
      <c r="C692"/>
    </row>
    <row r="693" spans="3:3" ht="16.5">
      <c r="C693"/>
    </row>
    <row r="694" spans="3:3" ht="16.5">
      <c r="C694"/>
    </row>
    <row r="695" spans="3:3" ht="16.5">
      <c r="C695"/>
    </row>
    <row r="696" spans="3:3" ht="16.5">
      <c r="C696"/>
    </row>
    <row r="697" spans="3:3" ht="16.5">
      <c r="C697"/>
    </row>
    <row r="698" spans="3:3" ht="16.5">
      <c r="C698"/>
    </row>
    <row r="699" spans="3:3" ht="16.5">
      <c r="C699"/>
    </row>
    <row r="700" spans="3:3" ht="16.5">
      <c r="C700"/>
    </row>
    <row r="701" spans="3:3" ht="16.5">
      <c r="C701"/>
    </row>
    <row r="702" spans="3:3" ht="16.5">
      <c r="C702"/>
    </row>
    <row r="703" spans="3:3" ht="16.5">
      <c r="C703"/>
    </row>
    <row r="704" spans="3:3" ht="16.5">
      <c r="C704"/>
    </row>
    <row r="705" spans="3:3" ht="16.5">
      <c r="C705"/>
    </row>
    <row r="706" spans="3:3" ht="16.5">
      <c r="C706"/>
    </row>
    <row r="707" spans="3:3" ht="16.5">
      <c r="C707"/>
    </row>
    <row r="708" spans="3:3" ht="16.5">
      <c r="C708"/>
    </row>
    <row r="709" spans="3:3" ht="16.5">
      <c r="C709"/>
    </row>
    <row r="710" spans="3:3" ht="16.5">
      <c r="C710"/>
    </row>
    <row r="711" spans="3:3" ht="16.5">
      <c r="C711"/>
    </row>
    <row r="712" spans="3:3" ht="16.5">
      <c r="C712"/>
    </row>
    <row r="713" spans="3:3" ht="16.5">
      <c r="C713"/>
    </row>
    <row r="714" spans="3:3" ht="16.5">
      <c r="C714"/>
    </row>
    <row r="715" spans="3:3" ht="16.5">
      <c r="C715"/>
    </row>
    <row r="716" spans="3:3" ht="16.5">
      <c r="C716"/>
    </row>
    <row r="717" spans="3:3" ht="16.5">
      <c r="C717"/>
    </row>
    <row r="718" spans="3:3" ht="16.5">
      <c r="C718"/>
    </row>
    <row r="719" spans="3:3" ht="16.5">
      <c r="C719"/>
    </row>
    <row r="720" spans="3:3" ht="16.5">
      <c r="C720"/>
    </row>
    <row r="721" spans="3:3" ht="16.5">
      <c r="C721"/>
    </row>
    <row r="722" spans="3:3" ht="16.5">
      <c r="C722"/>
    </row>
    <row r="723" spans="3:3" ht="16.5">
      <c r="C723"/>
    </row>
    <row r="724" spans="3:3" ht="16.5">
      <c r="C724"/>
    </row>
    <row r="725" spans="3:3" ht="16.5">
      <c r="C725"/>
    </row>
    <row r="726" spans="3:3" ht="16.5">
      <c r="C726"/>
    </row>
    <row r="727" spans="3:3" ht="16.5">
      <c r="C727"/>
    </row>
    <row r="728" spans="3:3" ht="16.5">
      <c r="C728"/>
    </row>
    <row r="729" spans="3:3" ht="16.5">
      <c r="C729"/>
    </row>
    <row r="730" spans="3:3" ht="16.5">
      <c r="C730"/>
    </row>
    <row r="731" spans="3:3" ht="16.5">
      <c r="C731"/>
    </row>
    <row r="732" spans="3:3" ht="16.5">
      <c r="C732"/>
    </row>
    <row r="733" spans="3:3" ht="16.5">
      <c r="C733"/>
    </row>
    <row r="734" spans="3:3" ht="16.5">
      <c r="C734"/>
    </row>
    <row r="735" spans="3:3" ht="16.5">
      <c r="C735"/>
    </row>
    <row r="736" spans="3:3" ht="16.5">
      <c r="C736"/>
    </row>
    <row r="737" spans="3:3" ht="16.5">
      <c r="C737"/>
    </row>
    <row r="738" spans="3:3" ht="16.5">
      <c r="C738"/>
    </row>
    <row r="739" spans="3:3" ht="16.5">
      <c r="C739"/>
    </row>
    <row r="740" spans="3:3" ht="16.5">
      <c r="C740"/>
    </row>
    <row r="741" spans="3:3" ht="16.5">
      <c r="C741"/>
    </row>
    <row r="742" spans="3:3" ht="16.5">
      <c r="C742"/>
    </row>
    <row r="743" spans="3:3" ht="16.5">
      <c r="C743"/>
    </row>
    <row r="744" spans="3:3" ht="16.5">
      <c r="C744"/>
    </row>
    <row r="745" spans="3:3" ht="16.5">
      <c r="C745"/>
    </row>
    <row r="746" spans="3:3" ht="16.5">
      <c r="C746"/>
    </row>
    <row r="747" spans="3:3" ht="16.5">
      <c r="C747"/>
    </row>
    <row r="748" spans="3:3" ht="16.5">
      <c r="C748"/>
    </row>
    <row r="749" spans="3:3" ht="16.5">
      <c r="C749"/>
    </row>
    <row r="750" spans="3:3" ht="16.5">
      <c r="C750"/>
    </row>
    <row r="751" spans="3:3" ht="16.5">
      <c r="C751"/>
    </row>
    <row r="752" spans="3:3" ht="16.5">
      <c r="C752"/>
    </row>
    <row r="753" spans="3:3" ht="16.5">
      <c r="C753"/>
    </row>
    <row r="754" spans="3:3" ht="16.5">
      <c r="C754"/>
    </row>
    <row r="755" spans="3:3" ht="16.5">
      <c r="C755"/>
    </row>
    <row r="756" spans="3:3" ht="16.5">
      <c r="C756"/>
    </row>
    <row r="757" spans="3:3" ht="16.5">
      <c r="C757"/>
    </row>
    <row r="758" spans="3:3" ht="16.5">
      <c r="C758"/>
    </row>
    <row r="759" spans="3:3" ht="16.5">
      <c r="C759"/>
    </row>
    <row r="760" spans="3:3" ht="16.5">
      <c r="C760"/>
    </row>
    <row r="761" spans="3:3" ht="16.5">
      <c r="C761"/>
    </row>
    <row r="762" spans="3:3" ht="16.5">
      <c r="C762"/>
    </row>
    <row r="763" spans="3:3" ht="16.5">
      <c r="C763"/>
    </row>
    <row r="764" spans="3:3" ht="16.5">
      <c r="C764"/>
    </row>
    <row r="765" spans="3:3" ht="16.5">
      <c r="C765"/>
    </row>
    <row r="766" spans="3:3" ht="16.5">
      <c r="C766"/>
    </row>
    <row r="767" spans="3:3" ht="16.5">
      <c r="C767"/>
    </row>
    <row r="768" spans="3:3" ht="16.5">
      <c r="C768"/>
    </row>
    <row r="769" spans="3:3" ht="16.5">
      <c r="C769"/>
    </row>
    <row r="770" spans="3:3" ht="16.5">
      <c r="C770"/>
    </row>
    <row r="771" spans="3:3" ht="16.5">
      <c r="C771"/>
    </row>
    <row r="772" spans="3:3" ht="16.5">
      <c r="C772"/>
    </row>
    <row r="773" spans="3:3" ht="16.5">
      <c r="C773"/>
    </row>
    <row r="774" spans="3:3" ht="16.5">
      <c r="C774"/>
    </row>
    <row r="775" spans="3:3" ht="16.5">
      <c r="C775"/>
    </row>
    <row r="776" spans="3:3" ht="16.5">
      <c r="C776"/>
    </row>
    <row r="777" spans="3:3" ht="16.5">
      <c r="C777"/>
    </row>
    <row r="778" spans="3:3" ht="16.5">
      <c r="C778"/>
    </row>
    <row r="779" spans="3:3" ht="16.5">
      <c r="C779"/>
    </row>
    <row r="780" spans="3:3" ht="16.5">
      <c r="C780"/>
    </row>
    <row r="781" spans="3:3" ht="16.5">
      <c r="C781"/>
    </row>
    <row r="782" spans="3:3" ht="16.5">
      <c r="C782"/>
    </row>
    <row r="783" spans="3:3" ht="16.5">
      <c r="C783"/>
    </row>
    <row r="784" spans="3:3" ht="16.5">
      <c r="C784"/>
    </row>
    <row r="785" spans="3:3" ht="16.5">
      <c r="C785"/>
    </row>
    <row r="786" spans="3:3" ht="16.5">
      <c r="C786"/>
    </row>
    <row r="787" spans="3:3" ht="16.5">
      <c r="C787"/>
    </row>
    <row r="788" spans="3:3" ht="16.5">
      <c r="C788"/>
    </row>
    <row r="789" spans="3:3" ht="16.5">
      <c r="C789"/>
    </row>
    <row r="790" spans="3:3" ht="16.5">
      <c r="C790"/>
    </row>
    <row r="791" spans="3:3" ht="16.5">
      <c r="C791"/>
    </row>
    <row r="792" spans="3:3" ht="16.5">
      <c r="C792"/>
    </row>
    <row r="793" spans="3:3" ht="16.5">
      <c r="C793"/>
    </row>
    <row r="794" spans="3:3" ht="16.5">
      <c r="C794"/>
    </row>
    <row r="795" spans="3:3" ht="16.5">
      <c r="C795"/>
    </row>
    <row r="796" spans="3:3" ht="16.5">
      <c r="C796"/>
    </row>
    <row r="797" spans="3:3" ht="16.5">
      <c r="C797"/>
    </row>
    <row r="798" spans="3:3" ht="16.5">
      <c r="C798"/>
    </row>
    <row r="799" spans="3:3" ht="16.5">
      <c r="C799"/>
    </row>
    <row r="800" spans="3:3" ht="16.5">
      <c r="C800"/>
    </row>
    <row r="801" spans="3:3" ht="16.5">
      <c r="C801"/>
    </row>
    <row r="802" spans="3:3" ht="16.5">
      <c r="C802"/>
    </row>
    <row r="803" spans="3:3" ht="12" customHeight="1">
      <c r="C803"/>
    </row>
    <row r="804" spans="3:3" ht="16.5" customHeight="1">
      <c r="C804"/>
    </row>
  </sheetData>
  <autoFilter ref="B1:M3968" xr:uid="{00000000-0009-0000-0000-000005000000}"/>
  <customSheetViews>
    <customSheetView guid="{5693F48F-8FCA-4CC0-9286-11E7497B1810}" showGridLines="0" topLeftCell="A1273">
      <selection activeCell="C740" sqref="C740:C1308"/>
      <pageMargins left="0.75" right="0.75" top="1" bottom="1" header="0.5" footer="0.5"/>
      <pageSetup paperSize="9" orientation="landscape" r:id="rId1"/>
      <headerFooter alignWithMargins="0"/>
    </customSheetView>
  </customSheetViews>
  <phoneticPr fontId="3" type="noConversion"/>
  <pageMargins left="0.75" right="0.75" top="1" bottom="1" header="0.5" footer="0.5"/>
  <pageSetup paperSize="9" orientation="landscape" r:id="rId2"/>
  <headerFooter alignWithMargins="0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/>
  <dimension ref="B1:I19"/>
  <sheetViews>
    <sheetView showGridLines="0" workbookViewId="0">
      <pane ySplit="2" topLeftCell="A3" activePane="bottomLeft" state="frozen"/>
      <selection pane="bottomLeft" activeCell="H7" sqref="H7"/>
    </sheetView>
  </sheetViews>
  <sheetFormatPr defaultRowHeight="12.75"/>
  <cols>
    <col min="1" max="1" width="4.625" style="102" customWidth="1"/>
    <col min="2" max="2" width="4.125" style="104" bestFit="1" customWidth="1"/>
    <col min="3" max="3" width="25.25" style="102" customWidth="1"/>
    <col min="4" max="4" width="33.25" style="102" customWidth="1"/>
    <col min="5" max="5" width="20.75" style="97" customWidth="1"/>
    <col min="6" max="6" width="16.375" style="97" bestFit="1" customWidth="1"/>
    <col min="7" max="7" width="6.5" style="88" bestFit="1" customWidth="1"/>
    <col min="8" max="8" width="37.5" style="103" customWidth="1"/>
    <col min="9" max="9" width="9" style="104"/>
    <col min="10" max="16384" width="9" style="102"/>
  </cols>
  <sheetData>
    <row r="1" spans="2:9" ht="29.25" customHeight="1">
      <c r="B1" s="117" t="s">
        <v>2157</v>
      </c>
    </row>
    <row r="2" spans="2:9" s="108" customFormat="1" ht="25.5" customHeight="1" thickBot="1">
      <c r="B2" s="105" t="s">
        <v>6</v>
      </c>
      <c r="C2" s="105" t="s">
        <v>7</v>
      </c>
      <c r="D2" s="105" t="s">
        <v>8</v>
      </c>
      <c r="E2" s="116" t="s">
        <v>2152</v>
      </c>
      <c r="F2" s="116" t="s">
        <v>2155</v>
      </c>
      <c r="G2" s="106" t="s">
        <v>2109</v>
      </c>
      <c r="H2" s="107" t="s">
        <v>2110</v>
      </c>
      <c r="I2" s="107" t="s">
        <v>2139</v>
      </c>
    </row>
    <row r="3" spans="2:9" ht="13.5" thickBot="1">
      <c r="B3" s="83">
        <v>1</v>
      </c>
      <c r="C3" s="140"/>
      <c r="D3" s="140"/>
      <c r="E3" s="109" t="e">
        <f>VLOOKUP($C$3:$C$93,'Nets not required'!$B$2:$C$3,2,0)</f>
        <v>#N/A</v>
      </c>
      <c r="F3" s="109" t="e">
        <f>VLOOKUP($C$3:$C$93,'Nets not required'!$E$2:$F$3,2,0)</f>
        <v>#N/A</v>
      </c>
      <c r="G3" s="110" t="e">
        <f>VLOOKUP($C$3:$C$93,'Nets not required'!#REF!,2,0)</f>
        <v>#REF!</v>
      </c>
      <c r="H3" s="142"/>
      <c r="I3" s="111"/>
    </row>
    <row r="4" spans="2:9" ht="13.5" thickBot="1">
      <c r="B4" s="83">
        <v>2</v>
      </c>
      <c r="C4" s="140"/>
      <c r="D4" s="140"/>
      <c r="E4" s="109" t="e">
        <f>VLOOKUP($C$3:$C$93,'Nets not required'!$B$2:$C$3,2,0)</f>
        <v>#N/A</v>
      </c>
      <c r="F4" s="109" t="e">
        <f>VLOOKUP($C$3:$C$93,'Nets not required'!$E$2:$F$3,2,0)</f>
        <v>#N/A</v>
      </c>
      <c r="G4" s="110" t="e">
        <f>VLOOKUP($C$3:$C$93,'Nets not required'!#REF!,2,0)</f>
        <v>#REF!</v>
      </c>
      <c r="H4" s="142"/>
      <c r="I4" s="111"/>
    </row>
    <row r="5" spans="2:9" ht="13.5" thickBot="1">
      <c r="B5" s="83">
        <v>3</v>
      </c>
      <c r="C5" s="127"/>
      <c r="D5" s="127"/>
      <c r="E5" s="109" t="e">
        <f>VLOOKUP($C$3:$C$93,'Nets not required'!$B$2:$C$3,2,0)</f>
        <v>#N/A</v>
      </c>
      <c r="F5" s="137" t="e">
        <f>VLOOKUP($C$3:$C$93,'Nets not required'!$E$2:$F$3,2,0)</f>
        <v>#N/A</v>
      </c>
      <c r="G5" s="110" t="e">
        <f>VLOOKUP($C$3:$C$93,'Nets not required'!#REF!,2,0)</f>
        <v>#REF!</v>
      </c>
      <c r="H5" s="118"/>
      <c r="I5" s="111"/>
    </row>
    <row r="6" spans="2:9" ht="13.5" thickBot="1">
      <c r="B6" s="83">
        <v>4</v>
      </c>
      <c r="C6" s="127"/>
      <c r="D6" s="127"/>
      <c r="E6" s="109" t="e">
        <f>VLOOKUP($C$3:$C$93,'Nets not required'!$B$2:$C$3,2,0)</f>
        <v>#N/A</v>
      </c>
      <c r="F6" s="109" t="e">
        <f>VLOOKUP($C$3:$C$93,'Nets not required'!$E$2:$F$3,2,0)</f>
        <v>#N/A</v>
      </c>
      <c r="G6" s="110" t="e">
        <f>VLOOKUP($C$3:$C$93,'Nets not required'!#REF!,2,0)</f>
        <v>#REF!</v>
      </c>
      <c r="H6" s="118"/>
      <c r="I6" s="111"/>
    </row>
    <row r="7" spans="2:9">
      <c r="B7" s="83">
        <v>5</v>
      </c>
      <c r="C7" s="83"/>
      <c r="D7" s="83"/>
      <c r="E7" s="109" t="e">
        <f>VLOOKUP($C$3:$C$93,'Nets not required'!$B$2:$C$3,2,0)</f>
        <v>#N/A</v>
      </c>
      <c r="F7" s="109" t="e">
        <f>VLOOKUP($C$3:$C$93,'Nets not required'!$E$2:$F$3,2,0)</f>
        <v>#N/A</v>
      </c>
      <c r="G7" s="110" t="e">
        <f>VLOOKUP($C$3:$C$93,'Nets not required'!#REF!,2,0)</f>
        <v>#REF!</v>
      </c>
      <c r="H7" s="118"/>
      <c r="I7" s="111"/>
    </row>
    <row r="8" spans="2:9">
      <c r="B8" s="83">
        <v>6</v>
      </c>
      <c r="C8" s="83"/>
      <c r="D8" s="83"/>
      <c r="E8" s="109" t="e">
        <f>VLOOKUP($C$3:$C$93,'Nets not required'!$B$2:$C$3,2,0)</f>
        <v>#N/A</v>
      </c>
      <c r="F8" s="109" t="e">
        <f>VLOOKUP($C$3:$C$93,'Nets not required'!$E$2:$F$3,2,0)</f>
        <v>#N/A</v>
      </c>
      <c r="G8" s="110" t="e">
        <f>VLOOKUP($C$3:$C$93,'Nets not required'!#REF!,2,0)</f>
        <v>#REF!</v>
      </c>
      <c r="H8" s="118"/>
      <c r="I8" s="111"/>
    </row>
    <row r="9" spans="2:9">
      <c r="B9" s="83">
        <v>7</v>
      </c>
      <c r="C9" s="83"/>
      <c r="D9" s="124"/>
      <c r="E9" s="109" t="e">
        <f>VLOOKUP($C$3:$C$93,'Nets not required'!$B$2:$C$3,2,0)</f>
        <v>#N/A</v>
      </c>
      <c r="F9" s="109" t="e">
        <f>VLOOKUP($C$3:$C$93,'Nets not required'!$E$2:$F$3,2,0)</f>
        <v>#N/A</v>
      </c>
      <c r="G9" s="110" t="e">
        <f>VLOOKUP($C$3:$C$93,'Nets not required'!#REF!,2,0)</f>
        <v>#REF!</v>
      </c>
      <c r="H9" s="118"/>
      <c r="I9" s="111"/>
    </row>
    <row r="10" spans="2:9">
      <c r="B10" s="83">
        <v>8</v>
      </c>
      <c r="C10" s="83"/>
      <c r="D10" s="83"/>
      <c r="E10" s="109" t="e">
        <f>VLOOKUP($C$3:$C$93,'Nets not required'!$B$2:$C$3,2,0)</f>
        <v>#N/A</v>
      </c>
      <c r="F10" s="109" t="e">
        <f>VLOOKUP($C$3:$C$93,'Nets not required'!$E$2:$F$3,2,0)</f>
        <v>#N/A</v>
      </c>
      <c r="G10" s="110" t="e">
        <f>VLOOKUP($C$3:$C$93,'Nets not required'!#REF!,2,0)</f>
        <v>#REF!</v>
      </c>
      <c r="H10" s="118"/>
      <c r="I10" s="111"/>
    </row>
    <row r="11" spans="2:9">
      <c r="B11" s="83">
        <v>9</v>
      </c>
      <c r="C11" s="83"/>
      <c r="D11" s="83"/>
      <c r="E11" s="109" t="e">
        <f>VLOOKUP($C$3:$C$93,'Nets not required'!$B$2:$C$3,2,0)</f>
        <v>#N/A</v>
      </c>
      <c r="F11" s="109" t="e">
        <f>VLOOKUP($C$3:$C$93,'Nets not required'!$E$2:$F$3,2,0)</f>
        <v>#N/A</v>
      </c>
      <c r="G11" s="110" t="e">
        <f>VLOOKUP($C$3:$C$93,'Nets not required'!#REF!,2,0)</f>
        <v>#REF!</v>
      </c>
      <c r="H11" s="118"/>
      <c r="I11" s="111"/>
    </row>
    <row r="12" spans="2:9">
      <c r="B12" s="83">
        <v>10</v>
      </c>
      <c r="C12" s="83"/>
      <c r="D12" s="83"/>
      <c r="E12" s="109" t="e">
        <f>VLOOKUP($C$3:$C$93,'Nets not required'!$B$2:$C$3,2,0)</f>
        <v>#N/A</v>
      </c>
      <c r="F12" s="109" t="e">
        <f>VLOOKUP($C$3:$C$93,'Nets not required'!$E$2:$F$3,2,0)</f>
        <v>#N/A</v>
      </c>
      <c r="G12" s="110" t="e">
        <f>VLOOKUP($C$3:$C$93,'Nets not required'!#REF!,2,0)</f>
        <v>#REF!</v>
      </c>
      <c r="H12" s="118"/>
      <c r="I12" s="111"/>
    </row>
    <row r="13" spans="2:9">
      <c r="B13" s="83">
        <v>11</v>
      </c>
      <c r="C13" s="83"/>
      <c r="D13" s="83"/>
      <c r="E13" s="109" t="e">
        <f>VLOOKUP($C$3:$C$93,'Nets not required'!$B$2:$C$3,2,0)</f>
        <v>#N/A</v>
      </c>
      <c r="F13" s="109" t="e">
        <f>VLOOKUP($C$3:$C$93,'Nets not required'!$E$2:$F$3,2,0)</f>
        <v>#N/A</v>
      </c>
      <c r="G13" s="110" t="e">
        <f>VLOOKUP($C$3:$C$93,'Nets not required'!#REF!,2,0)</f>
        <v>#REF!</v>
      </c>
      <c r="H13" s="118"/>
      <c r="I13" s="111"/>
    </row>
    <row r="14" spans="2:9">
      <c r="B14" s="83">
        <v>12</v>
      </c>
      <c r="C14" s="83"/>
      <c r="D14" s="83"/>
      <c r="E14" s="109" t="e">
        <f>VLOOKUP($C$3:$C$93,'Nets not required'!$B$2:$C$3,2,0)</f>
        <v>#N/A</v>
      </c>
      <c r="F14" s="109" t="e">
        <f>VLOOKUP($C$3:$C$93,'Nets not required'!$E$2:$F$3,2,0)</f>
        <v>#N/A</v>
      </c>
      <c r="G14" s="110" t="e">
        <f>VLOOKUP($C$3:$C$93,'Nets not required'!#REF!,2,0)</f>
        <v>#REF!</v>
      </c>
      <c r="H14" s="118"/>
      <c r="I14" s="111"/>
    </row>
    <row r="15" spans="2:9">
      <c r="B15" s="83">
        <v>13</v>
      </c>
      <c r="C15" s="83"/>
      <c r="D15" s="83"/>
      <c r="E15" s="109" t="e">
        <f>VLOOKUP($C$3:$C$93,'Nets not required'!$B$2:$C$3,2,0)</f>
        <v>#N/A</v>
      </c>
      <c r="F15" s="109" t="e">
        <f>VLOOKUP($C$3:$C$93,'Nets not required'!$E$2:$F$3,2,0)</f>
        <v>#N/A</v>
      </c>
      <c r="G15" s="110" t="e">
        <f>VLOOKUP($C$3:$C$93,'Nets not required'!#REF!,2,0)</f>
        <v>#REF!</v>
      </c>
      <c r="H15" s="118"/>
      <c r="I15" s="111"/>
    </row>
    <row r="16" spans="2:9">
      <c r="B16" s="83">
        <v>14</v>
      </c>
      <c r="C16" s="83"/>
      <c r="D16" s="83"/>
      <c r="E16" s="109" t="e">
        <f>VLOOKUP($C$3:$C$93,'Nets not required'!$B$2:$C$3,2,0)</f>
        <v>#N/A</v>
      </c>
      <c r="F16" s="109" t="e">
        <f>VLOOKUP($C$3:$C$93,'Nets not required'!$E$2:$F$3,2,0)</f>
        <v>#N/A</v>
      </c>
      <c r="G16" s="110" t="e">
        <f>VLOOKUP($C$3:$C$93,'Nets not required'!#REF!,2,0)</f>
        <v>#REF!</v>
      </c>
      <c r="H16" s="118"/>
      <c r="I16" s="111"/>
    </row>
    <row r="17" spans="2:9">
      <c r="B17" s="83">
        <v>15</v>
      </c>
      <c r="C17" s="83"/>
      <c r="D17" s="83"/>
      <c r="E17" s="109" t="e">
        <f>VLOOKUP($C$3:$C$93,'Nets not required'!$B$2:$C$3,2,0)</f>
        <v>#N/A</v>
      </c>
      <c r="F17" s="109" t="e">
        <f>VLOOKUP($C$3:$C$93,'Nets not required'!$E$2:$F$3,2,0)</f>
        <v>#N/A</v>
      </c>
      <c r="G17" s="110" t="e">
        <f>VLOOKUP($C$3:$C$93,'Nets not required'!#REF!,2,0)</f>
        <v>#REF!</v>
      </c>
      <c r="H17" s="118"/>
      <c r="I17" s="111"/>
    </row>
    <row r="18" spans="2:9">
      <c r="B18" s="83">
        <v>16</v>
      </c>
      <c r="C18" s="83"/>
      <c r="D18" s="83"/>
      <c r="E18" s="109" t="e">
        <f>VLOOKUP($C$3:$C$93,'Nets not required'!$B$2:$C$3,2,0)</f>
        <v>#N/A</v>
      </c>
      <c r="F18" s="109" t="e">
        <f>VLOOKUP($C$3:$C$93,'Nets not required'!$E$2:$F$3,2,0)</f>
        <v>#N/A</v>
      </c>
      <c r="G18" s="110" t="e">
        <f>VLOOKUP($C$3:$C$93,'Nets not required'!#REF!,2,0)</f>
        <v>#REF!</v>
      </c>
      <c r="H18" s="118"/>
      <c r="I18" s="111"/>
    </row>
    <row r="19" spans="2:9">
      <c r="B19" s="83">
        <v>17</v>
      </c>
      <c r="C19" s="83"/>
      <c r="D19" s="83"/>
      <c r="E19" s="109" t="e">
        <f>VLOOKUP($C$3:$C$93,'Nets not required'!$B$2:$C$3,2,0)</f>
        <v>#N/A</v>
      </c>
      <c r="F19" s="109" t="e">
        <f>VLOOKUP($C$3:$C$93,'Nets not required'!$E$2:$F$3,2,0)</f>
        <v>#N/A</v>
      </c>
      <c r="G19" s="110" t="e">
        <f>VLOOKUP($C$3:$C$93,'Nets not required'!#REF!,2,0)</f>
        <v>#REF!</v>
      </c>
      <c r="H19" s="118"/>
      <c r="I19" s="111"/>
    </row>
  </sheetData>
  <customSheetViews>
    <customSheetView guid="{5693F48F-8FCA-4CC0-9286-11E7497B1810}" showGridLines="0">
      <pane ySplit="2" topLeftCell="A3" activePane="bottomLeft" state="frozen"/>
      <selection pane="bottomLeft" activeCell="E16" sqref="E16"/>
      <pageMargins left="0.75" right="0.75" top="1" bottom="1" header="0.5" footer="0.5"/>
      <pageSetup paperSize="9" orientation="landscape" r:id="rId1"/>
      <headerFooter alignWithMargins="0"/>
    </customSheetView>
  </customSheetViews>
  <phoneticPr fontId="3" type="noConversion"/>
  <pageMargins left="0.75" right="0.75" top="1" bottom="1" header="0.5" footer="0.5"/>
  <pageSetup paperSize="9" orientation="landscape" r:id="rId2"/>
  <headerFooter alignWithMargins="0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/>
  <dimension ref="A1:B5"/>
  <sheetViews>
    <sheetView workbookViewId="0">
      <selection activeCell="G9" sqref="G9"/>
    </sheetView>
  </sheetViews>
  <sheetFormatPr defaultRowHeight="16.5"/>
  <cols>
    <col min="1" max="1" width="3.25" bestFit="1" customWidth="1"/>
  </cols>
  <sheetData>
    <row r="1" spans="1:2">
      <c r="A1" s="3">
        <v>1</v>
      </c>
      <c r="B1" s="5" t="s">
        <v>2113</v>
      </c>
    </row>
    <row r="2" spans="1:2">
      <c r="A2" s="3">
        <v>2</v>
      </c>
      <c r="B2" s="3" t="s">
        <v>2114</v>
      </c>
    </row>
    <row r="3" spans="1:2">
      <c r="A3" s="3">
        <v>3</v>
      </c>
      <c r="B3" s="3" t="s">
        <v>2115</v>
      </c>
    </row>
    <row r="4" spans="1:2">
      <c r="A4" s="3">
        <v>4</v>
      </c>
      <c r="B4" s="3" t="s">
        <v>2116</v>
      </c>
    </row>
    <row r="5" spans="1:2">
      <c r="A5" s="6">
        <v>5</v>
      </c>
      <c r="B5" s="6" t="s">
        <v>2117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NC testable</vt:lpstr>
      <vt:lpstr>NC untestable</vt:lpstr>
      <vt:lpstr>Definition</vt:lpstr>
      <vt:lpstr>Net coverage summary</vt:lpstr>
      <vt:lpstr>Testable nets list</vt:lpstr>
      <vt:lpstr>Nets not required</vt:lpstr>
      <vt:lpstr>Untestable nets list</vt:lpstr>
      <vt:lpstr>Don't need DFT net list</vt:lpstr>
      <vt:lpstr>工作表1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Kanward Mao/WZS/Wistron</dc:creator>
  <cp:lastModifiedBy>David JH Lin/WYHQ/Wiwynn</cp:lastModifiedBy>
  <cp:lastPrinted>2014-09-11T09:28:21Z</cp:lastPrinted>
  <dcterms:created xsi:type="dcterms:W3CDTF">2000-12-14T02:41:57Z</dcterms:created>
  <dcterms:modified xsi:type="dcterms:W3CDTF">2021-12-15T00:48:28Z</dcterms:modified>
</cp:coreProperties>
</file>