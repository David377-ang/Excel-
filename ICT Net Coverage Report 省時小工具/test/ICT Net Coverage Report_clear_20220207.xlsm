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1008632\Desktop\ICT Net Coverage Report 省時小工具\test\"/>
    </mc:Choice>
  </mc:AlternateContent>
  <xr:revisionPtr revIDLastSave="0" documentId="13_ncr:1_{DCB3D997-F88A-439B-A3D3-1177B1BA830A}" xr6:coauthVersionLast="47" xr6:coauthVersionMax="47" xr10:uidLastSave="{00000000-0000-0000-0000-000000000000}"/>
  <bookViews>
    <workbookView xWindow="1110" yWindow="210" windowWidth="18930" windowHeight="10755" tabRatio="698" firstSheet="3" activeTab="5" xr2:uid="{00000000-000D-0000-FFFF-FFFF00000000}"/>
  </bookViews>
  <sheets>
    <sheet name="NC testable" sheetId="1" state="hidden" r:id="rId1"/>
    <sheet name="NC untestable" sheetId="2" state="hidden" r:id="rId2"/>
    <sheet name="Definition" sheetId="3" r:id="rId3"/>
    <sheet name="Net coverage summary" sheetId="4" r:id="rId4"/>
    <sheet name="Testable nets list" sheetId="5" r:id="rId5"/>
    <sheet name="Untestable nets list" sheetId="6" r:id="rId6"/>
    <sheet name="Nets not required" sheetId="7" r:id="rId7"/>
    <sheet name="Dont need DFT net list" sheetId="8" r:id="rId8"/>
    <sheet name="工作表1" sheetId="9" state="hidden" r:id="rId9"/>
  </sheets>
  <functionGroups builtInGroupCount="19"/>
  <definedNames>
    <definedName name="_xlnm._FilterDatabase" localSheetId="7" hidden="1">'Dont need DFT net list'!$B$1:$L$2</definedName>
    <definedName name="_xlnm._FilterDatabase" localSheetId="4" hidden="1">'Testable nets list'!$A$1:$L$25</definedName>
    <definedName name="_xlnm._FilterDatabase" localSheetId="5" hidden="1">'Untestable nets list'!$B$1:$I$3</definedName>
    <definedName name="Z_5693F48F_8FCA_4CC0_9286_11E7497B1810_.wvu.FilterData" localSheetId="7" hidden="1">'Dont need DFT net list'!$B$2:$H$2</definedName>
    <definedName name="Z_5693F48F_8FCA_4CC0_9286_11E7497B1810_.wvu.FilterData" localSheetId="4" hidden="1">'Testable nets list'!$A$1:$K$1</definedName>
    <definedName name="Z_5693F48F_8FCA_4CC0_9286_11E7497B1810_.wvu.FilterData" localSheetId="5" hidden="1">'Untestable nets list'!$B$1:$H$2</definedName>
  </definedNames>
  <calcPr calcId="191029"/>
  <customWorkbookViews>
    <customWorkbookView name="Z - 個人檢視畫面" guid="{5693F48F-8FCA-4CC0-9286-11E7497B1810}" mergeInterval="0" personalView="1" maximized="1" windowWidth="1436" windowHeight="634" tabRatio="698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6" l="1"/>
  <c r="I2" i="6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H4" i="5" l="1"/>
  <c r="I4" i="5"/>
  <c r="J4" i="5"/>
  <c r="K4" i="5"/>
  <c r="H5" i="5"/>
  <c r="I5" i="5"/>
  <c r="J5" i="5"/>
  <c r="K5" i="5"/>
  <c r="H6" i="5"/>
  <c r="I6" i="5"/>
  <c r="J6" i="5"/>
  <c r="K6" i="5"/>
  <c r="H7" i="5"/>
  <c r="I7" i="5"/>
  <c r="J7" i="5"/>
  <c r="K7" i="5"/>
  <c r="H8" i="5"/>
  <c r="I8" i="5"/>
  <c r="J8" i="5"/>
  <c r="K8" i="5"/>
  <c r="H9" i="5"/>
  <c r="I9" i="5"/>
  <c r="J9" i="5"/>
  <c r="K9" i="5"/>
  <c r="H10" i="5"/>
  <c r="I10" i="5"/>
  <c r="J10" i="5"/>
  <c r="K10" i="5"/>
  <c r="H11" i="5"/>
  <c r="I11" i="5"/>
  <c r="J11" i="5"/>
  <c r="K11" i="5"/>
  <c r="H12" i="5"/>
  <c r="I12" i="5"/>
  <c r="J12" i="5"/>
  <c r="K12" i="5"/>
  <c r="H13" i="5"/>
  <c r="I13" i="5"/>
  <c r="J13" i="5"/>
  <c r="K13" i="5"/>
  <c r="H14" i="5"/>
  <c r="I14" i="5"/>
  <c r="J14" i="5"/>
  <c r="K14" i="5"/>
  <c r="H15" i="5"/>
  <c r="I15" i="5"/>
  <c r="J15" i="5"/>
  <c r="K15" i="5"/>
  <c r="H16" i="5"/>
  <c r="I16" i="5"/>
  <c r="J16" i="5"/>
  <c r="K16" i="5"/>
  <c r="H17" i="5"/>
  <c r="I17" i="5"/>
  <c r="J17" i="5"/>
  <c r="K17" i="5"/>
  <c r="H18" i="5"/>
  <c r="I18" i="5"/>
  <c r="J18" i="5"/>
  <c r="K18" i="5"/>
  <c r="H19" i="5"/>
  <c r="I19" i="5"/>
  <c r="J19" i="5"/>
  <c r="K19" i="5"/>
  <c r="H20" i="5"/>
  <c r="I20" i="5"/>
  <c r="J20" i="5"/>
  <c r="K20" i="5"/>
  <c r="H21" i="5"/>
  <c r="I21" i="5"/>
  <c r="J21" i="5"/>
  <c r="K21" i="5"/>
  <c r="H22" i="5"/>
  <c r="I22" i="5"/>
  <c r="J22" i="5"/>
  <c r="K22" i="5"/>
  <c r="H23" i="5"/>
  <c r="I23" i="5"/>
  <c r="J23" i="5"/>
  <c r="K23" i="5"/>
  <c r="H24" i="5"/>
  <c r="I24" i="5"/>
  <c r="J24" i="5"/>
  <c r="K24" i="5"/>
  <c r="H25" i="5"/>
  <c r="I25" i="5"/>
  <c r="J25" i="5"/>
  <c r="K25" i="5"/>
  <c r="S41" i="4"/>
  <c r="S40" i="4"/>
  <c r="S39" i="4"/>
  <c r="S38" i="4"/>
  <c r="O41" i="4"/>
  <c r="O40" i="4"/>
  <c r="O39" i="4"/>
  <c r="O38" i="4"/>
  <c r="K41" i="4"/>
  <c r="K40" i="4"/>
  <c r="K39" i="4"/>
  <c r="K38" i="4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F3" i="8"/>
  <c r="E3" i="8"/>
  <c r="G8" i="8"/>
  <c r="G9" i="8"/>
  <c r="G10" i="8"/>
  <c r="G11" i="8"/>
  <c r="G12" i="8"/>
  <c r="G13" i="8"/>
  <c r="G14" i="8"/>
  <c r="G15" i="8"/>
  <c r="G16" i="8"/>
  <c r="G17" i="8"/>
  <c r="G18" i="8"/>
  <c r="G19" i="8"/>
  <c r="E3" i="6"/>
  <c r="F3" i="6"/>
  <c r="G3" i="6"/>
  <c r="G7" i="8"/>
  <c r="G6" i="8"/>
  <c r="G5" i="8"/>
  <c r="G4" i="8"/>
  <c r="H2" i="5"/>
  <c r="H3" i="5"/>
  <c r="G3" i="8"/>
  <c r="L30" i="4"/>
  <c r="L29" i="4"/>
  <c r="L28" i="4"/>
  <c r="L27" i="4"/>
  <c r="G2" i="6"/>
  <c r="F2" i="6"/>
  <c r="E2" i="6"/>
  <c r="X30" i="4"/>
  <c r="X29" i="4"/>
  <c r="X28" i="4"/>
  <c r="X27" i="4"/>
  <c r="U30" i="4"/>
  <c r="I30" i="4"/>
  <c r="U29" i="4"/>
  <c r="I29" i="4"/>
  <c r="U28" i="4"/>
  <c r="I28" i="4"/>
  <c r="U27" i="4"/>
  <c r="I27" i="4"/>
  <c r="R30" i="4"/>
  <c r="F30" i="4"/>
  <c r="R29" i="4"/>
  <c r="F29" i="4"/>
  <c r="R28" i="4"/>
  <c r="F28" i="4"/>
  <c r="R27" i="4"/>
  <c r="F27" i="4"/>
  <c r="I2" i="5"/>
  <c r="J2" i="5"/>
  <c r="K2" i="5"/>
  <c r="I3" i="5"/>
  <c r="J3" i="5"/>
  <c r="K3" i="5"/>
  <c r="AD10" i="4"/>
  <c r="AD11" i="4"/>
  <c r="AD12" i="4"/>
  <c r="AH12" i="4" s="1"/>
  <c r="O31" i="4"/>
  <c r="AA31" i="4"/>
  <c r="AG31" i="4"/>
  <c r="R31" i="4" l="1"/>
  <c r="U31" i="4"/>
  <c r="AD28" i="4"/>
  <c r="I31" i="4"/>
  <c r="X31" i="4"/>
  <c r="AD30" i="4"/>
  <c r="V38" i="4"/>
  <c r="AD29" i="4"/>
  <c r="V41" i="4"/>
  <c r="V39" i="4"/>
  <c r="F31" i="4"/>
  <c r="L31" i="4"/>
  <c r="AD27" i="4"/>
  <c r="V40" i="4"/>
  <c r="AH11" i="4"/>
  <c r="AF11" i="4"/>
  <c r="AF10" i="4"/>
  <c r="AH10" i="4"/>
  <c r="AD31" i="4" l="1"/>
  <c r="AG34" i="4" s="1"/>
  <c r="AH9" i="4"/>
  <c r="AF9" i="4"/>
  <c r="AF13" i="4" s="1"/>
  <c r="AH13" i="4" l="1"/>
  <c r="AD13" i="4" s="1"/>
  <c r="Z41" i="4" s="1"/>
  <c r="AD17" i="4"/>
  <c r="AG32" i="4"/>
  <c r="AG27" i="4"/>
  <c r="AG28" i="4"/>
  <c r="AG30" i="4"/>
  <c r="AG33" i="4"/>
  <c r="AG29" i="4"/>
  <c r="AD9" i="4"/>
  <c r="AD16" i="4" s="1"/>
  <c r="AD22" i="4" s="1"/>
  <c r="AD21" i="4" l="1"/>
  <c r="Z38" i="4"/>
  <c r="Z39" i="4"/>
  <c r="Z4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wistron</author>
  </authors>
  <commentList>
    <comment ref="P4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Tahoma"/>
            <family val="2"/>
          </rPr>
          <t>每个</t>
        </r>
        <r>
          <rPr>
            <b/>
            <sz val="9"/>
            <color indexed="81"/>
            <rFont val="Tahoma"/>
            <family val="2"/>
          </rPr>
          <t xml:space="preserve">Power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8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 xml:space="preserve">;
2.GND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需至少有</t>
        </r>
        <r>
          <rPr>
            <b/>
            <sz val="9"/>
            <color indexed="81"/>
            <rFont val="Tahoma"/>
            <family val="2"/>
          </rPr>
          <t>15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Tahoma"/>
            <family val="2"/>
          </rPr>
          <t>個測試點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F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1=100mil
2=75mil
3=50mil
4=39mil
</t>
        </r>
      </text>
    </comment>
    <comment ref="G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5:pad
6:via
7:dip</t>
        </r>
      </text>
    </comment>
    <comment ref="H1" authorId="0" shapeId="0" xr:uid="{00000000-0006-0000-0400-000003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I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J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1" authorId="0" shapeId="0" xr:uid="{00000000-0006-0000-05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B1" authorId="0" shapeId="0" xr:uid="{00000000-0006-0000-06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E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2" authorId="0" shapeId="0" xr:uid="{00000000-0006-0000-07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2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sharedStrings.xml><?xml version="1.0" encoding="utf-8"?>
<sst xmlns="http://schemas.openxmlformats.org/spreadsheetml/2006/main" count="14752" uniqueCount="8723">
  <si>
    <t>100mil</t>
    <phoneticPr fontId="3" type="noConversion"/>
  </si>
  <si>
    <t>50mil</t>
    <phoneticPr fontId="3" type="noConversion"/>
  </si>
  <si>
    <t>39mil</t>
    <phoneticPr fontId="3" type="noConversion"/>
  </si>
  <si>
    <t>Totoal</t>
    <phoneticPr fontId="3" type="noConversion"/>
  </si>
  <si>
    <t>75mil</t>
    <phoneticPr fontId="3" type="noConversion"/>
  </si>
  <si>
    <t>Analyzer: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</si>
  <si>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</si>
  <si>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</si>
  <si>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</si>
  <si>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Test Pad</t>
    <phoneticPr fontId="3" type="noConversion"/>
  </si>
  <si>
    <t>VIA</t>
    <phoneticPr fontId="3" type="noConversion"/>
  </si>
  <si>
    <t>DIP</t>
    <phoneticPr fontId="3" type="noConversion"/>
  </si>
  <si>
    <t>Bead/MECA</t>
    <phoneticPr fontId="3" type="noConversion"/>
  </si>
  <si>
    <t>Top Side</t>
    <phoneticPr fontId="3" type="noConversion"/>
  </si>
  <si>
    <t>Summary</t>
    <phoneticPr fontId="3" type="noConversion"/>
  </si>
  <si>
    <t>Total</t>
    <phoneticPr fontId="3" type="noConversion"/>
  </si>
  <si>
    <t>Model Name</t>
    <phoneticPr fontId="3" type="noConversion"/>
  </si>
  <si>
    <t>PCB Version</t>
    <phoneticPr fontId="3" type="noConversion"/>
  </si>
  <si>
    <t>Bottom Side</t>
    <phoneticPr fontId="3" type="noConversion"/>
  </si>
  <si>
    <t>Testpoint Size</t>
    <phoneticPr fontId="3" type="noConversion"/>
  </si>
  <si>
    <t>T</t>
    <phoneticPr fontId="3" type="noConversion"/>
  </si>
  <si>
    <t>B</t>
    <phoneticPr fontId="3" type="noConversion"/>
  </si>
  <si>
    <t>Pad</t>
    <phoneticPr fontId="3" type="noConversion"/>
  </si>
  <si>
    <t>Via</t>
    <phoneticPr fontId="3" type="noConversion"/>
  </si>
  <si>
    <t>24mil x 24mil</t>
    <phoneticPr fontId="3" type="noConversion"/>
  </si>
  <si>
    <t>GND</t>
    <phoneticPr fontId="3" type="noConversion"/>
  </si>
  <si>
    <t>因可植針位置被元件覆蓋</t>
  </si>
  <si>
    <t>TP_BMC_GPIOA0</t>
  </si>
  <si>
    <t xml:space="preserve">U25W4.80, </t>
  </si>
  <si>
    <t>30.00,30.00</t>
  </si>
  <si>
    <t>50mil</t>
  </si>
  <si>
    <t>39mil</t>
  </si>
  <si>
    <t>NC_6177</t>
  </si>
  <si>
    <t xml:space="preserve">EU3P1.4, </t>
  </si>
  <si>
    <t>75mil</t>
  </si>
  <si>
    <t>26.00,26.00</t>
  </si>
  <si>
    <t>100 mil</t>
  </si>
  <si>
    <t>TP_SMB_PEHPCPU0_EN</t>
  </si>
  <si>
    <t xml:space="preserve">U1W2.5, </t>
  </si>
  <si>
    <t>20.00,20.00</t>
  </si>
  <si>
    <t>TP_CPU1_RSVD_6</t>
  </si>
  <si>
    <t xml:space="preserve">U2D1.3026, </t>
  </si>
  <si>
    <t>TP_CPU1_RSVD_21</t>
  </si>
  <si>
    <t xml:space="preserve">U2D1.2785, </t>
  </si>
  <si>
    <t>TP_CPU1_RSVD_20</t>
  </si>
  <si>
    <t xml:space="preserve">U2D1.2870, </t>
  </si>
  <si>
    <t>TP_CPU1_RSVD_17</t>
  </si>
  <si>
    <t xml:space="preserve">U2D1.2914, </t>
  </si>
  <si>
    <t>TP_CPU1_RSVD_14</t>
  </si>
  <si>
    <t xml:space="preserve">U2D1.2948, </t>
  </si>
  <si>
    <t>TP_SLG55021_P5V_8</t>
  </si>
  <si>
    <t xml:space="preserve">EU8B1.8, </t>
  </si>
  <si>
    <t>TP_PVDDQ_ABC_RESET_N</t>
  </si>
  <si>
    <t xml:space="preserve">EU7G1.8, </t>
  </si>
  <si>
    <t>TP_PVCCIN_CPU0_APWM6</t>
  </si>
  <si>
    <t xml:space="preserve">EU4D4.2, </t>
  </si>
  <si>
    <t>TP_PVCCIO_CPU0_RESET_N</t>
  </si>
  <si>
    <t xml:space="preserve">EU3P1.8, </t>
  </si>
  <si>
    <t>TP_PVCCIO_CPU0_BPWM1</t>
  </si>
  <si>
    <t xml:space="preserve">EU3P1.3, </t>
  </si>
  <si>
    <t>TP_P3E_CPU1_PE1_MP_TXP&lt;7&gt;</t>
  </si>
  <si>
    <t xml:space="preserve">U2D1.2536, </t>
  </si>
  <si>
    <t>TP_P3E_CPU1_PE1_MP_TXP&lt;6&gt;</t>
  </si>
  <si>
    <t xml:space="preserve">U2D1.2447, </t>
  </si>
  <si>
    <t>TP_P3E_CPU1_PE1_MP_TXP&lt;4&gt;</t>
  </si>
  <si>
    <t xml:space="preserve">U2D1.2245, </t>
  </si>
  <si>
    <t>TP_P3E_CPU1_PE1_MP_TXP&lt;2&gt;</t>
  </si>
  <si>
    <t xml:space="preserve">U2D1.2162, </t>
  </si>
  <si>
    <t>TP_P3E_CPU1_PE1_MP_TXN&lt;5&gt;</t>
  </si>
  <si>
    <t xml:space="preserve">U2D1.2411, </t>
  </si>
  <si>
    <t>TP_P3E_CPU1_PE1_MP_TXN&lt;1&gt;</t>
  </si>
  <si>
    <t xml:space="preserve">U2D1.2114, </t>
  </si>
  <si>
    <t>TP_P3E_CPU1_PE1_MP_TXN&lt;0&gt;</t>
  </si>
  <si>
    <t xml:space="preserve">U2D1.2029, </t>
  </si>
  <si>
    <t>NC_CLK_156M_CPU0_OSC</t>
  </si>
  <si>
    <t xml:space="preserve">Y6F1.2, </t>
  </si>
  <si>
    <t>TP_SPI_0_2</t>
  </si>
  <si>
    <t xml:space="preserve">U7F1.12, </t>
  </si>
  <si>
    <t>TP_SPI_0_3</t>
  </si>
  <si>
    <t xml:space="preserve">U7F1.11, </t>
  </si>
  <si>
    <t>TP_PVDDQ_ABC_PH3_IMON</t>
  </si>
  <si>
    <t xml:space="preserve">EU7G1.26, </t>
  </si>
  <si>
    <t>TP_PVDDQ_DEF_PINALRT_N</t>
  </si>
  <si>
    <t xml:space="preserve">EU7A5.12, </t>
  </si>
  <si>
    <t>TP_SMB_DDR_ABC_EN</t>
  </si>
  <si>
    <t xml:space="preserve">U6F1.5, </t>
  </si>
  <si>
    <t>TP_P3E_CPU1_PE2_RSR_TXP&lt;2&gt;</t>
  </si>
  <si>
    <t xml:space="preserve">U2D1.1770, </t>
  </si>
  <si>
    <t>TP_P3E_CPU1_PE2_RSR_TXN&lt;2&gt;</t>
  </si>
  <si>
    <t xml:space="preserve">U2D1.1797, </t>
  </si>
  <si>
    <t>TP_P3E_CPU1_PE1_RSR3_TXP&lt;15&gt;</t>
  </si>
  <si>
    <t xml:space="preserve">U2D1.2967, </t>
  </si>
  <si>
    <t>TP_P3E_CPU1_PE1_RSR3_TXP&lt;14&gt;</t>
  </si>
  <si>
    <t xml:space="preserve">U2D1.2925, </t>
  </si>
  <si>
    <t>TP_P3E_CPU1_PE1_RSR3_TXP&lt;11&gt;</t>
  </si>
  <si>
    <t xml:space="preserve">U2D1.2712, </t>
  </si>
  <si>
    <t>TP_P3E_CPU1_PE1_RSR3_TXP&lt;10&gt;</t>
  </si>
  <si>
    <t xml:space="preserve">U2D1.2666, </t>
  </si>
  <si>
    <t>TP_P3E_CPU1_PE1_RSR3_TXN&lt;9&gt;</t>
  </si>
  <si>
    <t xml:space="preserve">U2D1.2702, </t>
  </si>
  <si>
    <t>TP_P3E_CPU1_PE1_RSR3_TXN&lt;15&gt;</t>
  </si>
  <si>
    <t xml:space="preserve">U2D1.3004, </t>
  </si>
  <si>
    <t>TP_CLK_96M_CKMNG_N</t>
  </si>
  <si>
    <t xml:space="preserve">EU8F2.4, </t>
  </si>
  <si>
    <t>TP_CLK_125M</t>
  </si>
  <si>
    <t xml:space="preserve">EU8F2.36, </t>
  </si>
  <si>
    <t>TP_CLK_100M_R_DP</t>
  </si>
  <si>
    <t xml:space="preserve">EU8F2.7, </t>
  </si>
  <si>
    <t>TP_IOA5</t>
  </si>
  <si>
    <t xml:space="preserve">J1C1.5, </t>
  </si>
  <si>
    <t>TP_FM_WAKE_N</t>
  </si>
  <si>
    <t xml:space="preserve">J1C1.12, </t>
  </si>
  <si>
    <t>TP_IOE4</t>
  </si>
  <si>
    <t xml:space="preserve">J1C1.36, </t>
  </si>
  <si>
    <t>TP_IOF4</t>
  </si>
  <si>
    <t xml:space="preserve">J1C1.44, </t>
  </si>
  <si>
    <t>TP_IOG3</t>
  </si>
  <si>
    <t xml:space="preserve">J1C1.51, </t>
  </si>
  <si>
    <t>TP_IOH3</t>
  </si>
  <si>
    <t xml:space="preserve">J1C1.59, </t>
  </si>
  <si>
    <t>TP_IOH4</t>
  </si>
  <si>
    <t xml:space="preserve">J1C1.60, </t>
  </si>
  <si>
    <t>TP_IOI4</t>
  </si>
  <si>
    <t xml:space="preserve">J1C1.68, </t>
  </si>
  <si>
    <t>TP_ME_RCVR_BOOT</t>
  </si>
  <si>
    <t xml:space="preserve">J7G3.1, </t>
  </si>
  <si>
    <t>64.00,64.00</t>
  </si>
  <si>
    <t>TP_BIOS_USB_RECOVERY</t>
  </si>
  <si>
    <t xml:space="preserve">J7G3.2, </t>
  </si>
  <si>
    <t>TP_PASSWORD_CLEAR</t>
  </si>
  <si>
    <t xml:space="preserve">J7G3.7, </t>
  </si>
  <si>
    <t>TP_BIOS_RECOVER_BOOT</t>
  </si>
  <si>
    <t xml:space="preserve">J7G3.8, </t>
  </si>
  <si>
    <t>TP_JUMPER_BLOCK_1_1</t>
  </si>
  <si>
    <t xml:space="preserve">J8G2.1, </t>
  </si>
  <si>
    <t>TP_JUMPER_BLOCK_1_2</t>
  </si>
  <si>
    <t xml:space="preserve">J8G2.2, </t>
  </si>
  <si>
    <t>TP_JUMPER_BLOCK_1_7</t>
  </si>
  <si>
    <t xml:space="preserve">J8G2.7, </t>
  </si>
  <si>
    <t>TP_JUMPER_BLOCK_1_8</t>
  </si>
  <si>
    <t xml:space="preserve">J8G2.8, </t>
  </si>
  <si>
    <t>TP_RST_RTCRST_N</t>
  </si>
  <si>
    <t xml:space="preserve">J9G1.2, </t>
  </si>
  <si>
    <t>TP_IE_DEBUG_MODE</t>
  </si>
  <si>
    <t xml:space="preserve">J9G1.7, </t>
  </si>
  <si>
    <t>TP_FAN_1</t>
  </si>
  <si>
    <t xml:space="preserve">J1B2.6, </t>
  </si>
  <si>
    <t>TP_FAN_0</t>
  </si>
  <si>
    <t xml:space="preserve">J1F2.6, </t>
  </si>
  <si>
    <t>20.00,71.00</t>
  </si>
  <si>
    <t>TP_CH_A_DIMM_A1_RFU_2</t>
  </si>
  <si>
    <t xml:space="preserve">J6T1.144, </t>
  </si>
  <si>
    <t>TP_CH_B_DIMM_B1_RFU_2</t>
  </si>
  <si>
    <t xml:space="preserve">J6U1.144, </t>
  </si>
  <si>
    <t>TP_CH_B_DIMM_B1_RFU_0</t>
  </si>
  <si>
    <t xml:space="preserve">J6U1.205, </t>
  </si>
  <si>
    <t>TP_CH_B_DIMM_B1_RFU_1</t>
  </si>
  <si>
    <t xml:space="preserve">J6U1.227, </t>
  </si>
  <si>
    <t>TP_CH_C_DIMM_C1_RFU_2</t>
  </si>
  <si>
    <t xml:space="preserve">J6U2.144, </t>
  </si>
  <si>
    <t>TP_CH_C_DIMM_C1_RFU_0</t>
  </si>
  <si>
    <t xml:space="preserve">J6U2.205, </t>
  </si>
  <si>
    <t>TP_CH_C_DIMM_C1_RFU_1</t>
  </si>
  <si>
    <t xml:space="preserve">J6U2.227, </t>
  </si>
  <si>
    <t>TP_CH_E_DIMM_E1_RFU_2</t>
  </si>
  <si>
    <t xml:space="preserve">J6L2.144, </t>
  </si>
  <si>
    <t>TP_CH_E_DIMM_E1_RFU_0</t>
  </si>
  <si>
    <t xml:space="preserve">J6L2.205, </t>
  </si>
  <si>
    <t>TP_CH_E_DIMM_E1_RFU_1</t>
  </si>
  <si>
    <t xml:space="preserve">J6L2.227, </t>
  </si>
  <si>
    <t>TP_CH_F_DIMM_F1_RFU_0</t>
  </si>
  <si>
    <t xml:space="preserve">J6L1.205, </t>
  </si>
  <si>
    <t>TP_CH_F_DIMM_F1_RFU_1</t>
  </si>
  <si>
    <t xml:space="preserve">J6L1.227, </t>
  </si>
  <si>
    <t>TP_CH_G_DIMM0_RFU_2</t>
  </si>
  <si>
    <t xml:space="preserve">J9T1.144, </t>
  </si>
  <si>
    <t>TP_CH_G_DIMM0_RFU_0</t>
  </si>
  <si>
    <t xml:space="preserve">J9T1.205, </t>
  </si>
  <si>
    <t>TP_CH_G_DIMM0_RFU_1</t>
  </si>
  <si>
    <t xml:space="preserve">J9T1.227, </t>
  </si>
  <si>
    <t>TP_CH_H_DIMM0_RFU_2</t>
  </si>
  <si>
    <t xml:space="preserve">J9U1.144, </t>
  </si>
  <si>
    <t>TP_CH_H_DIMM0_RFU_0</t>
  </si>
  <si>
    <t xml:space="preserve">J9U1.205, </t>
  </si>
  <si>
    <t>TP_CH_H_DIMM0_RFU_1</t>
  </si>
  <si>
    <t xml:space="preserve">J9U1.227, </t>
  </si>
  <si>
    <t>TP_CH_J_DIMM_J1_RFU_2</t>
  </si>
  <si>
    <t xml:space="preserve">J9U2.144, </t>
  </si>
  <si>
    <t>TP_CH_J_DIMM_J1_RFU_0</t>
  </si>
  <si>
    <t xml:space="preserve">J9U2.205, </t>
  </si>
  <si>
    <t>TP_CH_J_DIMM_J1_RFU_1</t>
  </si>
  <si>
    <t xml:space="preserve">J9U2.227, </t>
  </si>
  <si>
    <t>TP_CH_K_DIMM0_RFU_2</t>
  </si>
  <si>
    <t xml:space="preserve">J9M1.144, </t>
  </si>
  <si>
    <t>TP_CH_K_DIMM0_RFU_0</t>
  </si>
  <si>
    <t xml:space="preserve">J9M1.205, </t>
  </si>
  <si>
    <t>TP_CH_K_DIMM0_RFU_1</t>
  </si>
  <si>
    <t xml:space="preserve">J9M1.227, </t>
  </si>
  <si>
    <t>TP_CH_L_DIMM0_RFU_2</t>
  </si>
  <si>
    <t xml:space="preserve">J9L2.144, </t>
  </si>
  <si>
    <t>TP_CH_L_DIMM0_RFU_0</t>
  </si>
  <si>
    <t xml:space="preserve">J9L2.205, </t>
  </si>
  <si>
    <t>TP_CH_M_DIMM_M1_RFU_2</t>
  </si>
  <si>
    <t xml:space="preserve">J9L1.144, </t>
  </si>
  <si>
    <t>TP_CH_M_DIMM_M1_RFU_0</t>
  </si>
  <si>
    <t xml:space="preserve">J9L1.205, </t>
  </si>
  <si>
    <t>TP_FM_QAT_CBL_PRSNT2_N</t>
  </si>
  <si>
    <t xml:space="preserve">J8A2.1, </t>
  </si>
  <si>
    <t>31.00,31.00</t>
  </si>
  <si>
    <t>TP_FM_QAT_CBL_PRSNT0_R_N</t>
  </si>
  <si>
    <t xml:space="preserve">J8A1.48, </t>
  </si>
  <si>
    <t>TP_SGPIO_SATA_CLOCK1_R</t>
  </si>
  <si>
    <t xml:space="preserve">J8A1.49, </t>
  </si>
  <si>
    <t>TP_SGPIO_SATA_LOAD1_R</t>
  </si>
  <si>
    <t xml:space="preserve">J8A1.50, </t>
  </si>
  <si>
    <t>TP_SGPIO_SATA_DATA1_R</t>
  </si>
  <si>
    <t xml:space="preserve">J8A1.53, </t>
  </si>
  <si>
    <t>TP_FM_QAT_CBL_PRSNT1_N_R</t>
  </si>
  <si>
    <t xml:space="preserve">J8A1.56, </t>
  </si>
  <si>
    <t>NC_6174</t>
  </si>
  <si>
    <t xml:space="preserve">EU1G2.3, </t>
  </si>
  <si>
    <t>24.00,24.00</t>
  </si>
  <si>
    <t>NC_6179</t>
  </si>
  <si>
    <t xml:space="preserve">EU3P1.28, </t>
  </si>
  <si>
    <t>NC_6180</t>
  </si>
  <si>
    <t xml:space="preserve">EU4D5.1, </t>
  </si>
  <si>
    <t>NC_6181</t>
  </si>
  <si>
    <t xml:space="preserve">EU4D2.3, </t>
  </si>
  <si>
    <t>NC_6184</t>
  </si>
  <si>
    <t xml:space="preserve">EU7A5.28, </t>
  </si>
  <si>
    <t>NC_6189</t>
  </si>
  <si>
    <t xml:space="preserve">U7C1.2616, </t>
  </si>
  <si>
    <t>NC_6192</t>
  </si>
  <si>
    <t xml:space="preserve">U7C1.2623, </t>
  </si>
  <si>
    <t>NC_6199</t>
  </si>
  <si>
    <t xml:space="preserve">U7C1.2123, </t>
  </si>
  <si>
    <t>NC_6203</t>
  </si>
  <si>
    <t xml:space="preserve">U7C1.1593, </t>
  </si>
  <si>
    <t>NC_6204</t>
  </si>
  <si>
    <t xml:space="preserve">U7C1.1447, </t>
  </si>
  <si>
    <t>NC_6207</t>
  </si>
  <si>
    <t xml:space="preserve">U7C1.1604, </t>
  </si>
  <si>
    <t>NC_6208</t>
  </si>
  <si>
    <t xml:space="preserve">U7C1.1883, </t>
  </si>
  <si>
    <t>TP_TPM_SPI_4</t>
  </si>
  <si>
    <t xml:space="preserve">UN8F2.6, </t>
  </si>
  <si>
    <t>TP_TPM_SPI_3</t>
  </si>
  <si>
    <t xml:space="preserve">UN8F2.11, </t>
  </si>
  <si>
    <t>TP_TPM_SPI_2</t>
  </si>
  <si>
    <t xml:space="preserve">UN8F2.12, </t>
  </si>
  <si>
    <t>TP_TPM_SPI_1</t>
  </si>
  <si>
    <t xml:space="preserve">UN8F2.13, </t>
  </si>
  <si>
    <t>TP_TPM_SPI_0</t>
  </si>
  <si>
    <t xml:space="preserve">UN8F2.14, </t>
  </si>
  <si>
    <t>TP_CPLD1_PL11A</t>
  </si>
  <si>
    <t xml:space="preserve">U8D7.163, </t>
  </si>
  <si>
    <t>TP_CPU1_RSVD_TEST_4</t>
  </si>
  <si>
    <t xml:space="preserve">U2D1.579, </t>
  </si>
  <si>
    <t>TP_CPU1_RSVD_TEST_3</t>
  </si>
  <si>
    <t xml:space="preserve">U2D1.549, </t>
  </si>
  <si>
    <t>TP_CPU0_RSVD_TEST_4</t>
  </si>
  <si>
    <t xml:space="preserve">U5D1.579, </t>
  </si>
  <si>
    <t>TP_CPU0_RSVD_TEST_3</t>
  </si>
  <si>
    <t xml:space="preserve">U5D1.549, </t>
  </si>
  <si>
    <t>TP_CPLD1_PT24B</t>
  </si>
  <si>
    <t xml:space="preserve">U8D7.15, </t>
  </si>
  <si>
    <t>TP_VR_PVCCIO_CPU0_MP3</t>
  </si>
  <si>
    <t xml:space="preserve">EU3P1.31, </t>
  </si>
  <si>
    <t>19.00,19.00</t>
  </si>
  <si>
    <t>TP_USB3_P06_TXP</t>
  </si>
  <si>
    <t xml:space="preserve">U7C1.2437, </t>
  </si>
  <si>
    <t>TP_USB3_P06_TXN</t>
  </si>
  <si>
    <t xml:space="preserve">U7C1.2363, </t>
  </si>
  <si>
    <t>TP_USB3_P05_TXP</t>
  </si>
  <si>
    <t xml:space="preserve">U7C1.2219, </t>
  </si>
  <si>
    <t>TP_USB3_P05_TXN</t>
  </si>
  <si>
    <t xml:space="preserve">U7C1.2290, </t>
  </si>
  <si>
    <t>NC_PVCCIN_CPU1_PH3_P31</t>
  </si>
  <si>
    <t xml:space="preserve">EU1D3.31, </t>
  </si>
  <si>
    <t>TP_CPU1_RSVD_304</t>
  </si>
  <si>
    <t xml:space="preserve">U2D1.96, </t>
  </si>
  <si>
    <t>TP_CPU1_RSVD_298</t>
  </si>
  <si>
    <t xml:space="preserve">U2D1.833, </t>
  </si>
  <si>
    <t>TP_CPU1_RSVD_287</t>
  </si>
  <si>
    <t xml:space="preserve">U2D1.2006, </t>
  </si>
  <si>
    <t>TP_CPU1_RSVD_283</t>
  </si>
  <si>
    <t xml:space="preserve">U2D1.2821, </t>
  </si>
  <si>
    <t>TP_CPU0_RSVD_303</t>
  </si>
  <si>
    <t xml:space="preserve">U5D1.99, </t>
  </si>
  <si>
    <t>TP_CPU0_RSVD_299</t>
  </si>
  <si>
    <t xml:space="preserve">U5D1.815, </t>
  </si>
  <si>
    <t>TP_CPU0_RSVD_282</t>
  </si>
  <si>
    <t xml:space="preserve">U5D1.2832, </t>
  </si>
  <si>
    <t>TP_CPU0_RSVD_275</t>
  </si>
  <si>
    <t xml:space="preserve">U5D1.3101, </t>
  </si>
  <si>
    <t>TP_CPU1_RSVD_64</t>
  </si>
  <si>
    <t xml:space="preserve">U2D1.1895, </t>
  </si>
  <si>
    <t>TP_CPU0_RSVD_64</t>
  </si>
  <si>
    <t xml:space="preserve">U5D1.1895, </t>
  </si>
  <si>
    <t>TP_CPU1_RSVD_9</t>
  </si>
  <si>
    <t xml:space="preserve">U2D1.3003, </t>
  </si>
  <si>
    <t>TP_CPU1_RSVD_8</t>
  </si>
  <si>
    <t xml:space="preserve">U2D1.3008, </t>
  </si>
  <si>
    <t>TP_CPU1_RSVD_73</t>
  </si>
  <si>
    <t xml:space="preserve">U2D1.1746, </t>
  </si>
  <si>
    <t>TP_CPU1_RSVD_72</t>
  </si>
  <si>
    <t xml:space="preserve">U2D1.1784, </t>
  </si>
  <si>
    <t>TP_CPU1_RSVD_70</t>
  </si>
  <si>
    <t xml:space="preserve">U2D1.1813, </t>
  </si>
  <si>
    <t>TP_CPU1_RSVD_7</t>
  </si>
  <si>
    <t xml:space="preserve">U2D1.3019, </t>
  </si>
  <si>
    <t>TP_CPU1_RSVD_69</t>
  </si>
  <si>
    <t xml:space="preserve">U2D1.1822, </t>
  </si>
  <si>
    <t>TP_CPU1_RSVD_67</t>
  </si>
  <si>
    <t xml:space="preserve">U2D1.1854, </t>
  </si>
  <si>
    <t>TP_CPU1_RSVD_66</t>
  </si>
  <si>
    <t xml:space="preserve">U2D1.1855, </t>
  </si>
  <si>
    <t>TP_CPU1_RSVD_61</t>
  </si>
  <si>
    <t xml:space="preserve">U2D1.1932, </t>
  </si>
  <si>
    <t>TP_CPU1_RSVD_5</t>
  </si>
  <si>
    <t xml:space="preserve">U2D1.3036, </t>
  </si>
  <si>
    <t>TP_CPU1_RSVD_46</t>
  </si>
  <si>
    <t xml:space="preserve">U2D1.2132, </t>
  </si>
  <si>
    <t>TP_CPU1_RSVD_45</t>
  </si>
  <si>
    <t xml:space="preserve">U2D1.2173, </t>
  </si>
  <si>
    <t>TP_CPU1_RSVD_44</t>
  </si>
  <si>
    <t xml:space="preserve">U2D1.2290, </t>
  </si>
  <si>
    <t>TP_CPU1_RSVD_43</t>
  </si>
  <si>
    <t xml:space="preserve">U2D1.2306, </t>
  </si>
  <si>
    <t>TP_CPU1_RSVD_42</t>
  </si>
  <si>
    <t xml:space="preserve">U2D1.2346, </t>
  </si>
  <si>
    <t>TP_CPU1_RSVD_41</t>
  </si>
  <si>
    <t xml:space="preserve">U2D1.2373, </t>
  </si>
  <si>
    <t>TP_CPU1_RSVD_40</t>
  </si>
  <si>
    <t xml:space="preserve">U2D1.2390, </t>
  </si>
  <si>
    <t>TP_CPU1_RSVD_4</t>
  </si>
  <si>
    <t xml:space="preserve">U2D1.3037, </t>
  </si>
  <si>
    <t>TP_CPU1_RSVD_39</t>
  </si>
  <si>
    <t xml:space="preserve">U2D1.2403, </t>
  </si>
  <si>
    <t>TP_CPU1_RSVD_38</t>
  </si>
  <si>
    <t xml:space="preserve">U2D1.2415, </t>
  </si>
  <si>
    <t>TP_CPU1_RSVD_37</t>
  </si>
  <si>
    <t xml:space="preserve">U2D1.2429, </t>
  </si>
  <si>
    <t>TP_CPU1_RSVD_36</t>
  </si>
  <si>
    <t xml:space="preserve">U2D1.2430, </t>
  </si>
  <si>
    <t>TP_CPU1_RSVD_35</t>
  </si>
  <si>
    <t xml:space="preserve">U2D1.2457, </t>
  </si>
  <si>
    <t>TP_CPU1_RSVD_34</t>
  </si>
  <si>
    <t xml:space="preserve">U2D1.2473, </t>
  </si>
  <si>
    <t>TP_CPU1_RSVD_33</t>
  </si>
  <si>
    <t xml:space="preserve">U2D1.30, </t>
  </si>
  <si>
    <t>TP_CPU1_RSVD_32</t>
  </si>
  <si>
    <t xml:space="preserve">U2D1.2513, </t>
  </si>
  <si>
    <t>TP_CPU1_RSVD_31</t>
  </si>
  <si>
    <t xml:space="preserve">U2D1.2515, </t>
  </si>
  <si>
    <t>TP_CPU1_RSVD_30</t>
  </si>
  <si>
    <t xml:space="preserve">U2D1.2529, </t>
  </si>
  <si>
    <t>TP_CPU1_RSVD_3</t>
  </si>
  <si>
    <t xml:space="preserve">U2D1.3039, </t>
  </si>
  <si>
    <t>TP_CPU1_RSVD_29</t>
  </si>
  <si>
    <t xml:space="preserve">U2D1.2554, </t>
  </si>
  <si>
    <t>TP_CPU1_RSVD_28</t>
  </si>
  <si>
    <t xml:space="preserve">U2D1.2586, </t>
  </si>
  <si>
    <t>TP_CPU1_RSVD_27</t>
  </si>
  <si>
    <t xml:space="preserve">U2D1.2641, </t>
  </si>
  <si>
    <t>TP_CPU1_RSVD_26</t>
  </si>
  <si>
    <t xml:space="preserve">U2D1.2669, </t>
  </si>
  <si>
    <t>TP_CPU1_RSVD_25</t>
  </si>
  <si>
    <t xml:space="preserve">U2D1.2718, </t>
  </si>
  <si>
    <t>TP_CPU1_RSVD_24</t>
  </si>
  <si>
    <t xml:space="preserve">U2D1.2724, </t>
  </si>
  <si>
    <t>TP_CPU1_RSVD_23</t>
  </si>
  <si>
    <t xml:space="preserve">U2D1.2752, </t>
  </si>
  <si>
    <t>TP_CPU1_RSVD_22</t>
  </si>
  <si>
    <t xml:space="preserve">U2D1.2753, </t>
  </si>
  <si>
    <t>TP_CPU1_RSVD_2</t>
  </si>
  <si>
    <t xml:space="preserve">U2D1.3051, </t>
  </si>
  <si>
    <t>TP_CPU1_RSVD_19</t>
  </si>
  <si>
    <t xml:space="preserve">U2D1.2873, </t>
  </si>
  <si>
    <t>TP_CPU1_RSVD_18</t>
  </si>
  <si>
    <t xml:space="preserve">U2D1.2904, </t>
  </si>
  <si>
    <t>TP_CPU1_RSVD_16</t>
  </si>
  <si>
    <t xml:space="preserve">U2D1.2933, </t>
  </si>
  <si>
    <t>TP_CPU1_RSVD_15</t>
  </si>
  <si>
    <t xml:space="preserve">U2D1.2938, </t>
  </si>
  <si>
    <t>TP_CPU1_RSVD_13</t>
  </si>
  <si>
    <t xml:space="preserve">U2D1.2951, </t>
  </si>
  <si>
    <t>TP_CPU1_RSVD_12</t>
  </si>
  <si>
    <t xml:space="preserve">U2D1.2970, </t>
  </si>
  <si>
    <t>TP_CPU1_RSVD_11</t>
  </si>
  <si>
    <t xml:space="preserve">U2D1.2984, </t>
  </si>
  <si>
    <t>TP_CPU1_RSVD_10</t>
  </si>
  <si>
    <t xml:space="preserve">U2D1.2987, </t>
  </si>
  <si>
    <t>TP_CPU1_RSVD_1</t>
  </si>
  <si>
    <t xml:space="preserve">U2D1.3053, </t>
  </si>
  <si>
    <t>TP_CPU1_RSVD_0</t>
  </si>
  <si>
    <t xml:space="preserve">U2D1.3054, </t>
  </si>
  <si>
    <t>TP_CPU1_KTI2_DFX_DN</t>
  </si>
  <si>
    <t xml:space="preserve">U2D1.1912, </t>
  </si>
  <si>
    <t>TP_CPU1_KTI2_AMONV</t>
  </si>
  <si>
    <t xml:space="preserve">U2D1.1712, </t>
  </si>
  <si>
    <t>TP_CPU0_RSVD_9</t>
  </si>
  <si>
    <t xml:space="preserve">U5D1.3003, </t>
  </si>
  <si>
    <t>TP_CPU0_RSVD_8</t>
  </si>
  <si>
    <t xml:space="preserve">U5D1.3008, </t>
  </si>
  <si>
    <t>TP_CPU0_RSVD_73</t>
  </si>
  <si>
    <t xml:space="preserve">U5D1.1746, </t>
  </si>
  <si>
    <t>TP_CPU0_RSVD_72</t>
  </si>
  <si>
    <t xml:space="preserve">U5D1.1784, </t>
  </si>
  <si>
    <t>TP_CPU0_RSVD_70</t>
  </si>
  <si>
    <t xml:space="preserve">U5D1.1813, </t>
  </si>
  <si>
    <t>TP_CPU0_RSVD_7</t>
  </si>
  <si>
    <t xml:space="preserve">U5D1.3019, </t>
  </si>
  <si>
    <t>TP_CPU0_RSVD_67</t>
  </si>
  <si>
    <t xml:space="preserve">U5D1.1854, </t>
  </si>
  <si>
    <t>TP_CPU0_RSVD_66</t>
  </si>
  <si>
    <t xml:space="preserve">U5D1.1855, </t>
  </si>
  <si>
    <t>TP_CPU0_RSVD_61</t>
  </si>
  <si>
    <t xml:space="preserve">U5D1.1932, </t>
  </si>
  <si>
    <t>TP_CPU0_RSVD_60</t>
  </si>
  <si>
    <t xml:space="preserve">U5D1.1933, </t>
  </si>
  <si>
    <t>TP_CPU0_RSVD_6</t>
  </si>
  <si>
    <t xml:space="preserve">U5D1.3026, </t>
  </si>
  <si>
    <t>TP_CPU0_RSVD_59</t>
  </si>
  <si>
    <t xml:space="preserve">U5D1.1953, </t>
  </si>
  <si>
    <t>TP_CPU0_RSVD_57</t>
  </si>
  <si>
    <t xml:space="preserve">U5D1.1962, </t>
  </si>
  <si>
    <t>TP_CPU0_RSVD_56</t>
  </si>
  <si>
    <t xml:space="preserve">U5D1.1969, </t>
  </si>
  <si>
    <t>TP_CPU0_RSVD_55</t>
  </si>
  <si>
    <t xml:space="preserve">U5D1.1971, </t>
  </si>
  <si>
    <t>TP_CPU0_RSVD_54</t>
  </si>
  <si>
    <t xml:space="preserve">U5D1.1974, </t>
  </si>
  <si>
    <t>TP_CPU0_RSVD_53</t>
  </si>
  <si>
    <t xml:space="preserve">U5D1.1980, </t>
  </si>
  <si>
    <t>TP_CPU0_RSVD_51</t>
  </si>
  <si>
    <t xml:space="preserve">U5D1.2041, </t>
  </si>
  <si>
    <t>TP_CPU0_RSVD_50</t>
  </si>
  <si>
    <t xml:space="preserve">U5D1.2047, </t>
  </si>
  <si>
    <t>TP_CPU0_RSVD_5</t>
  </si>
  <si>
    <t xml:space="preserve">U5D1.3036, </t>
  </si>
  <si>
    <t>TP_CPU0_RSVD_49</t>
  </si>
  <si>
    <t xml:space="preserve">U5D1.2048, </t>
  </si>
  <si>
    <t>TP_CPU0_RSVD_48</t>
  </si>
  <si>
    <t xml:space="preserve">U5D1.2049, </t>
  </si>
  <si>
    <t>TP_CPU0_RSVD_47</t>
  </si>
  <si>
    <t xml:space="preserve">U5D1.2129, </t>
  </si>
  <si>
    <t>TP_CPU0_RSVD_46</t>
  </si>
  <si>
    <t xml:space="preserve">U5D1.2132, </t>
  </si>
  <si>
    <t>TP_CPU0_RSVD_45</t>
  </si>
  <si>
    <t xml:space="preserve">U5D1.2173, </t>
  </si>
  <si>
    <t>TP_CPU0_RSVD_44</t>
  </si>
  <si>
    <t xml:space="preserve">U5D1.2290, </t>
  </si>
  <si>
    <t>TP_CPU0_RSVD_43</t>
  </si>
  <si>
    <t xml:space="preserve">U5D1.2306, </t>
  </si>
  <si>
    <t>TP_CPU0_RSVD_42</t>
  </si>
  <si>
    <t xml:space="preserve">U5D1.2346, </t>
  </si>
  <si>
    <t>TP_CPU0_RSVD_41</t>
  </si>
  <si>
    <t xml:space="preserve">U5D1.2373, </t>
  </si>
  <si>
    <t>TP_CPU0_RSVD_40</t>
  </si>
  <si>
    <t xml:space="preserve">U5D1.2390, </t>
  </si>
  <si>
    <t>TP_CPU0_RSVD_4</t>
  </si>
  <si>
    <t xml:space="preserve">U5D1.3037, </t>
  </si>
  <si>
    <t>TP_CPU0_RSVD_39</t>
  </si>
  <si>
    <t xml:space="preserve">U5D1.2403, </t>
  </si>
  <si>
    <t>TP_CPU0_RSVD_38</t>
  </si>
  <si>
    <t xml:space="preserve">U5D1.2415, </t>
  </si>
  <si>
    <t>TP_CPU0_RSVD_37</t>
  </si>
  <si>
    <t xml:space="preserve">U5D1.2429, </t>
  </si>
  <si>
    <t>TP_CPU0_RSVD_36</t>
  </si>
  <si>
    <t xml:space="preserve">U5D1.2430, </t>
  </si>
  <si>
    <t>TP_CPU0_RSVD_35</t>
  </si>
  <si>
    <t xml:space="preserve">U5D1.2457, </t>
  </si>
  <si>
    <t>TP_CPU0_RSVD_34</t>
  </si>
  <si>
    <t xml:space="preserve">U5D1.2473, </t>
  </si>
  <si>
    <t>TP_CPU0_RSVD_33</t>
  </si>
  <si>
    <t xml:space="preserve">U5D1.30, </t>
  </si>
  <si>
    <t>TP_CPU0_RSVD_32</t>
  </si>
  <si>
    <t xml:space="preserve">U5D1.2513, </t>
  </si>
  <si>
    <t>TP_CPU0_RSVD_31</t>
  </si>
  <si>
    <t xml:space="preserve">U5D1.2515, </t>
  </si>
  <si>
    <t>TP_CPU0_RSVD_30</t>
  </si>
  <si>
    <t xml:space="preserve">U5D1.2529, </t>
  </si>
  <si>
    <t>TP_CPU0_RSVD_3</t>
  </si>
  <si>
    <t xml:space="preserve">U5D1.3039, </t>
  </si>
  <si>
    <t>TP_CPU0_RSVD_29</t>
  </si>
  <si>
    <t xml:space="preserve">U5D1.2554, </t>
  </si>
  <si>
    <t>TP_CPU0_RSVD_28</t>
  </si>
  <si>
    <t xml:space="preserve">U5D1.2586, </t>
  </si>
  <si>
    <t>TP_CPU0_RSVD_27</t>
  </si>
  <si>
    <t xml:space="preserve">U5D1.2641, </t>
  </si>
  <si>
    <t>TP_CPU0_RSVD_26</t>
  </si>
  <si>
    <t xml:space="preserve">U5D1.2669, </t>
  </si>
  <si>
    <t>TP_CPU0_RSVD_25</t>
  </si>
  <si>
    <t xml:space="preserve">U5D1.2718, </t>
  </si>
  <si>
    <t>TP_CPU0_RSVD_24</t>
  </si>
  <si>
    <t xml:space="preserve">U5D1.2724, </t>
  </si>
  <si>
    <t>TP_CPU0_RSVD_23</t>
  </si>
  <si>
    <t xml:space="preserve">U5D1.2752, </t>
  </si>
  <si>
    <t>TP_CPU0_RSVD_22</t>
  </si>
  <si>
    <t xml:space="preserve">U5D1.2753, </t>
  </si>
  <si>
    <t>TP_CPU0_RSVD_2</t>
  </si>
  <si>
    <t xml:space="preserve">U5D1.3051, </t>
  </si>
  <si>
    <t>TP_CPU0_RSVD_19</t>
  </si>
  <si>
    <t xml:space="preserve">U5D1.2873, </t>
  </si>
  <si>
    <t>TP_CPU0_RSVD_16</t>
  </si>
  <si>
    <t xml:space="preserve">U5D1.2933, </t>
  </si>
  <si>
    <t>TP_CPU0_RSVD_15</t>
  </si>
  <si>
    <t xml:space="preserve">U5D1.2938, </t>
  </si>
  <si>
    <t>TP_CPU0_RSVD_13</t>
  </si>
  <si>
    <t xml:space="preserve">U5D1.2951, </t>
  </si>
  <si>
    <t>TP_CPU0_RSVD_12</t>
  </si>
  <si>
    <t xml:space="preserve">U5D1.2970, </t>
  </si>
  <si>
    <t>TP_CPU0_RSVD_11</t>
  </si>
  <si>
    <t xml:space="preserve">U5D1.2984, </t>
  </si>
  <si>
    <t>TP_CPU0_RSVD_10</t>
  </si>
  <si>
    <t xml:space="preserve">U5D1.2987, </t>
  </si>
  <si>
    <t>TP_CPU0_RSVD_1</t>
  </si>
  <si>
    <t xml:space="preserve">U5D1.3053, </t>
  </si>
  <si>
    <t>TP_CPU0_RSVD_0</t>
  </si>
  <si>
    <t xml:space="preserve">U5D1.3054, </t>
  </si>
  <si>
    <t>TP_CPU0_KTI2_DFX_DN</t>
  </si>
  <si>
    <t xml:space="preserve">U5D1.1912, </t>
  </si>
  <si>
    <t>TP_CPU0_KTI2_AMONV</t>
  </si>
  <si>
    <t xml:space="preserve">U5D1.1712, </t>
  </si>
  <si>
    <t>TP_CPU1_RSVD_60</t>
  </si>
  <si>
    <t xml:space="preserve">U2D1.1933, </t>
  </si>
  <si>
    <t>TP_CPU1_RSVD_59</t>
  </si>
  <si>
    <t xml:space="preserve">U2D1.1953, </t>
  </si>
  <si>
    <t>TP_CPU1_RSVD_57</t>
  </si>
  <si>
    <t xml:space="preserve">U2D1.1962, </t>
  </si>
  <si>
    <t>TP_CPU1_RSVD_56</t>
  </si>
  <si>
    <t xml:space="preserve">U2D1.1969, </t>
  </si>
  <si>
    <t>TP_CPU1_RSVD_55</t>
  </si>
  <si>
    <t xml:space="preserve">U2D1.1971, </t>
  </si>
  <si>
    <t>TP_CPU1_RSVD_54</t>
  </si>
  <si>
    <t xml:space="preserve">U2D1.1974, </t>
  </si>
  <si>
    <t>TP_CPU1_RSVD_53</t>
  </si>
  <si>
    <t xml:space="preserve">U2D1.1980, </t>
  </si>
  <si>
    <t>TP_CPU1_RSVD_51</t>
  </si>
  <si>
    <t xml:space="preserve">U2D1.2041, </t>
  </si>
  <si>
    <t>TP_CPU1_RSVD_50</t>
  </si>
  <si>
    <t xml:space="preserve">U2D1.2047, </t>
  </si>
  <si>
    <t>TP_CPU1_RSVD_49</t>
  </si>
  <si>
    <t xml:space="preserve">U2D1.2048, </t>
  </si>
  <si>
    <t>TP_CPU1_RSVD_48</t>
  </si>
  <si>
    <t xml:space="preserve">U2D1.2049, </t>
  </si>
  <si>
    <t>TP_CPU1_RSVD_47</t>
  </si>
  <si>
    <t xml:space="preserve">U2D1.2129, </t>
  </si>
  <si>
    <t>TP_PVCCIN_CPU1_FAULT1_20</t>
  </si>
  <si>
    <t xml:space="preserve">EU1C2.40, </t>
  </si>
  <si>
    <t>TP_CPU1_RSVD_199</t>
  </si>
  <si>
    <t xml:space="preserve">U2D1.595, </t>
  </si>
  <si>
    <t>TP_CPU1_RSVD_198</t>
  </si>
  <si>
    <t xml:space="preserve">U2D1.596, </t>
  </si>
  <si>
    <t>TP_CPU1_RSVD_194</t>
  </si>
  <si>
    <t xml:space="preserve">U2D1.624, </t>
  </si>
  <si>
    <t>TP_PVCCIN_CPU1_AISEN6</t>
  </si>
  <si>
    <t xml:space="preserve">EU1C2.34, </t>
  </si>
  <si>
    <t>TP_PVCCIN_CPU0_AISEN6</t>
  </si>
  <si>
    <t xml:space="preserve">EU4D4.34, </t>
  </si>
  <si>
    <t>TP_FET_Q56_3</t>
  </si>
  <si>
    <t xml:space="preserve">Q1L4.3, </t>
  </si>
  <si>
    <t>TP_PCH_GPP_F12</t>
  </si>
  <si>
    <t xml:space="preserve">U7C1.1015, </t>
  </si>
  <si>
    <t>TP_USB3_P03_TXP</t>
  </si>
  <si>
    <t xml:space="preserve">U7C1.2504, </t>
  </si>
  <si>
    <t>TP_USB3_P03_TXN</t>
  </si>
  <si>
    <t xml:space="preserve">U7C1.2430, </t>
  </si>
  <si>
    <t>TP_USB3_P02_TXP</t>
  </si>
  <si>
    <t xml:space="preserve">U7C1.2216, </t>
  </si>
  <si>
    <t>TP_USB3_P02_TXN</t>
  </si>
  <si>
    <t xml:space="preserve">U7C1.2360, </t>
  </si>
  <si>
    <t>TP_SLG55021_P3V3_8</t>
  </si>
  <si>
    <t xml:space="preserve">EU2T1.8, </t>
  </si>
  <si>
    <t>TP_PVNN_PCH_RESET_N</t>
  </si>
  <si>
    <t xml:space="preserve">EU8A1.8, </t>
  </si>
  <si>
    <t>TP_PVCCIO_CPU1_RESET_N</t>
  </si>
  <si>
    <t xml:space="preserve">EU4D5.8, </t>
  </si>
  <si>
    <t>TP_PVCCIN_CPU1_AIREF6</t>
  </si>
  <si>
    <t xml:space="preserve">EU1C2.33, </t>
  </si>
  <si>
    <t>TP_PVCCIN_CPU0_AIREF6</t>
  </si>
  <si>
    <t xml:space="preserve">EU4D4.33, </t>
  </si>
  <si>
    <t>NC_PVDDQ_KLM_DNC1</t>
  </si>
  <si>
    <t xml:space="preserve">EU1B1.28, </t>
  </si>
  <si>
    <t>TP_CPU0_RSVD_255</t>
  </si>
  <si>
    <t xml:space="preserve">U5D1.805, </t>
  </si>
  <si>
    <t>TP_PM_SYNC_GTL</t>
  </si>
  <si>
    <t xml:space="preserve">U7C1.4183, </t>
  </si>
  <si>
    <t>TP_CPU1_DMI_RX_DP3</t>
  </si>
  <si>
    <t xml:space="preserve">U2D1.1869, </t>
  </si>
  <si>
    <t>TP_CPU1_DMI_RX_DP2</t>
  </si>
  <si>
    <t xml:space="preserve">U2D1.1737, </t>
  </si>
  <si>
    <t>TP_CPU1_DMI_RX_DP1</t>
  </si>
  <si>
    <t xml:space="preserve">U2D1.1706, </t>
  </si>
  <si>
    <t>TP_CPU1_DMI_RX_DP0</t>
  </si>
  <si>
    <t xml:space="preserve">U2D1.1646, </t>
  </si>
  <si>
    <t>TP_CPU1_DMI_RX_DN3</t>
  </si>
  <si>
    <t xml:space="preserve">U2D1.1798, </t>
  </si>
  <si>
    <t>TP_CPU1_DMI_RX_DN2</t>
  </si>
  <si>
    <t xml:space="preserve">U2D1.1767, </t>
  </si>
  <si>
    <t>TP_CPU1_DMI_RX_DN1</t>
  </si>
  <si>
    <t xml:space="preserve">U2D1.1677, </t>
  </si>
  <si>
    <t>TP_CPU1_DMI_RX_DN0</t>
  </si>
  <si>
    <t xml:space="preserve">U2D1.1645, </t>
  </si>
  <si>
    <t>TP_HFI_IO_CONN0_RSVD_17</t>
  </si>
  <si>
    <t xml:space="preserve">J8B1.17, </t>
  </si>
  <si>
    <t>TP_XDP_OBSDATA_A3</t>
  </si>
  <si>
    <t xml:space="preserve">J9A3.17, </t>
  </si>
  <si>
    <t>TP_XDP_OBSDATA_A2</t>
  </si>
  <si>
    <t xml:space="preserve">J9A3.15, </t>
  </si>
  <si>
    <t>TP_XDP_OBSDATA_A1</t>
  </si>
  <si>
    <t xml:space="preserve">J9A3.11, </t>
  </si>
  <si>
    <t>TP_USB_ESD_OUT2</t>
  </si>
  <si>
    <t xml:space="preserve">CR1M2.7, </t>
  </si>
  <si>
    <t>TP_XDP_CPU1_OBSDATA_B3_MBP5_N</t>
  </si>
  <si>
    <t xml:space="preserve">U2D1.3606, </t>
  </si>
  <si>
    <t>TP_XDP_CPU1_OBSDATA_B2_MBP4_N</t>
  </si>
  <si>
    <t xml:space="preserve">U2D1.102, </t>
  </si>
  <si>
    <t>TP_XDP_CPU1_OBSDATA_B1_MBP3_N</t>
  </si>
  <si>
    <t xml:space="preserve">U2D1.314, </t>
  </si>
  <si>
    <t>TP_XDP_CPU1_OBSDATA_B0_MBP2_N</t>
  </si>
  <si>
    <t xml:space="preserve">U2D1.356, </t>
  </si>
  <si>
    <t>TP_XDP_CPU0_OBSDATA_A1_MBP3_N</t>
  </si>
  <si>
    <t xml:space="preserve">U5D1.314, </t>
  </si>
  <si>
    <t>TP_XDP_CPU0_OBSDATA_A0_MBP2_N</t>
  </si>
  <si>
    <t xml:space="preserve">U5D1.356, </t>
  </si>
  <si>
    <t>TP_P3E_CPU1_PE1_MP_TXP&lt;5&gt;</t>
  </si>
  <si>
    <t xml:space="preserve">U2D1.2328, </t>
  </si>
  <si>
    <t>TP_P3E_CPU1_PE1_MP_TXP&lt;3&gt;</t>
  </si>
  <si>
    <t xml:space="preserve">U2D1.2125, </t>
  </si>
  <si>
    <t>TP_P3E_CPU1_PE1_MP_TXP&lt;1&gt;</t>
  </si>
  <si>
    <t xml:space="preserve">U2D1.2067, </t>
  </si>
  <si>
    <t>TP_P3E_CPU1_PE1_MP_TXP&lt;0&gt;</t>
  </si>
  <si>
    <t xml:space="preserve">U2D1.1910, </t>
  </si>
  <si>
    <t>TP_P3E_CPU1_PE1_MP_TXN&lt;7&gt;</t>
  </si>
  <si>
    <t xml:space="preserve">U2D1.2500, </t>
  </si>
  <si>
    <t>TP_P3E_CPU1_PE1_MP_TXN&lt;6&gt;</t>
  </si>
  <si>
    <t xml:space="preserve">U2D1.11, </t>
  </si>
  <si>
    <t>TP_P3E_CPU1_PE1_MP_TXN&lt;4&gt;</t>
  </si>
  <si>
    <t xml:space="preserve">U2D1.2292, </t>
  </si>
  <si>
    <t>TP_P3E_CPU1_PE1_MP_TXN&lt;3&gt;</t>
  </si>
  <si>
    <t xml:space="preserve">U2D1.2209, </t>
  </si>
  <si>
    <t>TP_P3E_CPU1_PE1_MP_TXN&lt;2&gt;</t>
  </si>
  <si>
    <t xml:space="preserve">U2D1.2198, </t>
  </si>
  <si>
    <t>TP_P3E_CPU1_PE1_MP_RXP&lt;7&gt;</t>
  </si>
  <si>
    <t xml:space="preserve">U2D1.2442, </t>
  </si>
  <si>
    <t>TP_P3E_CPU1_PE1_MP_RXP&lt;6&gt;</t>
  </si>
  <si>
    <t xml:space="preserve">U2D1.2397, </t>
  </si>
  <si>
    <t>TP_P3E_CPU1_PE1_MP_RXP&lt;5&gt;</t>
  </si>
  <si>
    <t xml:space="preserve">U2D1.2275, </t>
  </si>
  <si>
    <t>TP_P3E_CPU1_PE1_MP_RXP&lt;4&gt;</t>
  </si>
  <si>
    <t xml:space="preserve">U2D1.2192, </t>
  </si>
  <si>
    <t>TP_P3E_CPU1_PE1_MP_RXP&lt;3&gt;</t>
  </si>
  <si>
    <t xml:space="preserve">U2D1.2024, </t>
  </si>
  <si>
    <t>TP_P3E_CPU1_PE1_MP_RXP&lt;2&gt;</t>
  </si>
  <si>
    <t xml:space="preserve">U2D1.2108, </t>
  </si>
  <si>
    <t>TP_P3E_CPU1_PE1_MP_RXP&lt;1&gt;</t>
  </si>
  <si>
    <t xml:space="preserve">U2D1.1978, </t>
  </si>
  <si>
    <t>TP_P3E_CPU1_PE1_MP_RXP&lt;0&gt;</t>
  </si>
  <si>
    <t xml:space="preserve">U2D1.1863, </t>
  </si>
  <si>
    <t>TP_P3E_CPU1_PE1_MP_RXN&lt;7&gt;</t>
  </si>
  <si>
    <t xml:space="preserve">U2D1.41, </t>
  </si>
  <si>
    <t>TP_P3E_CPU1_PE1_MP_RXN&lt;6&gt;</t>
  </si>
  <si>
    <t xml:space="preserve">U2D1.2441, </t>
  </si>
  <si>
    <t>TP_P3E_CPU1_PE1_MP_RXN&lt;5&gt;</t>
  </si>
  <si>
    <t xml:space="preserve">U2D1.2358, </t>
  </si>
  <si>
    <t>TP_P3E_CPU1_PE1_MP_RXN&lt;4&gt;</t>
  </si>
  <si>
    <t xml:space="preserve">U2D1.2193, </t>
  </si>
  <si>
    <t>TP_P3E_CPU1_PE1_MP_RXN&lt;3&gt;</t>
  </si>
  <si>
    <t xml:space="preserve">U2D1.2109, </t>
  </si>
  <si>
    <t>TP_P3E_CPU1_PE1_MP_RXN&lt;2&gt;</t>
  </si>
  <si>
    <t xml:space="preserve">U2D1.2147, </t>
  </si>
  <si>
    <t>TP_P3E_CPU1_PE1_MP_RXN&lt;1&gt;</t>
  </si>
  <si>
    <t xml:space="preserve">U2D1.2062, </t>
  </si>
  <si>
    <t>TP_P3E_CPU1_PE1_MP_RXN&lt;0&gt;</t>
  </si>
  <si>
    <t xml:space="preserve">U2D1.1941, </t>
  </si>
  <si>
    <t>TP_CPU1_SOCKET_ID_2</t>
  </si>
  <si>
    <t xml:space="preserve">U2D1.704, </t>
  </si>
  <si>
    <t>TP_CPU0_SOCKET_ID_2</t>
  </si>
  <si>
    <t xml:space="preserve">U5D1.704, </t>
  </si>
  <si>
    <t>TP_CPU0_PROCDIS_G_N</t>
  </si>
  <si>
    <t xml:space="preserve">U5D1.147, </t>
  </si>
  <si>
    <t>TP_PCH_RSVD25</t>
  </si>
  <si>
    <t xml:space="preserve">U7C1.3936, </t>
  </si>
  <si>
    <t>TP_PCH_RSVD24</t>
  </si>
  <si>
    <t xml:space="preserve">U7C1.3932, </t>
  </si>
  <si>
    <t>TP_CPLD1_PB16B_PCLKC2_1</t>
  </si>
  <si>
    <t xml:space="preserve">U8D7.217, </t>
  </si>
  <si>
    <t>TP_CPLD1_PL7D_PCLKT4_0</t>
  </si>
  <si>
    <t xml:space="preserve">U8D7.131, </t>
  </si>
  <si>
    <t>TP_CPLD1_PT22D</t>
  </si>
  <si>
    <t xml:space="preserve">U8D7.14, </t>
  </si>
  <si>
    <t>TP_CPLD1_PR7A_PCLKT1_0</t>
  </si>
  <si>
    <t xml:space="preserve">U8D7.126, </t>
  </si>
  <si>
    <t>TP_CPU1_RSVD_183</t>
  </si>
  <si>
    <t xml:space="preserve">U2D1.775, </t>
  </si>
  <si>
    <t>TP_CPU1_RSVD_181</t>
  </si>
  <si>
    <t xml:space="preserve">U2D1.796, </t>
  </si>
  <si>
    <t>TP_CPU1_RSVD_180</t>
  </si>
  <si>
    <t xml:space="preserve">U2D1.801, </t>
  </si>
  <si>
    <t>TP_CPU1_RSVD_177</t>
  </si>
  <si>
    <t xml:space="preserve">U2D1.844, </t>
  </si>
  <si>
    <t>TP_CPU1_RSVD_176</t>
  </si>
  <si>
    <t xml:space="preserve">U2D1.845, </t>
  </si>
  <si>
    <t>TP_CPU0_RSVD_177</t>
  </si>
  <si>
    <t xml:space="preserve">U5D1.844, </t>
  </si>
  <si>
    <t>TP_CPU0_RSVD_280</t>
  </si>
  <si>
    <t xml:space="preserve">U5D1.2854, </t>
  </si>
  <si>
    <t>TP_CPU0_RSVD_179</t>
  </si>
  <si>
    <t xml:space="preserve">U5D1.802, </t>
  </si>
  <si>
    <t>TP_PVNN_PCH_SVID_ALERT</t>
  </si>
  <si>
    <t xml:space="preserve">EU8A1.17, </t>
  </si>
  <si>
    <t>TP_SPI_1_4</t>
  </si>
  <si>
    <t xml:space="preserve">U3T1.6, </t>
  </si>
  <si>
    <t>TP_SPI_1_5</t>
  </si>
  <si>
    <t xml:space="preserve">U3T1.5, </t>
  </si>
  <si>
    <t>TP_SPI_1_6</t>
  </si>
  <si>
    <t xml:space="preserve">U3T1.4, </t>
  </si>
  <si>
    <t>TP_PVCCIO_CPU0_BVSEN</t>
  </si>
  <si>
    <t xml:space="preserve">EU3P1.29, </t>
  </si>
  <si>
    <t>TP_PVCCIO_CPU0_BVREF</t>
  </si>
  <si>
    <t xml:space="preserve">EU3P1.30, </t>
  </si>
  <si>
    <t>TP_PVCCIO_CPU0_BIREF1</t>
  </si>
  <si>
    <t xml:space="preserve">EU3P1.25, </t>
  </si>
  <si>
    <t>TP_PVDDQ_KLM_PH3_IMON_REF</t>
  </si>
  <si>
    <t xml:space="preserve">EU1B1.25, </t>
  </si>
  <si>
    <t>TP_PVDDQ_KLM_PH3_IMON</t>
  </si>
  <si>
    <t xml:space="preserve">EU1B1.26, </t>
  </si>
  <si>
    <t>TP_PVDDQ_DEF_PWM3</t>
  </si>
  <si>
    <t xml:space="preserve">EU7A5.3, </t>
  </si>
  <si>
    <t>TP_PVDDQ_DEF_PH3_IMON_REF</t>
  </si>
  <si>
    <t xml:space="preserve">EU7A5.25, </t>
  </si>
  <si>
    <t>TP_PVDDQ_KLM_BVSEN</t>
  </si>
  <si>
    <t xml:space="preserve">EU1B1.29, </t>
  </si>
  <si>
    <t>TP_PVDDQ_KLM_BVREF</t>
  </si>
  <si>
    <t xml:space="preserve">EU1B1.30, </t>
  </si>
  <si>
    <t>TP_PVDDQ_KLM_BREF1</t>
  </si>
  <si>
    <t xml:space="preserve">EU1B1.31, </t>
  </si>
  <si>
    <t>TP_PVDDQ_GHJ_BREF1</t>
  </si>
  <si>
    <t xml:space="preserve">EU1G2.31, </t>
  </si>
  <si>
    <t>TP_PVDDQ_DEF_BVSEN</t>
  </si>
  <si>
    <t xml:space="preserve">EU7A5.29, </t>
  </si>
  <si>
    <t>TP_PVDDQ_ABC_BVSEN</t>
  </si>
  <si>
    <t xml:space="preserve">EU7G1.29, </t>
  </si>
  <si>
    <t>TP_PVDDQ_ABC_BVREF</t>
  </si>
  <si>
    <t xml:space="preserve">EU7G1.30, </t>
  </si>
  <si>
    <t>TP_PVDDQ_ABC_BTSEN</t>
  </si>
  <si>
    <t xml:space="preserve">EU7G1.34, </t>
  </si>
  <si>
    <t>TP_PVDDQ_ABC_BREF1</t>
  </si>
  <si>
    <t xml:space="preserve">EU7G1.31, </t>
  </si>
  <si>
    <t>TP_PVDDQ_ABC_PINALRT_N</t>
  </si>
  <si>
    <t xml:space="preserve">EU7G1.12, </t>
  </si>
  <si>
    <t>TP_SMB_DDR_KLM_EN</t>
  </si>
  <si>
    <t xml:space="preserve">U3B1.5, </t>
  </si>
  <si>
    <t>TP_SMB_DDR_DEF_EN</t>
  </si>
  <si>
    <t xml:space="preserve">U7E1.5, </t>
  </si>
  <si>
    <t>TP_PCH_RSVD23</t>
  </si>
  <si>
    <t xml:space="preserve">U7C1.3928, </t>
  </si>
  <si>
    <t>TP_10GBE_KR1_MON_DN</t>
  </si>
  <si>
    <t xml:space="preserve">U7C1.2337, </t>
  </si>
  <si>
    <t>TP_PCH_RSVD42</t>
  </si>
  <si>
    <t xml:space="preserve">U7C1.2056, </t>
  </si>
  <si>
    <t>TP_PCH_RSVD41</t>
  </si>
  <si>
    <t xml:space="preserve">U7C1.2200, </t>
  </si>
  <si>
    <t>TP_PCH_RSVD3</t>
  </si>
  <si>
    <t xml:space="preserve">U7C1.4187, </t>
  </si>
  <si>
    <t>TP_10GBE_KR0_MON_DN</t>
  </si>
  <si>
    <t xml:space="preserve">U7C1.2330, </t>
  </si>
  <si>
    <t>TP_PCH_RSVD37</t>
  </si>
  <si>
    <t xml:space="preserve">U7C1.2477, </t>
  </si>
  <si>
    <t>TP_PCH_RSVD26</t>
  </si>
  <si>
    <t xml:space="preserve">U7C1.2112, </t>
  </si>
  <si>
    <t>TP_PCH_RSVD2</t>
  </si>
  <si>
    <t xml:space="preserve">U7C1.130, </t>
  </si>
  <si>
    <t>TP_PCH_RSVD1</t>
  </si>
  <si>
    <t xml:space="preserve">U7C1.272, </t>
  </si>
  <si>
    <t>TP_PCH_RSVD0</t>
  </si>
  <si>
    <t xml:space="preserve">U7C1.493, </t>
  </si>
  <si>
    <t>TP_PCH_HDA_SYNC</t>
  </si>
  <si>
    <t xml:space="preserve">U7C1.3476, </t>
  </si>
  <si>
    <t>TP_PCH_HDA_SDI_0</t>
  </si>
  <si>
    <t xml:space="preserve">U7C1.3620, </t>
  </si>
  <si>
    <t>TP_PCH_RSVD45</t>
  </si>
  <si>
    <t xml:space="preserve">U7C1.3910, </t>
  </si>
  <si>
    <t>TP_PCH_HDA_BCLK</t>
  </si>
  <si>
    <t xml:space="preserve">U7C1.3906, </t>
  </si>
  <si>
    <t>TP_PCH_HSA_RST_N</t>
  </si>
  <si>
    <t xml:space="preserve">U7C1.3762, </t>
  </si>
  <si>
    <t>TP_PCH_RSVD5</t>
  </si>
  <si>
    <t xml:space="preserve">U7C1.519, </t>
  </si>
  <si>
    <t>TP_PCH_DISPA_SDO</t>
  </si>
  <si>
    <t xml:space="preserve">U7C1.4198, </t>
  </si>
  <si>
    <t>TP_PCH_DISPA_SDI</t>
  </si>
  <si>
    <t xml:space="preserve">U7C1.3980, </t>
  </si>
  <si>
    <t>TP_PCH_DISPA_BCLK</t>
  </si>
  <si>
    <t xml:space="preserve">U7C1.4124, </t>
  </si>
  <si>
    <t>TP_P3E_CPU1_PE2_RSR_TXP&lt;8&gt;</t>
  </si>
  <si>
    <t xml:space="preserve">U2D1.1467, </t>
  </si>
  <si>
    <t>TP_P3E_CPU1_PE2_RSR_TXP&lt;7&gt;</t>
  </si>
  <si>
    <t xml:space="preserve">U2D1.1494, </t>
  </si>
  <si>
    <t>TP_P3E_CPU1_PE2_RSR_TXP&lt;6&gt;</t>
  </si>
  <si>
    <t xml:space="preserve">U2D1.1489, </t>
  </si>
  <si>
    <t>TP_P3E_CPU1_PE2_RSR_TXP&lt;5&gt;</t>
  </si>
  <si>
    <t xml:space="preserve">U2D1.1628, </t>
  </si>
  <si>
    <t>TP_P3E_CPU1_PE2_RSR_TXP&lt;4&gt;</t>
  </si>
  <si>
    <t xml:space="preserve">U2D1.1617, </t>
  </si>
  <si>
    <t>TP_P3E_CPU1_PE2_RSR_TXP&lt;3&gt;</t>
  </si>
  <si>
    <t xml:space="preserve">U2D1.1745, </t>
  </si>
  <si>
    <t>TP_P3E_CPU1_PE2_RSR_TXP&lt;1&gt;</t>
  </si>
  <si>
    <t xml:space="preserve">U2D1.1836, </t>
  </si>
  <si>
    <t>TP_P3E_CPU1_PE2_RSR_TXP&lt;15&gt;</t>
  </si>
  <si>
    <t xml:space="preserve">U2D1.1082, </t>
  </si>
  <si>
    <t>TP_P3E_CPU1_PE2_RSR_TXP&lt;14&gt;</t>
  </si>
  <si>
    <t xml:space="preserve">U2D1.1131, </t>
  </si>
  <si>
    <t>TP_P3E_CPU1_PE2_RSR_TXP&lt;13&gt;</t>
  </si>
  <si>
    <t xml:space="preserve">U2D1.1156, </t>
  </si>
  <si>
    <t>TP_P3E_CPU1_PE2_RSR_TXP&lt;12&gt;</t>
  </si>
  <si>
    <t xml:space="preserve">U2D1.1206, </t>
  </si>
  <si>
    <t>TP_P3E_CPU1_PE2_RSR_TXP&lt;11&gt;</t>
  </si>
  <si>
    <t xml:space="preserve">U2D1.1281, </t>
  </si>
  <si>
    <t>TP_P3E_CPU1_PE2_RSR_TXP&lt;10&gt;</t>
  </si>
  <si>
    <t xml:space="preserve">U2D1.1332, </t>
  </si>
  <si>
    <t>TP_P3E_CPU1_PE2_RSR_TXP&lt;0&gt;</t>
  </si>
  <si>
    <t xml:space="preserve">U2D1.1921, </t>
  </si>
  <si>
    <t>TP_P3E_CPU1_PE2_RSR_TXN&lt;9&gt;</t>
  </si>
  <si>
    <t xml:space="preserve">U2D1.1416, </t>
  </si>
  <si>
    <t>TP_P3E_CPU1_PE2_RSR_TXN&lt;8&gt;</t>
  </si>
  <si>
    <t xml:space="preserve">U2D1.1437, </t>
  </si>
  <si>
    <t>TP_P3E_CPU1_PE2_RSR_TXN&lt;7&gt;</t>
  </si>
  <si>
    <t xml:space="preserve">U2D1.1519, </t>
  </si>
  <si>
    <t>TP_P3E_CPU1_PE2_RSR_TXN&lt;5&gt;</t>
  </si>
  <si>
    <t xml:space="preserve">U2D1.1651, </t>
  </si>
  <si>
    <t>TP_P3E_CPU1_PE2_RSR_TXN&lt;4&gt;</t>
  </si>
  <si>
    <t xml:space="preserve">U2D1.1676, </t>
  </si>
  <si>
    <t>TP_P3E_CPU1_PE2_RSR_TXN&lt;3&gt;</t>
  </si>
  <si>
    <t xml:space="preserve">U2D1.1806, </t>
  </si>
  <si>
    <t>TP_P3E_CPU1_PE2_RSR_TXN&lt;1&gt;</t>
  </si>
  <si>
    <t xml:space="preserve">U2D1.1878, </t>
  </si>
  <si>
    <t>TP_P3E_CPU1_PE2_RSR_TXN&lt;15&gt;</t>
  </si>
  <si>
    <t xml:space="preserve">U2D1.1132, </t>
  </si>
  <si>
    <t>TP_P3E_CPU1_PE2_RSR_TXN&lt;14&gt;</t>
  </si>
  <si>
    <t xml:space="preserve">U2D1.1106, </t>
  </si>
  <si>
    <t>TP_P3E_CPU1_PE2_RSR_TXN&lt;13&gt;</t>
  </si>
  <si>
    <t xml:space="preserve">U2D1.1182, </t>
  </si>
  <si>
    <t>TP_P3E_CPU1_PE2_RSR_TXN&lt;12&gt;</t>
  </si>
  <si>
    <t xml:space="preserve">U2D1.1256, </t>
  </si>
  <si>
    <t>TP_P3E_CPU1_PE2_RSR_TXN&lt;11&gt;</t>
  </si>
  <si>
    <t xml:space="preserve">U2D1.1306, </t>
  </si>
  <si>
    <t>TP_P3E_CPU1_PE2_RSR_TXN&lt;10&gt;</t>
  </si>
  <si>
    <t xml:space="preserve">U2D1.1391, </t>
  </si>
  <si>
    <t>TP_P3E_CPU1_PE2_RSR_RXP&lt;9&gt;</t>
  </si>
  <si>
    <t xml:space="preserve">U2D1.1318, </t>
  </si>
  <si>
    <t>TP_P3E_CPU1_PE2_RSR_RXP&lt;8&gt;</t>
  </si>
  <si>
    <t xml:space="preserve">U2D1.1296, </t>
  </si>
  <si>
    <t>TP_P3E_CPU1_PE2_RSR_RXP&lt;7&gt;</t>
  </si>
  <si>
    <t xml:space="preserve">U2D1.1454, </t>
  </si>
  <si>
    <t>TP_P3E_CPU1_PE2_RSR_RXP&lt;6&gt;</t>
  </si>
  <si>
    <t xml:space="preserve">U2D1.1474, </t>
  </si>
  <si>
    <t>TP_P3E_CPU1_PE2_RSR_RXP&lt;5&gt;</t>
  </si>
  <si>
    <t xml:space="preserve">U2D1.1526, </t>
  </si>
  <si>
    <t>TP_P3E_CPU1_PE2_RSR_RXP&lt;4&gt;</t>
  </si>
  <si>
    <t xml:space="preserve">U2D1.1579, </t>
  </si>
  <si>
    <t>TP_P3E_CPU1_PE2_RSR_RXP&lt;3&gt;</t>
  </si>
  <si>
    <t xml:space="preserve">U2D1.1660, </t>
  </si>
  <si>
    <t>TP_P3E_CPU1_PE2_RSR_RXP&lt;2&gt;</t>
  </si>
  <si>
    <t xml:space="preserve">U2D1.1731, </t>
  </si>
  <si>
    <t>TP_P3E_CPU1_PE2_RSR_RXP&lt;1&gt;</t>
  </si>
  <si>
    <t xml:space="preserve">U2D1.1705, </t>
  </si>
  <si>
    <t>TP_P3E_CPU1_PE2_RSR_RXP&lt;15&gt;</t>
  </si>
  <si>
    <t xml:space="preserve">U2D1.1047, </t>
  </si>
  <si>
    <t>TP_P3E_CPU1_PE2_RSR_RXP&lt;14&gt;</t>
  </si>
  <si>
    <t xml:space="preserve">U2D1.1068, </t>
  </si>
  <si>
    <t>TP_P3E_CPU1_PE2_RSR_RXP&lt;13&gt;</t>
  </si>
  <si>
    <t xml:space="preserve">U2D1.1138, </t>
  </si>
  <si>
    <t>TP_P3E_CPU1_PE2_RSR_RXP&lt;12&gt;</t>
  </si>
  <si>
    <t xml:space="preserve">U2D1.1196, </t>
  </si>
  <si>
    <t>TP_P3E_CPU1_PE2_RSR_RXP&lt;11&gt;</t>
  </si>
  <si>
    <t xml:space="preserve">U2D1.1188, </t>
  </si>
  <si>
    <t>TP_P3E_CPU1_PE2_RSR_RXP&lt;10&gt;</t>
  </si>
  <si>
    <t xml:space="preserve">U2D1.1257, </t>
  </si>
  <si>
    <t>TP_P3E_CPU1_PE2_RSR_RXP&lt;0&gt;</t>
  </si>
  <si>
    <t xml:space="preserve">U2D1.1792, </t>
  </si>
  <si>
    <t>TP_P3E_CPU1_PE2_RSR_RXN&lt;9&gt;</t>
  </si>
  <si>
    <t xml:space="preserve">U2D1.1338, </t>
  </si>
  <si>
    <t>TP_P3E_CPU1_PE2_RSR_RXN&lt;8&gt;</t>
  </si>
  <si>
    <t xml:space="preserve">U2D1.1346, </t>
  </si>
  <si>
    <t>TP_P3E_CPU1_PE2_RSR_RXN&lt;7&gt;</t>
  </si>
  <si>
    <t xml:space="preserve">U2D1.1506, </t>
  </si>
  <si>
    <t>TP_P3E_CPU1_PE2_RSR_RXN&lt;6&gt;</t>
  </si>
  <si>
    <t xml:space="preserve">U2D1.1495, </t>
  </si>
  <si>
    <t>TP_P3E_CPU1_PE2_RSR_RXN&lt;5&gt;</t>
  </si>
  <si>
    <t xml:space="preserve">U2D1.1558, </t>
  </si>
  <si>
    <t>TP_P3E_CPU1_PE2_RSR_RXN&lt;4&gt;</t>
  </si>
  <si>
    <t xml:space="preserve">U2D1.1636, </t>
  </si>
  <si>
    <t>TP_P3E_CPU1_PE2_RSR_RXN&lt;3&gt;</t>
  </si>
  <si>
    <t xml:space="preserve">U2D1.1696, </t>
  </si>
  <si>
    <t>TP_P3E_CPU1_PE2_RSR_RXN&lt;2&gt;</t>
  </si>
  <si>
    <t xml:space="preserve">U2D1.1757, </t>
  </si>
  <si>
    <t>TP_P3E_CPU1_PE2_RSR_RXN&lt;1&gt;</t>
  </si>
  <si>
    <t xml:space="preserve">U2D1.1765, </t>
  </si>
  <si>
    <t>TP_P3E_CPU1_PE2_RSR_RXN&lt;15&gt;</t>
  </si>
  <si>
    <t xml:space="preserve">U2D1.1096, </t>
  </si>
  <si>
    <t>TP_P3E_CPU1_PE2_RSR_RXN&lt;14&gt;</t>
  </si>
  <si>
    <t xml:space="preserve">U2D1.1118, </t>
  </si>
  <si>
    <t>TP_P3E_CPU1_PE2_RSR_RXN&lt;13&gt;</t>
  </si>
  <si>
    <t xml:space="preserve">U2D1.1168, </t>
  </si>
  <si>
    <t>TP_P3E_CPU1_PE2_RSR_RXN&lt;12&gt;</t>
  </si>
  <si>
    <t xml:space="preserve">U2D1.1218, </t>
  </si>
  <si>
    <t>TP_P3E_CPU1_PE2_RSR_RXN&lt;11&gt;</t>
  </si>
  <si>
    <t xml:space="preserve">U2D1.1238, </t>
  </si>
  <si>
    <t>TP_P3E_CPU1_PE2_RSR_RXN&lt;10&gt;</t>
  </si>
  <si>
    <t xml:space="preserve">U2D1.1288, </t>
  </si>
  <si>
    <t>TP_P3E_CPU1_PE2_RSR_RXN&lt;0&gt;</t>
  </si>
  <si>
    <t xml:space="preserve">U2D1.1831, </t>
  </si>
  <si>
    <t>TP_P3E_CPU1_PE1_RSR3_TXP&lt;9&gt;</t>
  </si>
  <si>
    <t xml:space="preserve">U2D1.2655, </t>
  </si>
  <si>
    <t>TP_P3E_CPU1_PE1_RSR3_TXP&lt;8&gt;</t>
  </si>
  <si>
    <t xml:space="preserve">U2D1.2583, </t>
  </si>
  <si>
    <t>TP_P3E_CPU1_PE1_RSR3_TXP&lt;13&gt;</t>
  </si>
  <si>
    <t xml:space="preserve">U2D1.2760, </t>
  </si>
  <si>
    <t>TP_P3E_CPU1_PE1_RSR3_TXP&lt;12&gt;</t>
  </si>
  <si>
    <t xml:space="preserve">U2D1.2640, </t>
  </si>
  <si>
    <t>TP_P3E_CPU1_PE1_RSR3_TXN&lt;8&gt;</t>
  </si>
  <si>
    <t xml:space="preserve">U2D1.2629, </t>
  </si>
  <si>
    <t>TP_P3E_CPU1_PE1_RSR3_TXN&lt;13&gt;</t>
  </si>
  <si>
    <t xml:space="preserve">U2D1.2806, </t>
  </si>
  <si>
    <t>TP_P3E_CPU1_PE1_RSR3_TXN&lt;12&gt;</t>
  </si>
  <si>
    <t xml:space="preserve">U2D1.2723, </t>
  </si>
  <si>
    <t>TP_P3E_CPU1_PE1_RSR3_TXN&lt;11&gt;</t>
  </si>
  <si>
    <t xml:space="preserve">U2D1.2677, </t>
  </si>
  <si>
    <t>TP_P3E_CPU1_PE1_RSR3_TXN&lt;10&gt;</t>
  </si>
  <si>
    <t xml:space="preserve">U2D1.2749, </t>
  </si>
  <si>
    <t>TP_P3E_CPU1_PE1_RSR3_RXP&lt;9&gt;</t>
  </si>
  <si>
    <t xml:space="preserve">U2D1.2484, </t>
  </si>
  <si>
    <t>TP_P3E_CPU1_PE1_RSR3_RXP&lt;8&gt;</t>
  </si>
  <si>
    <t xml:space="preserve">U2D1.2401, </t>
  </si>
  <si>
    <t>TP_P3E_CPU1_PE1_RSR3_RXP&lt;15&gt;</t>
  </si>
  <si>
    <t xml:space="preserve">U2D1.2611, </t>
  </si>
  <si>
    <t>TP_P3E_CPU1_PE1_RSR3_RXP&lt;14&gt;</t>
  </si>
  <si>
    <t xml:space="preserve">U2D1.2694, </t>
  </si>
  <si>
    <t>TP_P3E_CPU1_PE1_RSR3_RXP&lt;13&gt;</t>
  </si>
  <si>
    <t xml:space="preserve">U2D1.2776, </t>
  </si>
  <si>
    <t>TP_P3E_CPU1_PE1_RSR3_RXP&lt;12&gt;</t>
  </si>
  <si>
    <t xml:space="preserve">U2D1.2651, </t>
  </si>
  <si>
    <t>TP_P3E_CPU1_PE1_RSR3_RXP&lt;11&gt;</t>
  </si>
  <si>
    <t xml:space="preserve">U2D1.2527, </t>
  </si>
  <si>
    <t>TP_P3E_CPU1_PE1_RSR3_RXP&lt;10&gt;</t>
  </si>
  <si>
    <t xml:space="preserve">U2D1.2568, </t>
  </si>
  <si>
    <t>TP_P3E_CPU1_PE1_RSR3_RXN&lt;9&gt;</t>
  </si>
  <si>
    <t xml:space="preserve">U2D1.2526, </t>
  </si>
  <si>
    <t>TP_P3E_CPU1_PE1_RSR3_RXN&lt;8&gt;</t>
  </si>
  <si>
    <t xml:space="preserve">U2D1.1, </t>
  </si>
  <si>
    <t>TP_P3E_CPU1_PE1_RSR3_RXN&lt;15&gt;</t>
  </si>
  <si>
    <t xml:space="preserve">U2D1.2653, </t>
  </si>
  <si>
    <t>TP_P3E_CPU1_PE1_RSR3_RXN&lt;14&gt;</t>
  </si>
  <si>
    <t xml:space="preserve">U2D1.2777, </t>
  </si>
  <si>
    <t>TP_P3E_CPU1_PE1_RSR3_RXN&lt;13&gt;</t>
  </si>
  <si>
    <t xml:space="preserve">U2D1.2735, </t>
  </si>
  <si>
    <t>TP_P3E_CPU1_PE1_RSR3_RXN&lt;12&gt;</t>
  </si>
  <si>
    <t xml:space="preserve">U2D1.2693, </t>
  </si>
  <si>
    <t>TP_P3E_CPU1_PE1_RSR3_RXN&lt;11&gt;</t>
  </si>
  <si>
    <t xml:space="preserve">U2D1.2610, </t>
  </si>
  <si>
    <t>TP_P3E_CPU1_PE1_RSR3_RXN&lt;10&gt;</t>
  </si>
  <si>
    <t xml:space="preserve">U2D1.2609, </t>
  </si>
  <si>
    <t>TP_CLK_96M_CKMNG_P</t>
  </si>
  <si>
    <t xml:space="preserve">EU8F2.3, </t>
  </si>
  <si>
    <t>TP_CLK_100M_R_DN</t>
  </si>
  <si>
    <t xml:space="preserve">EU8F2.8, </t>
  </si>
  <si>
    <t>TP_SPRV_SDP2</t>
  </si>
  <si>
    <t xml:space="preserve">EU9E1.62, </t>
  </si>
  <si>
    <t>TP_SPRV_SDP1</t>
  </si>
  <si>
    <t xml:space="preserve">EU9E1.61, </t>
  </si>
  <si>
    <t>TP_SPRV_SDP0</t>
  </si>
  <si>
    <t xml:space="preserve">EU9E1.63, </t>
  </si>
  <si>
    <t>TP_PVCCIN_CPU0_GP1</t>
  </si>
  <si>
    <t xml:space="preserve">EU4D4.16, </t>
  </si>
  <si>
    <t>TP_PCH_RSVD36</t>
  </si>
  <si>
    <t xml:space="preserve">U7C1.774, </t>
  </si>
  <si>
    <t>TP_USB_ESD_OUT3</t>
  </si>
  <si>
    <t xml:space="preserve">CR1M2.6, </t>
  </si>
  <si>
    <t>TP_CPU1_RSVD_182</t>
  </si>
  <si>
    <t xml:space="preserve">U2D1.795, </t>
  </si>
  <si>
    <t>TP_CPU1_RSVD_219</t>
  </si>
  <si>
    <t xml:space="preserve">U2D1.496, </t>
  </si>
  <si>
    <t>TP_CPU1_RSVD_226</t>
  </si>
  <si>
    <t xml:space="preserve">U2D1.459, </t>
  </si>
  <si>
    <t>TP_CPU1_RSVD_231</t>
  </si>
  <si>
    <t xml:space="preserve">U2D1.421, </t>
  </si>
  <si>
    <t>TP_CPU1_RSVD_235</t>
  </si>
  <si>
    <t xml:space="preserve">U2D1.380, </t>
  </si>
  <si>
    <t>TP_CPU1_RSVD_236</t>
  </si>
  <si>
    <t xml:space="preserve">U2D1.379, </t>
  </si>
  <si>
    <t>TP_CPU1_RSVD_237</t>
  </si>
  <si>
    <t xml:space="preserve">U2D1.378, </t>
  </si>
  <si>
    <t>TP_CPU1_RSVD_238</t>
  </si>
  <si>
    <t xml:space="preserve">U2D1.377, </t>
  </si>
  <si>
    <t>TP_CPU1_RSVD_239</t>
  </si>
  <si>
    <t xml:space="preserve">U2D1.376, </t>
  </si>
  <si>
    <t>TP_CPU1_RSVD_242</t>
  </si>
  <si>
    <t xml:space="preserve">U2D1.337, </t>
  </si>
  <si>
    <t>TP_CPU1_RSVD_243</t>
  </si>
  <si>
    <t xml:space="preserve">U2D1.336, </t>
  </si>
  <si>
    <t>TP_CPU1_RSVD_244</t>
  </si>
  <si>
    <t xml:space="preserve">U2D1.334, </t>
  </si>
  <si>
    <t>TP_CPU1_RSVD_248</t>
  </si>
  <si>
    <t xml:space="preserve">U2D1.293, </t>
  </si>
  <si>
    <t>TP_CPU1_RSVD_249</t>
  </si>
  <si>
    <t xml:space="preserve">U2D1.292, </t>
  </si>
  <si>
    <t>TP_CPU1_RSVD_250</t>
  </si>
  <si>
    <t xml:space="preserve">U2D1.291, </t>
  </si>
  <si>
    <t>TP_CPU1_RSVD_252</t>
  </si>
  <si>
    <t xml:space="preserve">U2D1.251, </t>
  </si>
  <si>
    <t>TP_CPU1_RSVD_253</t>
  </si>
  <si>
    <t xml:space="preserve">U2D1.249, </t>
  </si>
  <si>
    <t>TP_CPU0_RSVD_219</t>
  </si>
  <si>
    <t xml:space="preserve">U5D1.496, </t>
  </si>
  <si>
    <t>TP_CPU0_RSVD_226</t>
  </si>
  <si>
    <t xml:space="preserve">U5D1.459, </t>
  </si>
  <si>
    <t>TP_CPU0_RSVD_231</t>
  </si>
  <si>
    <t xml:space="preserve">U5D1.421, </t>
  </si>
  <si>
    <t>TP_CPU0_RSVD_235</t>
  </si>
  <si>
    <t xml:space="preserve">U5D1.380, </t>
  </si>
  <si>
    <t>TP_CPU0_RSVD_236</t>
  </si>
  <si>
    <t xml:space="preserve">U5D1.379, </t>
  </si>
  <si>
    <t>TP_CPU0_RSVD_237</t>
  </si>
  <si>
    <t xml:space="preserve">U5D1.378, </t>
  </si>
  <si>
    <t>TP_CPU0_RSVD_238</t>
  </si>
  <si>
    <t xml:space="preserve">U5D1.377, </t>
  </si>
  <si>
    <t>TP_CPU0_RSVD_239</t>
  </si>
  <si>
    <t xml:space="preserve">U5D1.376, </t>
  </si>
  <si>
    <t>TP_CPU0_RSVD_242</t>
  </si>
  <si>
    <t xml:space="preserve">U5D1.337, </t>
  </si>
  <si>
    <t>TP_CPU0_RSVD_243</t>
  </si>
  <si>
    <t xml:space="preserve">U5D1.336, </t>
  </si>
  <si>
    <t>TP_CPU0_RSVD_244</t>
  </si>
  <si>
    <t xml:space="preserve">U5D1.334, </t>
  </si>
  <si>
    <t>TP_CPU0_RSVD_248</t>
  </si>
  <si>
    <t xml:space="preserve">U5D1.293, </t>
  </si>
  <si>
    <t>TP_CPU0_RSVD_249</t>
  </si>
  <si>
    <t xml:space="preserve">U5D1.292, </t>
  </si>
  <si>
    <t>TP_CPU0_RSVD_250</t>
  </si>
  <si>
    <t xml:space="preserve">U5D1.291, </t>
  </si>
  <si>
    <t>TP_CPU0_RSVD_252</t>
  </si>
  <si>
    <t xml:space="preserve">U5D1.251, </t>
  </si>
  <si>
    <t>TP_CPU0_RSVD_253</t>
  </si>
  <si>
    <t xml:space="preserve">U5D1.249, </t>
  </si>
  <si>
    <t>TP_SPI_PCH_CS1_R1_N</t>
  </si>
  <si>
    <t xml:space="preserve">U7C1.3391, </t>
  </si>
  <si>
    <t>TP_CPU1_RSVD_267</t>
  </si>
  <si>
    <t xml:space="preserve">U2D1.3250, </t>
  </si>
  <si>
    <t>TP_CPU1_RSVD_268</t>
  </si>
  <si>
    <t xml:space="preserve">U2D1.3208, </t>
  </si>
  <si>
    <t>TP_CPU1_RSVD_269</t>
  </si>
  <si>
    <t xml:space="preserve">U2D1.3199, </t>
  </si>
  <si>
    <t>TP_CPU1_RSVD_82</t>
  </si>
  <si>
    <t xml:space="preserve">U2D1.1640, </t>
  </si>
  <si>
    <t>TP_CPU1_RSVD_90</t>
  </si>
  <si>
    <t xml:space="preserve">U2D1.1583, </t>
  </si>
  <si>
    <t>TP_CPU1_RSVD_94</t>
  </si>
  <si>
    <t xml:space="preserve">U2D1.1560, </t>
  </si>
  <si>
    <t>TP_CPU1_RSVD_95</t>
  </si>
  <si>
    <t xml:space="preserve">U2D1.1557, </t>
  </si>
  <si>
    <t>TP_CPU1_RSVD_100</t>
  </si>
  <si>
    <t xml:space="preserve">U2D1.1532, </t>
  </si>
  <si>
    <t>TP_CPU1_RSVD_271</t>
  </si>
  <si>
    <t xml:space="preserve">U2D1.3177, </t>
  </si>
  <si>
    <t>TP_CPU1_RSVD_101</t>
  </si>
  <si>
    <t xml:space="preserve">U2D1.1531, </t>
  </si>
  <si>
    <t>TP_CPU1_RSVD_105</t>
  </si>
  <si>
    <t xml:space="preserve">U2D1.1507, </t>
  </si>
  <si>
    <t>TP_CPU1_RSVD_106</t>
  </si>
  <si>
    <t xml:space="preserve">U2D1.1505, </t>
  </si>
  <si>
    <t>TP_CPU1_RSVD_150</t>
  </si>
  <si>
    <t xml:space="preserve">U2D1.935, </t>
  </si>
  <si>
    <t>TP_CPU1_RSVD_151</t>
  </si>
  <si>
    <t xml:space="preserve">U2D1.934, </t>
  </si>
  <si>
    <t>TP_CPU1_RSVD_152</t>
  </si>
  <si>
    <t xml:space="preserve">U2D1.933, </t>
  </si>
  <si>
    <t>TP_CPU1_RSVD_156</t>
  </si>
  <si>
    <t xml:space="preserve">U2D1.910, </t>
  </si>
  <si>
    <t>TP_CPU1_RSVD_157</t>
  </si>
  <si>
    <t xml:space="preserve">U2D1.909, </t>
  </si>
  <si>
    <t>TP_CPU1_RSVD_158</t>
  </si>
  <si>
    <t xml:space="preserve">U2D1.908, </t>
  </si>
  <si>
    <t>TP_CPU1_RSVD_274</t>
  </si>
  <si>
    <t xml:space="preserve">U2D1.3125, </t>
  </si>
  <si>
    <t>TP_CPU1_RSVD_163</t>
  </si>
  <si>
    <t xml:space="preserve">U2D1.882, </t>
  </si>
  <si>
    <t>TP_CPU1_RSVD_164</t>
  </si>
  <si>
    <t xml:space="preserve">U2D1.881, </t>
  </si>
  <si>
    <t>TP_CPU1_RSVD_170</t>
  </si>
  <si>
    <t xml:space="preserve">U2D1.865, </t>
  </si>
  <si>
    <t>TP_CPU1_RSVD_171</t>
  </si>
  <si>
    <t xml:space="preserve">U2D1.862, </t>
  </si>
  <si>
    <t>TP_CPU1_RSVD_172</t>
  </si>
  <si>
    <t xml:space="preserve">U2D1.861, </t>
  </si>
  <si>
    <t>TP_CPU1_RSVD_173</t>
  </si>
  <si>
    <t xml:space="preserve">U2D1.856, </t>
  </si>
  <si>
    <t>TP_CPU1_RSVD_277</t>
  </si>
  <si>
    <t xml:space="preserve">U2D1.3084, </t>
  </si>
  <si>
    <t>TP_CPU1_RSVD_184</t>
  </si>
  <si>
    <t xml:space="preserve">U2D1.769, </t>
  </si>
  <si>
    <t>TP_CPU1_RSVD_186</t>
  </si>
  <si>
    <t xml:space="preserve">U2D1.749, </t>
  </si>
  <si>
    <t>TP_CPU1_RSVD_190</t>
  </si>
  <si>
    <t xml:space="preserve">U2D1.655, </t>
  </si>
  <si>
    <t>TP_CPU1_RSVD_174</t>
  </si>
  <si>
    <t xml:space="preserve">U2D1.855, </t>
  </si>
  <si>
    <t>TP_CPU1_RSVD_178</t>
  </si>
  <si>
    <t xml:space="preserve">U2D1.843, </t>
  </si>
  <si>
    <t>TP_CPU1_RSVD_179</t>
  </si>
  <si>
    <t xml:space="preserve">U2D1.802, </t>
  </si>
  <si>
    <t>TP_CPU1_RSVD_204</t>
  </si>
  <si>
    <t xml:space="preserve">U2D1.564, </t>
  </si>
  <si>
    <t>TP_CPU1_RSVD_205</t>
  </si>
  <si>
    <t xml:space="preserve">U2D1.563, </t>
  </si>
  <si>
    <t>TP_CPU1_RSVD_210</t>
  </si>
  <si>
    <t xml:space="preserve">U2D1.535, </t>
  </si>
  <si>
    <t>TP_CPU1_RSVD_211</t>
  </si>
  <si>
    <t xml:space="preserve">U2D1.534, </t>
  </si>
  <si>
    <t>TP_CPU1_RSVD_212</t>
  </si>
  <si>
    <t xml:space="preserve">U2D1.532, </t>
  </si>
  <si>
    <t>TP_CPU1_RSVD_216</t>
  </si>
  <si>
    <t xml:space="preserve">U2D1.502, </t>
  </si>
  <si>
    <t>TP_CPU1_RSVD_217</t>
  </si>
  <si>
    <t xml:space="preserve">U2D1.498, </t>
  </si>
  <si>
    <t>TP_CPU1_RSVD_218</t>
  </si>
  <si>
    <t xml:space="preserve">U2D1.497, </t>
  </si>
  <si>
    <t>TP_CPU1_RSVD_223</t>
  </si>
  <si>
    <t xml:space="preserve">U2D1.463, </t>
  </si>
  <si>
    <t>TP_CPU1_RSVD_224</t>
  </si>
  <si>
    <t xml:space="preserve">U2D1.462, </t>
  </si>
  <si>
    <t>TP_CPU1_RSVD_225</t>
  </si>
  <si>
    <t xml:space="preserve">U2D1.460, </t>
  </si>
  <si>
    <t>TP_CPU1_RSVD_228</t>
  </si>
  <si>
    <t xml:space="preserve">U2D1.431, </t>
  </si>
  <si>
    <t>TP_CPU1_RSVD_229</t>
  </si>
  <si>
    <t xml:space="preserve">U2D1.430, </t>
  </si>
  <si>
    <t>TP_CPU1_RSVD_230</t>
  </si>
  <si>
    <t xml:space="preserve">U2D1.422, </t>
  </si>
  <si>
    <t>TP_CPU1_RSVD_234</t>
  </si>
  <si>
    <t xml:space="preserve">U2D1.389, </t>
  </si>
  <si>
    <t>TP_CPU1_RSVD_241</t>
  </si>
  <si>
    <t xml:space="preserve">U2D1.347, </t>
  </si>
  <si>
    <t>TP_CPU1_RSVD_247</t>
  </si>
  <si>
    <t xml:space="preserve">U2D1.304, </t>
  </si>
  <si>
    <t>TP_CPU1_RSVD_251</t>
  </si>
  <si>
    <t xml:space="preserve">U2D1.290, </t>
  </si>
  <si>
    <t>TP_CPU1_RSVD_255</t>
  </si>
  <si>
    <t xml:space="preserve">U2D1.805, </t>
  </si>
  <si>
    <t>TP_CPU1_RSVD_256</t>
  </si>
  <si>
    <t xml:space="preserve">U2D1.3635, </t>
  </si>
  <si>
    <t>TP_CPU1_RSVD_293</t>
  </si>
  <si>
    <t xml:space="preserve">U2D1.837, </t>
  </si>
  <si>
    <t>TP_CPU1_RSVD_258</t>
  </si>
  <si>
    <t xml:space="preserve">U2D1.3593, </t>
  </si>
  <si>
    <t>TP_CPU1_RSVD_259</t>
  </si>
  <si>
    <t xml:space="preserve">U2D1.3551, </t>
  </si>
  <si>
    <t>TP_CPU1_RSVD_260</t>
  </si>
  <si>
    <t xml:space="preserve">U2D1.3550, </t>
  </si>
  <si>
    <t>TP_CPU1_RSVD_261</t>
  </si>
  <si>
    <t xml:space="preserve">U2D1.3508, </t>
  </si>
  <si>
    <t>TP_CPU1_RSVD_262</t>
  </si>
  <si>
    <t xml:space="preserve">U2D1.3466, </t>
  </si>
  <si>
    <t>TP_CPU1_RSVD_263</t>
  </si>
  <si>
    <t xml:space="preserve">U2D1.72, </t>
  </si>
  <si>
    <t>TP_CPU1_RSVD_264</t>
  </si>
  <si>
    <t xml:space="preserve">U2D1.70, </t>
  </si>
  <si>
    <t>TP_CPU1_RSVD_280</t>
  </si>
  <si>
    <t xml:space="preserve">U2D1.2854, </t>
  </si>
  <si>
    <t>TP_CPU1_RSVD_284</t>
  </si>
  <si>
    <t xml:space="preserve">U2D1.2022, </t>
  </si>
  <si>
    <t>TP_CPU1_RSVD_288</t>
  </si>
  <si>
    <t xml:space="preserve">U2D1.1380, </t>
  </si>
  <si>
    <t>TP_CPU1_RSVD_265</t>
  </si>
  <si>
    <t xml:space="preserve">U2D1.3422, </t>
  </si>
  <si>
    <t>TP_CPU1_RSVD_270</t>
  </si>
  <si>
    <t xml:space="preserve">U2D1.3178, </t>
  </si>
  <si>
    <t>TP_CPU1_RSVD_227</t>
  </si>
  <si>
    <t xml:space="preserve">U2D1.444, </t>
  </si>
  <si>
    <t>TP_CPU1_RSVD_240</t>
  </si>
  <si>
    <t xml:space="preserve">U2D1.362, </t>
  </si>
  <si>
    <t>TP_CPU1_TEST_7</t>
  </si>
  <si>
    <t xml:space="preserve">U2D1.702, </t>
  </si>
  <si>
    <t>TP_CPU1_TEST_8</t>
  </si>
  <si>
    <t xml:space="preserve">U2D1.758, </t>
  </si>
  <si>
    <t>TP_CPU1_TEST_10</t>
  </si>
  <si>
    <t xml:space="preserve">U2D1.762, </t>
  </si>
  <si>
    <t>TP_CPU1_TEST_9</t>
  </si>
  <si>
    <t xml:space="preserve">U2D1.761, </t>
  </si>
  <si>
    <t>TP_CPU1_RSVD_TEST_11</t>
  </si>
  <si>
    <t xml:space="preserve">U2D1.783, </t>
  </si>
  <si>
    <t>TP_CPU1_RSVD_266</t>
  </si>
  <si>
    <t xml:space="preserve">U2D1.3336, </t>
  </si>
  <si>
    <t>TP_CPU0_RSVD_267</t>
  </si>
  <si>
    <t xml:space="preserve">U5D1.3250, </t>
  </si>
  <si>
    <t>TP_CPU0_RSVD_268</t>
  </si>
  <si>
    <t xml:space="preserve">U5D1.3208, </t>
  </si>
  <si>
    <t>TP_CPU0_RSVD_269</t>
  </si>
  <si>
    <t xml:space="preserve">U5D1.3199, </t>
  </si>
  <si>
    <t>TP_CPU0_RSVD_82</t>
  </si>
  <si>
    <t xml:space="preserve">U5D1.1640, </t>
  </si>
  <si>
    <t>TP_CPU0_RSVD_90</t>
  </si>
  <si>
    <t xml:space="preserve">U5D1.1583, </t>
  </si>
  <si>
    <t>TP_CPU0_RSVD_94</t>
  </si>
  <si>
    <t xml:space="preserve">U5D1.1560, </t>
  </si>
  <si>
    <t>TP_CPU0_RSVD_95</t>
  </si>
  <si>
    <t xml:space="preserve">U5D1.1557, </t>
  </si>
  <si>
    <t>TP_CPU0_RSVD_100</t>
  </si>
  <si>
    <t xml:space="preserve">U5D1.1532, </t>
  </si>
  <si>
    <t>TP_CPU0_RSVD_271</t>
  </si>
  <si>
    <t xml:space="preserve">U5D1.3177, </t>
  </si>
  <si>
    <t>TP_CPU0_RSVD_101</t>
  </si>
  <si>
    <t xml:space="preserve">U5D1.1531, </t>
  </si>
  <si>
    <t>TP_CPU0_RSVD_105</t>
  </si>
  <si>
    <t xml:space="preserve">U5D1.1507, </t>
  </si>
  <si>
    <t>TP_CPU0_RSVD_106</t>
  </si>
  <si>
    <t xml:space="preserve">U5D1.1505, </t>
  </si>
  <si>
    <t>TP_CPU0_RSVD_150</t>
  </si>
  <si>
    <t xml:space="preserve">U5D1.935, </t>
  </si>
  <si>
    <t>TP_CPU0_RSVD_151</t>
  </si>
  <si>
    <t xml:space="preserve">U5D1.934, </t>
  </si>
  <si>
    <t>TP_CPU0_RSVD_152</t>
  </si>
  <si>
    <t xml:space="preserve">U5D1.933, </t>
  </si>
  <si>
    <t>TP_CPU0_RSVD_156</t>
  </si>
  <si>
    <t xml:space="preserve">U5D1.910, </t>
  </si>
  <si>
    <t>TP_CPU0_RSVD_157</t>
  </si>
  <si>
    <t xml:space="preserve">U5D1.909, </t>
  </si>
  <si>
    <t>TP_CPU0_RSVD_158</t>
  </si>
  <si>
    <t xml:space="preserve">U5D1.908, </t>
  </si>
  <si>
    <t>TP_CPU0_RSVD_274</t>
  </si>
  <si>
    <t xml:space="preserve">U5D1.3125, </t>
  </si>
  <si>
    <t>TP_CPU0_RSVD_163</t>
  </si>
  <si>
    <t xml:space="preserve">U5D1.882, </t>
  </si>
  <si>
    <t>TP_CPU0_RSVD_164</t>
  </si>
  <si>
    <t xml:space="preserve">U5D1.881, </t>
  </si>
  <si>
    <t>TP_CPU0_RSVD_170</t>
  </si>
  <si>
    <t xml:space="preserve">U5D1.865, </t>
  </si>
  <si>
    <t>TP_CPU0_RSVD_171</t>
  </si>
  <si>
    <t xml:space="preserve">U5D1.862, </t>
  </si>
  <si>
    <t>TP_CPU0_RSVD_172</t>
  </si>
  <si>
    <t xml:space="preserve">U5D1.861, </t>
  </si>
  <si>
    <t>TP_CPU0_RSVD_173</t>
  </si>
  <si>
    <t xml:space="preserve">U5D1.856, </t>
  </si>
  <si>
    <t>TP_CPU0_RSVD_174</t>
  </si>
  <si>
    <t xml:space="preserve">U5D1.855, </t>
  </si>
  <si>
    <t>TP_CPU0_RSVD_180</t>
  </si>
  <si>
    <t xml:space="preserve">U5D1.801, </t>
  </si>
  <si>
    <t>TP_CPU0_RSVD_277</t>
  </si>
  <si>
    <t xml:space="preserve">U5D1.3084, </t>
  </si>
  <si>
    <t>TP_CPU0_RSVD_181</t>
  </si>
  <si>
    <t xml:space="preserve">U5D1.796, </t>
  </si>
  <si>
    <t>TP_CPU0_RSVD_182</t>
  </si>
  <si>
    <t xml:space="preserve">U5D1.795, </t>
  </si>
  <si>
    <t>TP_CPU0_RSVD_183</t>
  </si>
  <si>
    <t xml:space="preserve">U5D1.775, </t>
  </si>
  <si>
    <t>TP_CPU0_RSVD_184</t>
  </si>
  <si>
    <t xml:space="preserve">U5D1.769, </t>
  </si>
  <si>
    <t>TP_CPU0_RSVD_186</t>
  </si>
  <si>
    <t xml:space="preserve">U5D1.749, </t>
  </si>
  <si>
    <t>TP_CPU0_RSVD_190</t>
  </si>
  <si>
    <t xml:space="preserve">U5D1.655, </t>
  </si>
  <si>
    <t>TP_CPU0_RSVD_194</t>
  </si>
  <si>
    <t xml:space="preserve">U5D1.624, </t>
  </si>
  <si>
    <t>TP_CPU0_RSVD_198</t>
  </si>
  <si>
    <t xml:space="preserve">U5D1.596, </t>
  </si>
  <si>
    <t>TP_CPU0_RSVD_199</t>
  </si>
  <si>
    <t xml:space="preserve">U5D1.595, </t>
  </si>
  <si>
    <t>TP_CPU0_RSVD_204</t>
  </si>
  <si>
    <t xml:space="preserve">U5D1.564, </t>
  </si>
  <si>
    <t>TP_CPU0_RSVD_205</t>
  </si>
  <si>
    <t xml:space="preserve">U5D1.563, </t>
  </si>
  <si>
    <t>TP_CPU0_RSVD_210</t>
  </si>
  <si>
    <t xml:space="preserve">U5D1.535, </t>
  </si>
  <si>
    <t>TP_CPU0_RSVD_211</t>
  </si>
  <si>
    <t xml:space="preserve">U5D1.534, </t>
  </si>
  <si>
    <t>TP_CPU0_RSVD_212</t>
  </si>
  <si>
    <t xml:space="preserve">U5D1.532, </t>
  </si>
  <si>
    <t>TP_CPU0_RSVD_216</t>
  </si>
  <si>
    <t xml:space="preserve">U5D1.502, </t>
  </si>
  <si>
    <t>TP_CPU0_RSVD_217</t>
  </si>
  <si>
    <t xml:space="preserve">U5D1.498, </t>
  </si>
  <si>
    <t>TP_CPU0_RSVD_218</t>
  </si>
  <si>
    <t xml:space="preserve">U5D1.497, </t>
  </si>
  <si>
    <t>TP_CPU0_RSVD_222</t>
  </si>
  <si>
    <t xml:space="preserve">U5D1.467, </t>
  </si>
  <si>
    <t>TP_CPU0_RSVD_223</t>
  </si>
  <si>
    <t xml:space="preserve">U5D1.463, </t>
  </si>
  <si>
    <t>TP_CPU0_RSVD_224</t>
  </si>
  <si>
    <t xml:space="preserve">U5D1.462, </t>
  </si>
  <si>
    <t>TP_CPU0_RSVD_225</t>
  </si>
  <si>
    <t xml:space="preserve">U5D1.460, </t>
  </si>
  <si>
    <t>TP_CPU0_RSVD_228</t>
  </si>
  <si>
    <t xml:space="preserve">U5D1.431, </t>
  </si>
  <si>
    <t>TP_CPU0_RSVD_229</t>
  </si>
  <si>
    <t xml:space="preserve">U5D1.430, </t>
  </si>
  <si>
    <t>TP_CPU0_RSVD_230</t>
  </si>
  <si>
    <t xml:space="preserve">U5D1.422, </t>
  </si>
  <si>
    <t>TP_CPU0_RSVD_234</t>
  </si>
  <si>
    <t xml:space="preserve">U5D1.389, </t>
  </si>
  <si>
    <t>TP_CPU0_RSVD_241</t>
  </si>
  <si>
    <t xml:space="preserve">U5D1.347, </t>
  </si>
  <si>
    <t>TP_CPU0_RSVD_247</t>
  </si>
  <si>
    <t xml:space="preserve">U5D1.304, </t>
  </si>
  <si>
    <t>TP_CPU0_RSVD_251</t>
  </si>
  <si>
    <t xml:space="preserve">U5D1.290, </t>
  </si>
  <si>
    <t>TP_CPU0_RSVD_256</t>
  </si>
  <si>
    <t xml:space="preserve">U5D1.3635, </t>
  </si>
  <si>
    <t>TP_CPU0_RSVD_293</t>
  </si>
  <si>
    <t xml:space="preserve">U5D1.837, </t>
  </si>
  <si>
    <t>TP_CPU0_RSVD_258</t>
  </si>
  <si>
    <t xml:space="preserve">U5D1.3593, </t>
  </si>
  <si>
    <t>TP_CPU0_RSVD_259</t>
  </si>
  <si>
    <t xml:space="preserve">U5D1.3551, </t>
  </si>
  <si>
    <t>TP_CPU0_RSVD_260</t>
  </si>
  <si>
    <t xml:space="preserve">U5D1.3550, </t>
  </si>
  <si>
    <t>TP_CPU0_RSVD_261</t>
  </si>
  <si>
    <t xml:space="preserve">U5D1.3508, </t>
  </si>
  <si>
    <t>TP_CPU0_RSVD_262</t>
  </si>
  <si>
    <t xml:space="preserve">U5D1.3466, </t>
  </si>
  <si>
    <t>TP_CPU0_RSVD_263</t>
  </si>
  <si>
    <t xml:space="preserve">U5D1.72, </t>
  </si>
  <si>
    <t>TP_CPU0_RSVD_264</t>
  </si>
  <si>
    <t xml:space="preserve">U5D1.70, </t>
  </si>
  <si>
    <t>TP_CPU0_RSVD_284</t>
  </si>
  <si>
    <t xml:space="preserve">U5D1.2022, </t>
  </si>
  <si>
    <t>TP_CPU0_RSVD_288</t>
  </si>
  <si>
    <t xml:space="preserve">U5D1.1380, </t>
  </si>
  <si>
    <t>TP_CPU0_RSVD_265</t>
  </si>
  <si>
    <t xml:space="preserve">U5D1.3422, </t>
  </si>
  <si>
    <t>TP_CPU0_RSVD_270</t>
  </si>
  <si>
    <t xml:space="preserve">U5D1.3178, </t>
  </si>
  <si>
    <t>TP_CPU0_RSVD_227</t>
  </si>
  <si>
    <t xml:space="preserve">U5D1.444, </t>
  </si>
  <si>
    <t>TP_CPU0_RSVD_240</t>
  </si>
  <si>
    <t xml:space="preserve">U5D1.362, </t>
  </si>
  <si>
    <t>TP_CPU0_TEST_7</t>
  </si>
  <si>
    <t xml:space="preserve">U5D1.702, </t>
  </si>
  <si>
    <t>TP_CPU0_TEST_8</t>
  </si>
  <si>
    <t xml:space="preserve">U5D1.758, </t>
  </si>
  <si>
    <t>TP_CPU0_TEST_10</t>
  </si>
  <si>
    <t xml:space="preserve">U5D1.762, </t>
  </si>
  <si>
    <t>TP_CPU0_TEST_9</t>
  </si>
  <si>
    <t xml:space="preserve">U5D1.761, </t>
  </si>
  <si>
    <t>TP_CPU0_RSVD_TEST_11</t>
  </si>
  <si>
    <t xml:space="preserve">U5D1.783, </t>
  </si>
  <si>
    <t>TP_CPU0_RSVD_266</t>
  </si>
  <si>
    <t xml:space="preserve">U5D1.3336, </t>
  </si>
  <si>
    <t>TP_XDP_OBSDATA_B0</t>
  </si>
  <si>
    <t xml:space="preserve">J9A3.27, </t>
  </si>
  <si>
    <t>TP_XDP_CPU0_OBSDATA_A3_MBP5_N</t>
  </si>
  <si>
    <t xml:space="preserve">U5D1.3606, </t>
  </si>
  <si>
    <t>TP_XDP_CPU0_OBSDATA_A2_MBP4_N</t>
  </si>
  <si>
    <t xml:space="preserve">U5D1.102, </t>
  </si>
  <si>
    <t>TP_XDP_CPU_OBSDATA_D1</t>
  </si>
  <si>
    <t xml:space="preserve">J9A3.30, </t>
  </si>
  <si>
    <t>TP_XDP_CPU_OBSDATA_D0</t>
  </si>
  <si>
    <t xml:space="preserve">J9A3.28, </t>
  </si>
  <si>
    <t>TP_CPU_PCH_TRIGGER_OUT</t>
  </si>
  <si>
    <t xml:space="preserve">U7C1.3973, </t>
  </si>
  <si>
    <t>TP_PLTRST_CPU_N</t>
  </si>
  <si>
    <t xml:space="preserve">U7C1.4121, </t>
  </si>
  <si>
    <t>TP_PCH_RSVD31</t>
  </si>
  <si>
    <t xml:space="preserve">U7C1.3917, </t>
  </si>
  <si>
    <t>TP_PCH_RSVD30</t>
  </si>
  <si>
    <t xml:space="preserve">U7C1.3991, </t>
  </si>
  <si>
    <t>TP_PCH_RSVD35</t>
  </si>
  <si>
    <t xml:space="preserve">U7C1.4302, </t>
  </si>
  <si>
    <t>TP_PCH_RSVD33</t>
  </si>
  <si>
    <t xml:space="preserve">U7C1.4232, </t>
  </si>
  <si>
    <t>TP_PCH_RSVD34</t>
  </si>
  <si>
    <t xml:space="preserve">U7C1.4376, </t>
  </si>
  <si>
    <t>TP_PCH_RSVD32</t>
  </si>
  <si>
    <t xml:space="preserve">U7C1.126, </t>
  </si>
  <si>
    <t>TP_CPU1_NMI</t>
  </si>
  <si>
    <t xml:space="preserve">U2D1.609, </t>
  </si>
  <si>
    <t>TP_CPU1_UPI2_RSVD_CF11</t>
  </si>
  <si>
    <t xml:space="preserve">U2D1.2365, </t>
  </si>
  <si>
    <t>TP_CPU1_UPI2_RSVD_CH11</t>
  </si>
  <si>
    <t xml:space="preserve">U2D1.2282, </t>
  </si>
  <si>
    <t>TP_CPU0_UPI2_RSVD_CF11</t>
  </si>
  <si>
    <t xml:space="preserve">U5D1.2365, </t>
  </si>
  <si>
    <t>TP_CPU0_UPI2_RSVD_CH11</t>
  </si>
  <si>
    <t xml:space="preserve">U5D1.2282, </t>
  </si>
  <si>
    <t>TP_CPU1_RSVD_278</t>
  </si>
  <si>
    <t xml:space="preserve">U2D1.3061, </t>
  </si>
  <si>
    <t>TP_CPU1_RSVD_281</t>
  </si>
  <si>
    <t xml:space="preserve">U2D1.2824, </t>
  </si>
  <si>
    <t>TP_CPU0_RSVD_278</t>
  </si>
  <si>
    <t xml:space="preserve">U5D1.3061, </t>
  </si>
  <si>
    <t>TP_CPU0_RSVD_281</t>
  </si>
  <si>
    <t xml:space="preserve">U5D1.2824, </t>
  </si>
  <si>
    <t>TP_USB3_P04_TXP</t>
  </si>
  <si>
    <t xml:space="preserve">U7C1.2072, </t>
  </si>
  <si>
    <t>TP_USB3_P04_TXN</t>
  </si>
  <si>
    <t xml:space="preserve">U7C1.2146, </t>
  </si>
  <si>
    <t>TP_CPU1_PROC_DIS_G_N</t>
  </si>
  <si>
    <t xml:space="preserve">U2D1.147, </t>
  </si>
  <si>
    <t>TP_HSC_MCLK</t>
  </si>
  <si>
    <t xml:space="preserve">EU1D2.10, </t>
  </si>
  <si>
    <t>TP_NMI_CPU0</t>
  </si>
  <si>
    <t xml:space="preserve">U5D1.609, </t>
  </si>
  <si>
    <t>TP_CPU1_UPI2_RSVD_DB15</t>
  </si>
  <si>
    <t xml:space="preserve">U2D1.1908, </t>
  </si>
  <si>
    <t>TP_CPU1_UPI2_RSVD_DD15</t>
  </si>
  <si>
    <t xml:space="preserve">U2D1.1870, </t>
  </si>
  <si>
    <t>TP_CPU1_UPI2_RSVD_DE16</t>
  </si>
  <si>
    <t xml:space="preserve">U2D1.1768, </t>
  </si>
  <si>
    <t>TP_CPU1_UPI2_RSVD_DF17</t>
  </si>
  <si>
    <t xml:space="preserve">U2D1.1619, </t>
  </si>
  <si>
    <t>TP_CPU1_UPI2_RSVD_DH17</t>
  </si>
  <si>
    <t xml:space="preserve">U2D1.1564, </t>
  </si>
  <si>
    <t>TP_CPU1_UPI2_RSVD_DJ18</t>
  </si>
  <si>
    <t xml:space="preserve">U2D1.1537, </t>
  </si>
  <si>
    <t>TP_CPU1_UPI2_RSVD_DJ20</t>
  </si>
  <si>
    <t xml:space="preserve">U2D1.1510, </t>
  </si>
  <si>
    <t>TP_CPU1_UPI2_RSVD_DK19</t>
  </si>
  <si>
    <t xml:space="preserve">U2D1.1458, </t>
  </si>
  <si>
    <t>TP_CPU1_UPI2_RSVD_CA12</t>
  </si>
  <si>
    <t xml:space="preserve">U2D1.2531, </t>
  </si>
  <si>
    <t>TP_CPU1_UPI2_RSVD_CB11</t>
  </si>
  <si>
    <t xml:space="preserve">U2D1.2490, </t>
  </si>
  <si>
    <t>TP_CPU1_UPI2_RSVD_CD11</t>
  </si>
  <si>
    <t xml:space="preserve">U2D1.2405, </t>
  </si>
  <si>
    <t>TP_CPU1_UPI2_RSVD_CG12</t>
  </si>
  <si>
    <t xml:space="preserve">U2D1.2363, </t>
  </si>
  <si>
    <t>TP_CPU1_UPI2_RSVD_CH13</t>
  </si>
  <si>
    <t xml:space="preserve">U2D1.2321, </t>
  </si>
  <si>
    <t>TP_CPU1_UPI2_RSVD_CK13</t>
  </si>
  <si>
    <t xml:space="preserve">U2D1.2238, </t>
  </si>
  <si>
    <t>TP_CPU1_UPI2_RSVD_CR14</t>
  </si>
  <si>
    <t xml:space="preserve">U2D1.2196, </t>
  </si>
  <si>
    <t>TP_CPU1_UPI2_RSVD_CV13</t>
  </si>
  <si>
    <t xml:space="preserve">U2D1.2154, </t>
  </si>
  <si>
    <t>TP_CPU1_UPI2_RSVD_CW16</t>
  </si>
  <si>
    <t xml:space="preserve">U2D1.2070, </t>
  </si>
  <si>
    <t>TP_CPU1_UPI2_RSVD_DN20</t>
  </si>
  <si>
    <t xml:space="preserve">U2D1.1407, </t>
  </si>
  <si>
    <t>TP_CPU1_UPI2_RSVD_DP21</t>
  </si>
  <si>
    <t xml:space="preserve">U2D1.1382, </t>
  </si>
  <si>
    <t>TP_CPU1_UPI2_RSVD_DC16</t>
  </si>
  <si>
    <t xml:space="preserve">U2D1.2027, </t>
  </si>
  <si>
    <t>TP_CPU1_UPI2_RSVD_DF15</t>
  </si>
  <si>
    <t xml:space="preserve">U2D1.1907, </t>
  </si>
  <si>
    <t>TP_CPU1_UPI2_RSVD_DD17</t>
  </si>
  <si>
    <t xml:space="preserve">U2D1.1834, </t>
  </si>
  <si>
    <t>TP_CPU1_UPI2_RSVD_DG18</t>
  </si>
  <si>
    <t xml:space="preserve">U2D1.1678, </t>
  </si>
  <si>
    <t>TP_CPU1_UPI2_RSVD_DK17</t>
  </si>
  <si>
    <t xml:space="preserve">U2D1.1591, </t>
  </si>
  <si>
    <t>TP_CPU1_UPI2_RSVD_DH19</t>
  </si>
  <si>
    <t xml:space="preserve">U2D1.1511, </t>
  </si>
  <si>
    <t>TP_CPU1_UPI2_RSVD_DG20</t>
  </si>
  <si>
    <t xml:space="preserve">U2D1.1563, </t>
  </si>
  <si>
    <t>TP_CPU1_UPI2_RSVD_DL20</t>
  </si>
  <si>
    <t xml:space="preserve">U2D1.1485, </t>
  </si>
  <si>
    <t>TP_CPU1_UPI2_RSVD_CC12</t>
  </si>
  <si>
    <t xml:space="preserve">U2D1.2614, </t>
  </si>
  <si>
    <t>TP_CPU1_UPI2_RSVD_CC10</t>
  </si>
  <si>
    <t xml:space="preserve">U2D1.6, </t>
  </si>
  <si>
    <t>TP_CPU1_UPI2_RSVD_CE12</t>
  </si>
  <si>
    <t xml:space="preserve">U2D1.2448, </t>
  </si>
  <si>
    <t>TP_CPU1_UPI2_RSVD_CF13</t>
  </si>
  <si>
    <t xml:space="preserve">U2D1.2322, </t>
  </si>
  <si>
    <t>TP_CPU1_UPI2_RSVD_CJ14</t>
  </si>
  <si>
    <t xml:space="preserve">U2D1.2404, </t>
  </si>
  <si>
    <t>TP_CPU1_UPI2_RSVD_CM13</t>
  </si>
  <si>
    <t xml:space="preserve">U2D1.2280, </t>
  </si>
  <si>
    <t>TP_CPU1_UPI2_RSVD_CU14</t>
  </si>
  <si>
    <t xml:space="preserve">U2D1.2155, </t>
  </si>
  <si>
    <t>TP_CPU1_UPI2_RSVD_CW14</t>
  </si>
  <si>
    <t xml:space="preserve">U2D1.2237, </t>
  </si>
  <si>
    <t>TP_CPU1_UPI2_RSVD_DA16</t>
  </si>
  <si>
    <t xml:space="preserve">U2D1.2112, </t>
  </si>
  <si>
    <t>TP_CPU1_UPI2_RSVD_DM21</t>
  </si>
  <si>
    <t xml:space="preserve">U2D1.1432, </t>
  </si>
  <si>
    <t>TP_CPU1_UPI2_RSVD_DT21</t>
  </si>
  <si>
    <t xml:space="preserve">U2D1.1433, </t>
  </si>
  <si>
    <t>TP_CPU1_DMI_TX_DP3</t>
  </si>
  <si>
    <t xml:space="preserve">U2D1.1779, </t>
  </si>
  <si>
    <t>TP_CPU1_DMI_TX_DP2</t>
  </si>
  <si>
    <t xml:space="preserve">U2D1.1686, </t>
  </si>
  <si>
    <t>TP_CPU1_DMI_TX_DP1</t>
  </si>
  <si>
    <t xml:space="preserve">U2D1.1658, </t>
  </si>
  <si>
    <t>TP_CPU1_DMI_TX_DP0</t>
  </si>
  <si>
    <t xml:space="preserve">U2D1.1573, </t>
  </si>
  <si>
    <t>TP_CPU1_DMI_TX_DN3</t>
  </si>
  <si>
    <t xml:space="preserve">U2D1.1748, </t>
  </si>
  <si>
    <t>TP_CPU1_DMI_TX_DN2</t>
  </si>
  <si>
    <t xml:space="preserve">U2D1.1718, </t>
  </si>
  <si>
    <t>TP_CPU1_DMI_TX_DN1</t>
  </si>
  <si>
    <t xml:space="preserve">U2D1.1600, </t>
  </si>
  <si>
    <t>TP_CPU1_DMI_TX_DN0</t>
  </si>
  <si>
    <t xml:space="preserve">U2D1.1546, </t>
  </si>
  <si>
    <t>TP_CPU0_UPI2_RSVD_DB15</t>
  </si>
  <si>
    <t xml:space="preserve">U5D1.1908, </t>
  </si>
  <si>
    <t>TP_CPU0_UPI2_RSVD_DD15</t>
  </si>
  <si>
    <t xml:space="preserve">U5D1.1870, </t>
  </si>
  <si>
    <t>TP_CPU0_UPI2_RSVD_DE16</t>
  </si>
  <si>
    <t xml:space="preserve">U5D1.1768, </t>
  </si>
  <si>
    <t>TP_CPU0_UPI2_RSVD_DF17</t>
  </si>
  <si>
    <t xml:space="preserve">U5D1.1619, </t>
  </si>
  <si>
    <t>TP_CPU0_UPI2_RSVD_DH17</t>
  </si>
  <si>
    <t xml:space="preserve">U5D1.1564, </t>
  </si>
  <si>
    <t>TP_CPU0_UPI2_RSVD_DJ18</t>
  </si>
  <si>
    <t xml:space="preserve">U5D1.1537, </t>
  </si>
  <si>
    <t>TP_CPU0_UPI2_RSVD_DJ20</t>
  </si>
  <si>
    <t xml:space="preserve">U5D1.1510, </t>
  </si>
  <si>
    <t>TP_CPU0_UPI2_RSVD_DK19</t>
  </si>
  <si>
    <t xml:space="preserve">U5D1.1458, </t>
  </si>
  <si>
    <t>TP_CPU0_UPI2_RSVD_CA12</t>
  </si>
  <si>
    <t xml:space="preserve">U5D1.2531, </t>
  </si>
  <si>
    <t>TP_CPU0_UPI2_RSVD_CB11</t>
  </si>
  <si>
    <t xml:space="preserve">U5D1.2490, </t>
  </si>
  <si>
    <t>TP_CPU0_UPI2_RSVD_CD11</t>
  </si>
  <si>
    <t xml:space="preserve">U5D1.2405, </t>
  </si>
  <si>
    <t>TP_CPU0_UPI2_RSVD_CG12</t>
  </si>
  <si>
    <t xml:space="preserve">U5D1.2363, </t>
  </si>
  <si>
    <t>TP_CPU0_UPI2_RSVD_CH13</t>
  </si>
  <si>
    <t xml:space="preserve">U5D1.2321, </t>
  </si>
  <si>
    <t>TP_CPU0_UPI2_RSVD_CK13</t>
  </si>
  <si>
    <t xml:space="preserve">U5D1.2238, </t>
  </si>
  <si>
    <t>TP_CPU0_UPI2_RSVD_CR14</t>
  </si>
  <si>
    <t xml:space="preserve">U5D1.2196, </t>
  </si>
  <si>
    <t>TP_CPU0_UPI2_RSVD_CV13</t>
  </si>
  <si>
    <t xml:space="preserve">U5D1.2154, </t>
  </si>
  <si>
    <t>TP_CPU0_UPI2_RSVD_CW16</t>
  </si>
  <si>
    <t xml:space="preserve">U5D1.2070, </t>
  </si>
  <si>
    <t>TP_CPU0_UPI2_RSVD_DN20</t>
  </si>
  <si>
    <t xml:space="preserve">U5D1.1407, </t>
  </si>
  <si>
    <t>TP_CPU0_UPI2_RSVD_DP21</t>
  </si>
  <si>
    <t xml:space="preserve">U5D1.1382, </t>
  </si>
  <si>
    <t>TP_CPU0_UPI2_RSVD_DC16</t>
  </si>
  <si>
    <t xml:space="preserve">U5D1.2027, </t>
  </si>
  <si>
    <t>TP_CPU0_UPI2_RSVD_DF15</t>
  </si>
  <si>
    <t xml:space="preserve">U5D1.1907, </t>
  </si>
  <si>
    <t>TP_CPU0_UPI2_RSVD_DD17</t>
  </si>
  <si>
    <t xml:space="preserve">U5D1.1834, </t>
  </si>
  <si>
    <t>TP_CPU0_UPI2_RSVD_DG18</t>
  </si>
  <si>
    <t xml:space="preserve">U5D1.1678, </t>
  </si>
  <si>
    <t>TP_CPU0_UPI2_RSVD_DK17</t>
  </si>
  <si>
    <t xml:space="preserve">U5D1.1591, </t>
  </si>
  <si>
    <t>TP_CPU0_UPI2_RSVD_DH19</t>
  </si>
  <si>
    <t xml:space="preserve">U5D1.1511, </t>
  </si>
  <si>
    <t>TP_CPU0_UPI2_RSVD_DG20</t>
  </si>
  <si>
    <t xml:space="preserve">U5D1.1563, </t>
  </si>
  <si>
    <t>TP_CPU0_UPI2_RSVD_DL20</t>
  </si>
  <si>
    <t xml:space="preserve">U5D1.1485, </t>
  </si>
  <si>
    <t>TP_CPU0_UPI2_RSVD_CC12</t>
  </si>
  <si>
    <t xml:space="preserve">U5D1.2614, </t>
  </si>
  <si>
    <t>TP_CPU0_UPI2_RSVD_CC10</t>
  </si>
  <si>
    <t xml:space="preserve">U5D1.6, </t>
  </si>
  <si>
    <t>TP_CPU0_UPI2_RSVD_CE12</t>
  </si>
  <si>
    <t xml:space="preserve">U5D1.2448, </t>
  </si>
  <si>
    <t>TP_CPU0_UPI2_RSVD_CF13</t>
  </si>
  <si>
    <t xml:space="preserve">U5D1.2322, </t>
  </si>
  <si>
    <t>TP_CPU0_UPI2_RSVD_CJ14</t>
  </si>
  <si>
    <t xml:space="preserve">U5D1.2404, </t>
  </si>
  <si>
    <t>TP_CPU0_UPI2_RSVD_CM13</t>
  </si>
  <si>
    <t xml:space="preserve">U5D1.2280, </t>
  </si>
  <si>
    <t>TP_CPU0_UPI2_RSVD_CU14</t>
  </si>
  <si>
    <t xml:space="preserve">U5D1.2155, </t>
  </si>
  <si>
    <t>TP_CPU0_UPI2_RSVD_CW14</t>
  </si>
  <si>
    <t xml:space="preserve">U5D1.2237, </t>
  </si>
  <si>
    <t>TP_CPU0_UPI2_RSVD_DA16</t>
  </si>
  <si>
    <t xml:space="preserve">U5D1.2112, </t>
  </si>
  <si>
    <t>TP_CPU0_UPI2_RSVD_DM21</t>
  </si>
  <si>
    <t xml:space="preserve">U5D1.1432, </t>
  </si>
  <si>
    <t>TP_CPU0_UPI2_RSVD_DT21</t>
  </si>
  <si>
    <t xml:space="preserve">U5D1.1433, </t>
  </si>
  <si>
    <t>TP_CD_HFI1_CPU1_RESET_N</t>
  </si>
  <si>
    <t xml:space="preserve">U2D1.1078, </t>
  </si>
  <si>
    <t>TP_CD_HFI1_CPU1_MODPRST_N</t>
  </si>
  <si>
    <t xml:space="preserve">U2D1.1226, </t>
  </si>
  <si>
    <t>TP_CD_HFI1_CPU1_LED_N</t>
  </si>
  <si>
    <t xml:space="preserve">U2D1.1128, </t>
  </si>
  <si>
    <t>TP_CD_HFI1_CPU1_INT_N</t>
  </si>
  <si>
    <t xml:space="preserve">U2D1.1127, </t>
  </si>
  <si>
    <t>TP_CD_HFI1_CPU1_I2CLK</t>
  </si>
  <si>
    <t xml:space="preserve">U2D1.1053, </t>
  </si>
  <si>
    <t>TP_CD_HFI1_CPU1_I2CDAT</t>
  </si>
  <si>
    <t xml:space="preserve">U2D1.1028, </t>
  </si>
  <si>
    <t>TP_RST_CPU1_CD_HFI0_N</t>
  </si>
  <si>
    <t xml:space="preserve">U2D1.1154, </t>
  </si>
  <si>
    <t>TP_FM_CPU1_CD_HFI0_MODPRST_N</t>
  </si>
  <si>
    <t xml:space="preserve">U2D1.1202, </t>
  </si>
  <si>
    <t>TP_LED_CPU1_CD_HFI0_N</t>
  </si>
  <si>
    <t xml:space="preserve">U2D1.1077, </t>
  </si>
  <si>
    <t>TP_IRQ_CPU1_CD_HFI0_N</t>
  </si>
  <si>
    <t xml:space="preserve">U2D1.1176, </t>
  </si>
  <si>
    <t>TP_SMB_CPU1_CD_HFI0_I2CCLK</t>
  </si>
  <si>
    <t xml:space="preserve">U2D1.1153, </t>
  </si>
  <si>
    <t>TP_SMB_CPU1_CD_HFI0_I2CDAT</t>
  </si>
  <si>
    <t xml:space="preserve">U2D1.1178, </t>
  </si>
  <si>
    <t>TP_CPU1_RSVD_208</t>
  </si>
  <si>
    <t xml:space="preserve">U2D1.552, </t>
  </si>
  <si>
    <t>TP_CPU1_RSVD_273</t>
  </si>
  <si>
    <t xml:space="preserve">U2D1.3136, </t>
  </si>
  <si>
    <t>TP_CPU1_RSVD_214</t>
  </si>
  <si>
    <t xml:space="preserve">U2D1.518, </t>
  </si>
  <si>
    <t>TP_CPU1_RSVD_276</t>
  </si>
  <si>
    <t xml:space="preserve">U2D1.3094, </t>
  </si>
  <si>
    <t>TP_CPU0_RSVD_208</t>
  </si>
  <si>
    <t xml:space="preserve">U5D1.552, </t>
  </si>
  <si>
    <t>TP_CPU0_RSVD_273</t>
  </si>
  <si>
    <t xml:space="preserve">U5D1.3136, </t>
  </si>
  <si>
    <t>TP_CPU0_RSVD_214</t>
  </si>
  <si>
    <t xml:space="preserve">U5D1.518, </t>
  </si>
  <si>
    <t>TP_CPU0_RSVD_276</t>
  </si>
  <si>
    <t xml:space="preserve">U5D1.3094, </t>
  </si>
  <si>
    <t>TP_CPU1_RSVD_254</t>
  </si>
  <si>
    <t xml:space="preserve">U2D1.248, </t>
  </si>
  <si>
    <t>TP_CPU1_RSVD_245</t>
  </si>
  <si>
    <t xml:space="preserve">U2D1.333, </t>
  </si>
  <si>
    <t>TP_CPU1_RSVD_123</t>
  </si>
  <si>
    <t xml:space="preserve">U2D1.1297, </t>
  </si>
  <si>
    <t>TP_CPU1_RSVD_111</t>
  </si>
  <si>
    <t xml:space="preserve">U2D1.1443, </t>
  </si>
  <si>
    <t>TP_CPU1_RSVD_113</t>
  </si>
  <si>
    <t xml:space="preserve">U2D1.1417, </t>
  </si>
  <si>
    <t>TP_CPU1_RSVD_175</t>
  </si>
  <si>
    <t xml:space="preserve">U2D1.848, </t>
  </si>
  <si>
    <t>TP_CPU1_RSVD_155</t>
  </si>
  <si>
    <t xml:space="preserve">U2D1.923, </t>
  </si>
  <si>
    <t>TP_CPU1_RSVD_166</t>
  </si>
  <si>
    <t xml:space="preserve">U2D1.873, </t>
  </si>
  <si>
    <t>TP_CPU1_RSVD_161</t>
  </si>
  <si>
    <t xml:space="preserve">U2D1.898, </t>
  </si>
  <si>
    <t>TP_CPU1_RSVD_149</t>
  </si>
  <si>
    <t xml:space="preserve">U2D1.950, </t>
  </si>
  <si>
    <t>TP_CPU1_RSVD_167</t>
  </si>
  <si>
    <t xml:space="preserve">U2D1.871, </t>
  </si>
  <si>
    <t>TP_CPU1_RSVD_162</t>
  </si>
  <si>
    <t xml:space="preserve">U2D1.896, </t>
  </si>
  <si>
    <t>TP_CPU1_RSVD_145</t>
  </si>
  <si>
    <t xml:space="preserve">U2D1.1001, </t>
  </si>
  <si>
    <t>TP_CPU1_RSVD_144</t>
  </si>
  <si>
    <t xml:space="preserve">U2D1.1002, </t>
  </si>
  <si>
    <t>TP_CPU1_RSVD_169</t>
  </si>
  <si>
    <t xml:space="preserve">U2D1.869, </t>
  </si>
  <si>
    <t>TP_CPU1_RSVD_146</t>
  </si>
  <si>
    <t xml:space="preserve">U2D1.976, </t>
  </si>
  <si>
    <t>TP_CPU1_RSVD_154</t>
  </si>
  <si>
    <t xml:space="preserve">U2D1.924, </t>
  </si>
  <si>
    <t>TP_CPU1_RSVD_148</t>
  </si>
  <si>
    <t xml:space="preserve">U2D1.951, </t>
  </si>
  <si>
    <t>TP_CPU1_RSVD_160</t>
  </si>
  <si>
    <t xml:space="preserve">U2D1.900, </t>
  </si>
  <si>
    <t>TP_CPU1_RSVD_159</t>
  </si>
  <si>
    <t xml:space="preserve">U2D1.901, </t>
  </si>
  <si>
    <t>TP_CPU1_RSVD_147</t>
  </si>
  <si>
    <t xml:space="preserve">U2D1.952, </t>
  </si>
  <si>
    <t>TP_CPU1_RSVD_168</t>
  </si>
  <si>
    <t xml:space="preserve">U2D1.870, </t>
  </si>
  <si>
    <t>TP_CPU1_RSVD_99</t>
  </si>
  <si>
    <t xml:space="preserve">U2D1.1536, </t>
  </si>
  <si>
    <t>TP_CPU1_RSVD_85</t>
  </si>
  <si>
    <t xml:space="preserve">U2D1.1622, </t>
  </si>
  <si>
    <t>TP_CPU1_RSVD_189</t>
  </si>
  <si>
    <t xml:space="preserve">U2D1.670, </t>
  </si>
  <si>
    <t>TP_CPU1_RSVD_246</t>
  </si>
  <si>
    <t xml:space="preserve">U2D1.318, </t>
  </si>
  <si>
    <t>TP_CPU1_RSVD_232</t>
  </si>
  <si>
    <t xml:space="preserve">U2D1.402, </t>
  </si>
  <si>
    <t>TP_CPU1_RSVD_97</t>
  </si>
  <si>
    <t xml:space="preserve">U2D1.1544, </t>
  </si>
  <si>
    <t>TP_CPU1_RSVD_91</t>
  </si>
  <si>
    <t xml:space="preserve">U2D1.1570, </t>
  </si>
  <si>
    <t>TP_CPU1_RSVD_119</t>
  </si>
  <si>
    <t xml:space="preserve">U2D1.1329, </t>
  </si>
  <si>
    <t>TP_CPU1_RSVD_117</t>
  </si>
  <si>
    <t xml:space="preserve">U2D1.1389, </t>
  </si>
  <si>
    <t>TP_CPU1_RSVD_121</t>
  </si>
  <si>
    <t xml:space="preserve">U2D1.1303, </t>
  </si>
  <si>
    <t>TP_CPU1_RSVD_108</t>
  </si>
  <si>
    <t xml:space="preserve">U2D1.1465, </t>
  </si>
  <si>
    <t>TP_CPU1_RSVD_124</t>
  </si>
  <si>
    <t xml:space="preserve">U2D1.1278, </t>
  </si>
  <si>
    <t>TP_CPU1_RSVD_114</t>
  </si>
  <si>
    <t xml:space="preserve">U2D1.1414, </t>
  </si>
  <si>
    <t>TP_CPU0_RSVD_254</t>
  </si>
  <si>
    <t xml:space="preserve">U5D1.248, </t>
  </si>
  <si>
    <t>TP_CPU0_RSVD_245</t>
  </si>
  <si>
    <t xml:space="preserve">U5D1.333, </t>
  </si>
  <si>
    <t>TP_CPU0_RSVD_123</t>
  </si>
  <si>
    <t xml:space="preserve">U5D1.1297, </t>
  </si>
  <si>
    <t>TP_CPU0_RSVD_111</t>
  </si>
  <si>
    <t xml:space="preserve">U5D1.1443, </t>
  </si>
  <si>
    <t>TP_CPU0_RSVD_113</t>
  </si>
  <si>
    <t xml:space="preserve">U5D1.1417, </t>
  </si>
  <si>
    <t>TP_CPU0_RSVD_175</t>
  </si>
  <si>
    <t xml:space="preserve">U5D1.848, </t>
  </si>
  <si>
    <t>TP_CPU0_RSVD_155</t>
  </si>
  <si>
    <t xml:space="preserve">U5D1.923, </t>
  </si>
  <si>
    <t>TP_CPU0_RSVD_166</t>
  </si>
  <si>
    <t xml:space="preserve">U5D1.873, </t>
  </si>
  <si>
    <t>TP_CPU0_RSVD_161</t>
  </si>
  <si>
    <t xml:space="preserve">U5D1.898, </t>
  </si>
  <si>
    <t>TP_CPU0_RSVD_149</t>
  </si>
  <si>
    <t xml:space="preserve">U5D1.950, </t>
  </si>
  <si>
    <t>TP_CPU0_RSVD_167</t>
  </si>
  <si>
    <t xml:space="preserve">U5D1.871, </t>
  </si>
  <si>
    <t>TP_CPU0_RSVD_162</t>
  </si>
  <si>
    <t xml:space="preserve">U5D1.896, </t>
  </si>
  <si>
    <t>TP_CPU0_RSVD_145</t>
  </si>
  <si>
    <t xml:space="preserve">U5D1.1001, </t>
  </si>
  <si>
    <t>TP_CPU0_RSVD_144</t>
  </si>
  <si>
    <t xml:space="preserve">U5D1.1002, </t>
  </si>
  <si>
    <t>TP_CPU0_RSVD_169</t>
  </si>
  <si>
    <t xml:space="preserve">U5D1.869, </t>
  </si>
  <si>
    <t>TP_CPU0_RSVD_146</t>
  </si>
  <si>
    <t xml:space="preserve">U5D1.976, </t>
  </si>
  <si>
    <t>TP_CPU0_RSVD_178</t>
  </si>
  <si>
    <t xml:space="preserve">U5D1.843, </t>
  </si>
  <si>
    <t>TP_CPU0_RSVD_154</t>
  </si>
  <si>
    <t xml:space="preserve">U5D1.924, </t>
  </si>
  <si>
    <t>TP_CPU0_RSVD_148</t>
  </si>
  <si>
    <t xml:space="preserve">U5D1.951, </t>
  </si>
  <si>
    <t>TP_CPU0_RSVD_160</t>
  </si>
  <si>
    <t xml:space="preserve">U5D1.900, </t>
  </si>
  <si>
    <t>TP_CPU0_RSVD_159</t>
  </si>
  <si>
    <t xml:space="preserve">U5D1.901, </t>
  </si>
  <si>
    <t>TP_CPU0_RSVD_147</t>
  </si>
  <si>
    <t xml:space="preserve">U5D1.952, </t>
  </si>
  <si>
    <t>TP_CPU0_RSVD_176</t>
  </si>
  <si>
    <t xml:space="preserve">U5D1.845, </t>
  </si>
  <si>
    <t>TP_CPU0_RSVD_168</t>
  </si>
  <si>
    <t xml:space="preserve">U5D1.870, </t>
  </si>
  <si>
    <t>TP_CPU0_RSVD_85</t>
  </si>
  <si>
    <t xml:space="preserve">U5D1.1622, </t>
  </si>
  <si>
    <t>TP_CPU0_RSVD_99</t>
  </si>
  <si>
    <t xml:space="preserve">U5D1.1536, </t>
  </si>
  <si>
    <t>TP_CPU0_RSVD_189</t>
  </si>
  <si>
    <t xml:space="preserve">U5D1.670, </t>
  </si>
  <si>
    <t>TP_CPU0_RSVD_246</t>
  </si>
  <si>
    <t xml:space="preserve">U5D1.318, </t>
  </si>
  <si>
    <t>TP_CPU0_RSVD_232</t>
  </si>
  <si>
    <t xml:space="preserve">U5D1.402, </t>
  </si>
  <si>
    <t>TP_CPU0_RSVD_97</t>
  </si>
  <si>
    <t xml:space="preserve">U5D1.1544, </t>
  </si>
  <si>
    <t>TP_CPU0_RSVD_91</t>
  </si>
  <si>
    <t xml:space="preserve">U5D1.1570, </t>
  </si>
  <si>
    <t>TP_CPU0_RSVD_119</t>
  </si>
  <si>
    <t xml:space="preserve">U5D1.1329, </t>
  </si>
  <si>
    <t>TP_CPU0_RSVD_117</t>
  </si>
  <si>
    <t xml:space="preserve">U5D1.1389, </t>
  </si>
  <si>
    <t>TP_CPU0_RSVD_121</t>
  </si>
  <si>
    <t xml:space="preserve">U5D1.1303, </t>
  </si>
  <si>
    <t>TP_CPU0_RSVD_108</t>
  </si>
  <si>
    <t xml:space="preserve">U5D1.1465, </t>
  </si>
  <si>
    <t>TP_CPU0_RSVD_124</t>
  </si>
  <si>
    <t xml:space="preserve">U5D1.1278, </t>
  </si>
  <si>
    <t>TP_CPU0_RSVD_114</t>
  </si>
  <si>
    <t xml:space="preserve">U5D1.1414, </t>
  </si>
  <si>
    <t>TP_SPI_0_1</t>
  </si>
  <si>
    <t xml:space="preserve">U7F1.13, </t>
  </si>
  <si>
    <t>NC_6256</t>
  </si>
  <si>
    <t xml:space="preserve">J2W1.22, </t>
  </si>
  <si>
    <t>NC_6257</t>
  </si>
  <si>
    <t xml:space="preserve">J2W1.23, </t>
  </si>
  <si>
    <t>NC_6258</t>
  </si>
  <si>
    <t xml:space="preserve">J2W2.22, </t>
  </si>
  <si>
    <t>NC_6259</t>
  </si>
  <si>
    <t xml:space="preserve">J2W2.23, </t>
  </si>
  <si>
    <t>TP_CPLD1_PB16A_PCLKT2_1</t>
  </si>
  <si>
    <t xml:space="preserve">U8D7.249, </t>
  </si>
  <si>
    <t>TP_CPLD1_PB25B_SI_SISPI</t>
  </si>
  <si>
    <t xml:space="preserve">U8D7.221, </t>
  </si>
  <si>
    <t>TP_CPLD1_PB5A_CSSPIN</t>
  </si>
  <si>
    <t xml:space="preserve">U8D7.229, </t>
  </si>
  <si>
    <t>TP_CPLD1_PB8A_MCLK_CCLK</t>
  </si>
  <si>
    <t xml:space="preserve">U8D7.214, </t>
  </si>
  <si>
    <t>TP_CPLD1_PR10C</t>
  </si>
  <si>
    <t xml:space="preserve">U8D7.139, </t>
  </si>
  <si>
    <t>TP_CPLD1_PR11B</t>
  </si>
  <si>
    <t xml:space="preserve">U8D7.174, </t>
  </si>
  <si>
    <t>TP_CPLD1_PR12D</t>
  </si>
  <si>
    <t xml:space="preserve">U8D7.173, </t>
  </si>
  <si>
    <t>TP_CPLD1_PR7B_PCLKC1_0</t>
  </si>
  <si>
    <t xml:space="preserve">U8D7.128, </t>
  </si>
  <si>
    <t>TP_CPLD1_PR7C</t>
  </si>
  <si>
    <t xml:space="preserve">U8D7.144, </t>
  </si>
  <si>
    <t>TP_CPLD1_PR7D</t>
  </si>
  <si>
    <t xml:space="preserve">U8D7.142, </t>
  </si>
  <si>
    <t>TP_CPLD1_PR9A</t>
  </si>
  <si>
    <t xml:space="preserve">U8D7.143, </t>
  </si>
  <si>
    <t>TP_CPLD1_PR9C</t>
  </si>
  <si>
    <t xml:space="preserve">U8D7.123, </t>
  </si>
  <si>
    <t>TP_CPLD1_PR9D</t>
  </si>
  <si>
    <t xml:space="preserve">U8D7.141, </t>
  </si>
  <si>
    <t>TP_CPLD1_PT11A</t>
  </si>
  <si>
    <t xml:space="preserve">U8D7.5, </t>
  </si>
  <si>
    <t>TP_CPLD1_PT11B</t>
  </si>
  <si>
    <t xml:space="preserve">U8D7.22, </t>
  </si>
  <si>
    <t>TP_CPLD1_PT13A</t>
  </si>
  <si>
    <t xml:space="preserve">U8D7.23, </t>
  </si>
  <si>
    <t>TP_CPLD1_PT16B</t>
  </si>
  <si>
    <t xml:space="preserve">U8D7.72, </t>
  </si>
  <si>
    <t>TP_CPLD1_PT17B_PCLKC0_1</t>
  </si>
  <si>
    <t xml:space="preserve">U8D7.8, </t>
  </si>
  <si>
    <t>TP_CPLD1_PT17C</t>
  </si>
  <si>
    <t xml:space="preserve">U8D7.56, </t>
  </si>
  <si>
    <t>TP_CPLD1_PT19D</t>
  </si>
  <si>
    <t xml:space="preserve">U8D7.75, </t>
  </si>
  <si>
    <t>TP_CPLD1_PT20A</t>
  </si>
  <si>
    <t xml:space="preserve">U8D7.58, </t>
  </si>
  <si>
    <t>TP_CPLD1_PT20B</t>
  </si>
  <si>
    <t xml:space="preserve">U8D7.74, </t>
  </si>
  <si>
    <t>TP_CPLD1_PT22C</t>
  </si>
  <si>
    <t xml:space="preserve">U8D7.29, </t>
  </si>
  <si>
    <t>TP_CPLD1_PT24C_INITN</t>
  </si>
  <si>
    <t xml:space="preserve">U8D7.13, </t>
  </si>
  <si>
    <t>TP_CPLD1_PT24D_DONE</t>
  </si>
  <si>
    <t xml:space="preserve">U8D7.45, </t>
  </si>
  <si>
    <t>TP_CLK_100M_NSSCC1_DN</t>
  </si>
  <si>
    <t xml:space="preserve">U7C1.1550, </t>
  </si>
  <si>
    <t>TP_CLK_100M_NSSCC1_DP</t>
  </si>
  <si>
    <t xml:space="preserve">U7C1.3206, </t>
  </si>
  <si>
    <t>TP_CLK_24M_PMSYNC2</t>
  </si>
  <si>
    <t xml:space="preserve">U7C1.2859, </t>
  </si>
  <si>
    <t>TP_USB3_P05_RXN</t>
  </si>
  <si>
    <t xml:space="preserve">U7C1.1943, </t>
  </si>
  <si>
    <t>TP_USB3_P05_RXP</t>
  </si>
  <si>
    <t xml:space="preserve">U7C1.1941, </t>
  </si>
  <si>
    <t>TP_USB3_P06_RXN</t>
  </si>
  <si>
    <t xml:space="preserve">U7C1.1872, </t>
  </si>
  <si>
    <t>TP_USB3_P06_RXP</t>
  </si>
  <si>
    <t xml:space="preserve">U7C1.1870, </t>
  </si>
  <si>
    <t>TP_PCH_RSVD38</t>
  </si>
  <si>
    <t xml:space="preserve">U7C1.2333, </t>
  </si>
  <si>
    <t>TP_10GBE_KR0_MON_DP</t>
  </si>
  <si>
    <t xml:space="preserve">U7C1.2474, </t>
  </si>
  <si>
    <t>TP_10GBE_KR1_MON_DP</t>
  </si>
  <si>
    <t xml:space="preserve">U7C1.2481, </t>
  </si>
  <si>
    <t>TP_PCH_RSVD53</t>
  </si>
  <si>
    <t xml:space="preserve">U7C1.3914, </t>
  </si>
  <si>
    <t>TP_PCH_RSVD54</t>
  </si>
  <si>
    <t xml:space="preserve">U7C1.3984, </t>
  </si>
  <si>
    <t>TP_SLP_LAN_N</t>
  </si>
  <si>
    <t xml:space="preserve">U7C1.3759, </t>
  </si>
  <si>
    <t>TP_CPU_PCH_TRIGGER_IN</t>
  </si>
  <si>
    <t xml:space="preserve">U7C1.3751, </t>
  </si>
  <si>
    <t>TP_PCH_GPP_L10</t>
  </si>
  <si>
    <t xml:space="preserve">U7C1.452, </t>
  </si>
  <si>
    <t>TP_PCH_GPP_L11</t>
  </si>
  <si>
    <t xml:space="preserve">U7C1.308, </t>
  </si>
  <si>
    <t>TP_PCH_RSVD27</t>
  </si>
  <si>
    <t xml:space="preserve">U7C1.2042, </t>
  </si>
  <si>
    <t>TP_PCH_RSVD28</t>
  </si>
  <si>
    <t xml:space="preserve">U7C1.3995, </t>
  </si>
  <si>
    <t>TP_PCH_RSVD29</t>
  </si>
  <si>
    <t xml:space="preserve">U7C1.3921, </t>
  </si>
  <si>
    <t>TP_PCH_RSVD58</t>
  </si>
  <si>
    <t xml:space="preserve">U7C1.1035, </t>
  </si>
  <si>
    <t>TP_PCH_RSVD59</t>
  </si>
  <si>
    <t xml:space="preserve">U7C1.1179, </t>
  </si>
  <si>
    <t>TP_PVCCIO_CPU0_BTSEN</t>
  </si>
  <si>
    <t xml:space="preserve">EU3P1.34, </t>
  </si>
  <si>
    <t>TP_VR_PVCCIO_CPU0_MP0</t>
  </si>
  <si>
    <t xml:space="preserve">EU3P1.13, </t>
  </si>
  <si>
    <t>TP_VR_PVCCIO_CPU0_MP1</t>
  </si>
  <si>
    <t xml:space="preserve">EU3P1.14, </t>
  </si>
  <si>
    <t>TP_PVCCIO_CPU0_PINALRT_N</t>
  </si>
  <si>
    <t xml:space="preserve">EU3P1.12, </t>
  </si>
  <si>
    <t>TP_VR_PVNN_PCH_AIINSEN</t>
  </si>
  <si>
    <t xml:space="preserve">EU8A1.38, </t>
  </si>
  <si>
    <t>TP_PVDDQ_DEF_RESET_N</t>
  </si>
  <si>
    <t xml:space="preserve">EU7A5.8, </t>
  </si>
  <si>
    <t>TP_XDP_OBSDATA_B2</t>
  </si>
  <si>
    <t xml:space="preserve">J9A3.33, </t>
  </si>
  <si>
    <t>TP_XDP_OBSDATA_B3</t>
  </si>
  <si>
    <t xml:space="preserve">J9A3.35, </t>
  </si>
  <si>
    <t>TP_CPU0_RSVD_TEST_5</t>
  </si>
  <si>
    <t xml:space="preserve">U5D1.580, </t>
  </si>
  <si>
    <t>TP_CPU0_TEST_6</t>
  </si>
  <si>
    <t xml:space="preserve">U5D1.641, </t>
  </si>
  <si>
    <t>TP_CPU0_RSVD_233</t>
  </si>
  <si>
    <t xml:space="preserve">U5D1.401, </t>
  </si>
  <si>
    <t>TP_CPU0_RSVD_279</t>
  </si>
  <si>
    <t xml:space="preserve">U5D1.3065, </t>
  </si>
  <si>
    <t>TP_CPU0_RSVD_287</t>
  </si>
  <si>
    <t xml:space="preserve">U5D1.2006, </t>
  </si>
  <si>
    <t>TP_CPU0_RSVD_304</t>
  </si>
  <si>
    <t xml:space="preserve">U5D1.96, </t>
  </si>
  <si>
    <t>TP_CPU0_RSVD_298</t>
  </si>
  <si>
    <t xml:space="preserve">U5D1.833, </t>
  </si>
  <si>
    <t>TP_CPU1_RSVD_TEST_5</t>
  </si>
  <si>
    <t xml:space="preserve">U2D1.580, </t>
  </si>
  <si>
    <t>TP_CPU1_TEST_6</t>
  </si>
  <si>
    <t xml:space="preserve">U2D1.641, </t>
  </si>
  <si>
    <t>TP_CPU1_RSVD_233</t>
  </si>
  <si>
    <t xml:space="preserve">U2D1.401, </t>
  </si>
  <si>
    <t>TP_CPU1_RSVD_282</t>
  </si>
  <si>
    <t xml:space="preserve">U2D1.2832, </t>
  </si>
  <si>
    <t>TP_CPU1_RSVD_299</t>
  </si>
  <si>
    <t xml:space="preserve">U2D1.815, </t>
  </si>
  <si>
    <t>TP_CPU1_RSVD_303</t>
  </si>
  <si>
    <t xml:space="preserve">U2D1.99, </t>
  </si>
  <si>
    <t>TP_CPU1_RSVD_275</t>
  </si>
  <si>
    <t xml:space="preserve">U2D1.3101, </t>
  </si>
  <si>
    <t>TP_CPU1_RSVD_222</t>
  </si>
  <si>
    <t xml:space="preserve">U2D1.467, </t>
  </si>
  <si>
    <t>TP_CH_A_DIMM_A0_RFU_0</t>
  </si>
  <si>
    <t xml:space="preserve">J4G1.205, </t>
  </si>
  <si>
    <t>TP_CH_A_DIMM_A0_RFU_1</t>
  </si>
  <si>
    <t xml:space="preserve">J4G1.227, </t>
  </si>
  <si>
    <t>TP_CH_A_DIMM_A0_RFU_2</t>
  </si>
  <si>
    <t xml:space="preserve">J4G1.144, </t>
  </si>
  <si>
    <t>TP_CH_B_DIMM_B0_RFU_0</t>
  </si>
  <si>
    <t xml:space="preserve">J4G2.205, </t>
  </si>
  <si>
    <t>TP_CH_B_DIMM_B0_RFU_1</t>
  </si>
  <si>
    <t xml:space="preserve">J4G2.227, </t>
  </si>
  <si>
    <t>TP_CH_B_DIMM_B0_RFU_2</t>
  </si>
  <si>
    <t xml:space="preserve">J4G2.144, </t>
  </si>
  <si>
    <t>TP_CH_C_DIMM_C0_RFU_0</t>
  </si>
  <si>
    <t xml:space="preserve">J4G3.205, </t>
  </si>
  <si>
    <t>TP_CH_C_DIMM_C0_RFU_1</t>
  </si>
  <si>
    <t xml:space="preserve">J4G3.227, </t>
  </si>
  <si>
    <t>TP_CH_C_DIMM_C0_RFU_2</t>
  </si>
  <si>
    <t xml:space="preserve">J4G3.144, </t>
  </si>
  <si>
    <t>TP_CH_D_DIMM_D0_RFU_0</t>
  </si>
  <si>
    <t xml:space="preserve">J4B1.205, </t>
  </si>
  <si>
    <t>TP_CH_D_DIMM_D0_RFU_1</t>
  </si>
  <si>
    <t xml:space="preserve">J4B1.227, </t>
  </si>
  <si>
    <t>TP_CH_D_DIMM_D0_RFU_2</t>
  </si>
  <si>
    <t xml:space="preserve">J4B1.144, </t>
  </si>
  <si>
    <t>TP_CH_E_DIMM_E0_RFU_0</t>
  </si>
  <si>
    <t xml:space="preserve">J4A2.205, </t>
  </si>
  <si>
    <t>TP_CH_E_DIMM_E0_RFU_1</t>
  </si>
  <si>
    <t xml:space="preserve">J4A2.227, </t>
  </si>
  <si>
    <t>TP_CH_E_DIMM_E0_RFU_2</t>
  </si>
  <si>
    <t xml:space="preserve">J4A2.144, </t>
  </si>
  <si>
    <t>TP_CH_F_DIMM_F0_RFU_0</t>
  </si>
  <si>
    <t xml:space="preserve">J4A1.205, </t>
  </si>
  <si>
    <t>TP_CH_F_DIMM_F0_RFU_1</t>
  </si>
  <si>
    <t xml:space="preserve">J4A1.227, </t>
  </si>
  <si>
    <t>TP_CH_F_DIMM_F0_RFU_2</t>
  </si>
  <si>
    <t xml:space="preserve">J4A1.144, </t>
  </si>
  <si>
    <t>TP_CH_G_DIMM_G0_RFU_0</t>
  </si>
  <si>
    <t xml:space="preserve">J1G1.205, </t>
  </si>
  <si>
    <t>TP_CH_G_DIMM_G0_RFU_1</t>
  </si>
  <si>
    <t xml:space="preserve">J1G1.227, </t>
  </si>
  <si>
    <t>TP_CH_G_DIMM_G0_RFU_2</t>
  </si>
  <si>
    <t xml:space="preserve">J1G1.144, </t>
  </si>
  <si>
    <t>TP_CH_H_DIMM_H0_RFU_0</t>
  </si>
  <si>
    <t xml:space="preserve">J1G2.205, </t>
  </si>
  <si>
    <t>TP_CH_H_DIMM_H0_RFU_1</t>
  </si>
  <si>
    <t xml:space="preserve">J1G2.227, </t>
  </si>
  <si>
    <t>TP_CH_H_DIMM_H0_RFU_2</t>
  </si>
  <si>
    <t xml:space="preserve">J1G2.144, </t>
  </si>
  <si>
    <t>TP_CH_J_DIMM_J0_RFU_0</t>
  </si>
  <si>
    <t xml:space="preserve">J1G3.205, </t>
  </si>
  <si>
    <t>TP_CH_J_DIMM_J0_RFU_1</t>
  </si>
  <si>
    <t xml:space="preserve">J1G3.227, </t>
  </si>
  <si>
    <t>TP_CH_J_DIMM_J0_RFU_2</t>
  </si>
  <si>
    <t xml:space="preserve">J1G3.144, </t>
  </si>
  <si>
    <t>TP_CH_K_DIMM_K0_RFU_0</t>
  </si>
  <si>
    <t xml:space="preserve">J1B1.205, </t>
  </si>
  <si>
    <t>TP_CH_K_DIMM_K0_RFU_1</t>
  </si>
  <si>
    <t xml:space="preserve">J1B1.227, </t>
  </si>
  <si>
    <t>TP_CH_K_DIMM_K0_RFU_2</t>
  </si>
  <si>
    <t xml:space="preserve">J1B1.144, </t>
  </si>
  <si>
    <t>TP_CH_L_DIMM_L0_RFU_0</t>
  </si>
  <si>
    <t xml:space="preserve">J1A2.205, </t>
  </si>
  <si>
    <t>TP_CH_L_DIMM_L0_RFU_1</t>
  </si>
  <si>
    <t xml:space="preserve">J1A2.227, </t>
  </si>
  <si>
    <t>TP_CH_L_DIMM_L0_RFU_2</t>
  </si>
  <si>
    <t xml:space="preserve">J1A2.144, </t>
  </si>
  <si>
    <t>TP_CH_M_DIMM_M0_RFU_0</t>
  </si>
  <si>
    <t xml:space="preserve">J1A1.205, </t>
  </si>
  <si>
    <t>TP_CH_M_DIMM_M0_RFU_1</t>
  </si>
  <si>
    <t xml:space="preserve">J1A1.227, </t>
  </si>
  <si>
    <t>TP_CH_M_DIMM_M0_RFU_2</t>
  </si>
  <si>
    <t xml:space="preserve">J1A1.144, </t>
  </si>
  <si>
    <t>TP_CH_A_DIMM_A1_RFU_0</t>
  </si>
  <si>
    <t xml:space="preserve">J6T1.205, </t>
  </si>
  <si>
    <t>TP_CH_A_DIMM_A1_RFU_1</t>
  </si>
  <si>
    <t xml:space="preserve">J6T1.227, </t>
  </si>
  <si>
    <t>TP_CH_D_DIMM_D1_RFU_0</t>
  </si>
  <si>
    <t xml:space="preserve">J6M1.205, </t>
  </si>
  <si>
    <t>TP_CH_D_DIMM_D1_RFU_1</t>
  </si>
  <si>
    <t xml:space="preserve">J6M1.227, </t>
  </si>
  <si>
    <t>TP_CH_D_DIMM_D1_RFU_2</t>
  </si>
  <si>
    <t xml:space="preserve">J6M1.144, </t>
  </si>
  <si>
    <t>TP_CH_F_DIMM_F1_RFU_2</t>
  </si>
  <si>
    <t xml:space="preserve">J6L1.144, </t>
  </si>
  <si>
    <t>TP_CH_L_DIMM0_RFU_1</t>
  </si>
  <si>
    <t xml:space="preserve">J9L2.227, </t>
  </si>
  <si>
    <t>TP_CH_M_DIMM_M1_RFU_1</t>
  </si>
  <si>
    <t xml:space="preserve">J9L1.227, </t>
  </si>
  <si>
    <t>TP_CLK5_50M_CKMNG</t>
  </si>
  <si>
    <t xml:space="preserve">EU8F2.24, </t>
  </si>
  <si>
    <t>NC_6175</t>
  </si>
  <si>
    <t xml:space="preserve">EU3P1.1, </t>
  </si>
  <si>
    <t>NC_6176</t>
  </si>
  <si>
    <t xml:space="preserve">EU3P1.2, </t>
  </si>
  <si>
    <t>NC_6183</t>
  </si>
  <si>
    <t xml:space="preserve">U8D7.2, </t>
  </si>
  <si>
    <t>NC_6185</t>
  </si>
  <si>
    <t xml:space="preserve">EU8A1.1, </t>
  </si>
  <si>
    <t>NC_6186</t>
  </si>
  <si>
    <t xml:space="preserve">EU8A1.2, </t>
  </si>
  <si>
    <t>NC_6187</t>
  </si>
  <si>
    <t xml:space="preserve">EU8A1.28, </t>
  </si>
  <si>
    <t>NC_6188</t>
  </si>
  <si>
    <t xml:space="preserve">U7C1.2400, </t>
  </si>
  <si>
    <t>NC_6190</t>
  </si>
  <si>
    <t xml:space="preserve">U7C1.2411, </t>
  </si>
  <si>
    <t>NC_6191</t>
  </si>
  <si>
    <t xml:space="preserve">U7C1.2627, </t>
  </si>
  <si>
    <t>NC_6193</t>
  </si>
  <si>
    <t xml:space="preserve">U7C1.2407, </t>
  </si>
  <si>
    <t>NC_6194</t>
  </si>
  <si>
    <t xml:space="preserve">U7C1.2045, </t>
  </si>
  <si>
    <t>NC_6195</t>
  </si>
  <si>
    <t xml:space="preserve">U7C1.2189, </t>
  </si>
  <si>
    <t>NC_6196</t>
  </si>
  <si>
    <t xml:space="preserve">U7C1.2197, </t>
  </si>
  <si>
    <t>NC_6197</t>
  </si>
  <si>
    <t xml:space="preserve">U7C1.2053, </t>
  </si>
  <si>
    <t>NC_6198</t>
  </si>
  <si>
    <t xml:space="preserve">U7C1.1979, </t>
  </si>
  <si>
    <t>NC_6200</t>
  </si>
  <si>
    <t xml:space="preserve">U7C1.1307, </t>
  </si>
  <si>
    <t>NC_6201</t>
  </si>
  <si>
    <t xml:space="preserve">U7C1.2027, </t>
  </si>
  <si>
    <t>NC_6202</t>
  </si>
  <si>
    <t xml:space="preserve">U7C1.1388, </t>
  </si>
  <si>
    <t>NC_6205</t>
  </si>
  <si>
    <t xml:space="preserve">U7C1.1894, </t>
  </si>
  <si>
    <t>NC_6206</t>
  </si>
  <si>
    <t xml:space="preserve">U7C1.1311, </t>
  </si>
  <si>
    <t>NC_6209</t>
  </si>
  <si>
    <t xml:space="preserve">U7C1.1451, </t>
  </si>
  <si>
    <t>NC_6210</t>
  </si>
  <si>
    <t xml:space="preserve">U7C1.2638, </t>
  </si>
  <si>
    <t>NC_6211</t>
  </si>
  <si>
    <t xml:space="preserve">U8D7.117, </t>
  </si>
  <si>
    <t>NC_6212</t>
  </si>
  <si>
    <t xml:space="preserve">U8D7.132, </t>
  </si>
  <si>
    <t>NC_6213</t>
  </si>
  <si>
    <t xml:space="preserve">U7C1.76, </t>
  </si>
  <si>
    <t>NC_6214</t>
  </si>
  <si>
    <t xml:space="preserve">U25W4.71, </t>
  </si>
  <si>
    <t>NC_6228</t>
  </si>
  <si>
    <t xml:space="preserve">J30W1.23, </t>
  </si>
  <si>
    <t>NC_6229</t>
  </si>
  <si>
    <t xml:space="preserve">J30W1.24, </t>
  </si>
  <si>
    <t>NC_6234</t>
  </si>
  <si>
    <t xml:space="preserve">J1D1.13, </t>
  </si>
  <si>
    <t>NC_6235</t>
  </si>
  <si>
    <t xml:space="preserve">J1E1.13, </t>
  </si>
  <si>
    <t>NC_6236</t>
  </si>
  <si>
    <t xml:space="preserve">J10W1.5, </t>
  </si>
  <si>
    <t>NC_6253</t>
  </si>
  <si>
    <t xml:space="preserve">J8F1.59, </t>
  </si>
  <si>
    <t>NC_6254</t>
  </si>
  <si>
    <t xml:space="preserve">J8F1.60, </t>
  </si>
  <si>
    <t>NC_6268</t>
  </si>
  <si>
    <t xml:space="preserve">CONX8.61, </t>
  </si>
  <si>
    <t>NC_6269</t>
  </si>
  <si>
    <t xml:space="preserve">CONX8.62, </t>
  </si>
  <si>
    <t>TP_P3E_CPU1_PE2_RSR_TXN&lt;6&gt;</t>
  </si>
  <si>
    <t xml:space="preserve">U2D1.1541, </t>
  </si>
  <si>
    <t>TP_P3E_CPU1_PE2_RSR_TXP&lt;9&gt;</t>
  </si>
  <si>
    <t xml:space="preserve">U2D1.1331, </t>
  </si>
  <si>
    <t>TP_SPRV_SDP3</t>
  </si>
  <si>
    <t xml:space="preserve">EU9E1.60, </t>
  </si>
  <si>
    <t>NC_CLK_156M_CPU1_OSC</t>
  </si>
  <si>
    <t xml:space="preserve">Y3F1.2, </t>
  </si>
  <si>
    <t>TP_CPU0_RSVD_69</t>
  </si>
  <si>
    <t xml:space="preserve">U5D1.1822, </t>
  </si>
  <si>
    <t>因VIA未開防焊並且可植針位置被元件覆蓋</t>
  </si>
  <si>
    <t>因VIA未開防焊</t>
  </si>
  <si>
    <t>因可植針位置之[測點-&gt;測點]間距不夠</t>
  </si>
  <si>
    <t>19*19mil via</t>
    <phoneticPr fontId="3" type="noConversion"/>
  </si>
  <si>
    <t>PCB Size</t>
    <phoneticPr fontId="3" type="noConversion"/>
  </si>
  <si>
    <t>Total</t>
    <phoneticPr fontId="3" type="noConversion"/>
  </si>
  <si>
    <t>Actual Q'ty</t>
    <phoneticPr fontId="3" type="noConversion"/>
  </si>
  <si>
    <t>Need Q'ty</t>
    <phoneticPr fontId="3" type="noConversion"/>
  </si>
  <si>
    <t>* Percentage of nets with "Test Pad" or "VIA" test points(&gt;=85%):</t>
    <phoneticPr fontId="3" type="noConversion"/>
  </si>
  <si>
    <t>* Percentage of nets with test points on bottom side(&gt;=85%):</t>
    <phoneticPr fontId="3" type="noConversion"/>
  </si>
  <si>
    <t>No.</t>
    <phoneticPr fontId="3" type="noConversion"/>
  </si>
  <si>
    <t>Definition :</t>
    <phoneticPr fontId="3" type="noConversion"/>
  </si>
  <si>
    <t>No.</t>
    <phoneticPr fontId="3" type="noConversion"/>
  </si>
  <si>
    <t>Item</t>
    <phoneticPr fontId="3" type="noConversion"/>
  </si>
  <si>
    <t>Example</t>
    <phoneticPr fontId="3" type="noConversion"/>
  </si>
  <si>
    <t>2. Net information:</t>
    <phoneticPr fontId="3" type="noConversion"/>
  </si>
  <si>
    <t>1. Model information:</t>
    <phoneticPr fontId="3" type="noConversion"/>
  </si>
  <si>
    <t>5. Test point size, quantity, and allocation</t>
    <phoneticPr fontId="3" type="noConversion"/>
  </si>
  <si>
    <t>6. Power and GND nodes quantity, sufficient test points are required to supply power:</t>
    <phoneticPr fontId="3" type="noConversion"/>
  </si>
  <si>
    <t>2.Net information:</t>
    <phoneticPr fontId="3" type="noConversion"/>
  </si>
  <si>
    <t>Testable nets Coverage
(including high speed nets)</t>
    <phoneticPr fontId="3" type="noConversion"/>
  </si>
  <si>
    <t>Testable nets Coverage
(excluding high speed nets)</t>
    <phoneticPr fontId="3" type="noConversion"/>
  </si>
  <si>
    <t>Actual Q'ty</t>
    <phoneticPr fontId="3" type="noConversion"/>
  </si>
  <si>
    <t>Percentage</t>
    <phoneticPr fontId="3" type="noConversion"/>
  </si>
  <si>
    <t>Subtotal</t>
    <phoneticPr fontId="3" type="noConversion"/>
  </si>
  <si>
    <t>Q'ty of high speed nets with test piont</t>
    <phoneticPr fontId="3" type="noConversion"/>
  </si>
  <si>
    <t>Q'ty of high speed nets with test piont</t>
    <phoneticPr fontId="3" type="noConversion"/>
  </si>
  <si>
    <t>Date:</t>
    <phoneticPr fontId="3" type="noConversion"/>
  </si>
  <si>
    <t>Total nets number</t>
    <phoneticPr fontId="3" type="noConversion"/>
  </si>
  <si>
    <t>Nets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</si>
  <si>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</si>
  <si>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</si>
  <si>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</si>
  <si>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Top/Bottom</t>
    <phoneticPr fontId="3" type="noConversion"/>
  </si>
  <si>
    <t>PAD size</t>
    <phoneticPr fontId="3" type="noConversion"/>
  </si>
  <si>
    <t>Point type</t>
    <phoneticPr fontId="3" type="noConversion"/>
  </si>
  <si>
    <t>HSS</t>
    <phoneticPr fontId="3" type="noConversion"/>
  </si>
  <si>
    <t>Remark</t>
    <phoneticPr fontId="3" type="noConversion"/>
  </si>
  <si>
    <t>Remark</t>
    <phoneticPr fontId="3" type="noConversion"/>
  </si>
  <si>
    <t>No.</t>
    <phoneticPr fontId="3" type="noConversion"/>
  </si>
  <si>
    <r>
      <t>与高度大于</t>
    </r>
    <r>
      <rPr>
        <sz val="10"/>
        <rFont val="Arial"/>
        <family val="2"/>
      </rPr>
      <t>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</si>
  <si>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5~10mm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  <phoneticPr fontId="3" type="noConversion"/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</si>
  <si>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2.5~5mm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&lt;38mil</t>
    </r>
    <phoneticPr fontId="3" type="noConversion"/>
  </si>
  <si>
    <r>
      <rPr>
        <sz val="10"/>
        <rFont val="細明體"/>
        <family val="3"/>
        <charset val="136"/>
      </rPr>
      <t>与高度小于</t>
    </r>
    <r>
      <rPr>
        <sz val="10"/>
        <rFont val="Arial"/>
        <family val="2"/>
      </rPr>
      <t>2.5mm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&lt;25mil</t>
    </r>
    <phoneticPr fontId="3" type="noConversion"/>
  </si>
  <si>
    <r>
      <rPr>
        <sz val="10"/>
        <rFont val="新細明體"/>
        <family val="1"/>
        <charset val="136"/>
      </rPr>
      <t>与</t>
    </r>
    <r>
      <rPr>
        <sz val="10"/>
        <rFont val="Arial"/>
        <family val="2"/>
      </rPr>
      <t>BGA</t>
    </r>
    <r>
      <rPr>
        <sz val="10"/>
        <rFont val="新細明體"/>
        <family val="1"/>
        <charset val="136"/>
      </rPr>
      <t>间距</t>
    </r>
    <r>
      <rPr>
        <sz val="10"/>
        <rFont val="Arial"/>
        <family val="2"/>
      </rPr>
      <t>&lt;45mil</t>
    </r>
    <phoneticPr fontId="3" type="noConversion"/>
  </si>
  <si>
    <t xml:space="preserve"> </t>
    <phoneticPr fontId="3" type="noConversion"/>
  </si>
  <si>
    <t>Testable nets Coverage (including high speed nets)</t>
    <phoneticPr fontId="3" type="noConversion"/>
  </si>
  <si>
    <t>Testable nets Coverage (excluding high speed nets)</t>
    <phoneticPr fontId="3" type="noConversion"/>
  </si>
  <si>
    <t>Testable</t>
    <phoneticPr fontId="3" type="noConversion"/>
  </si>
  <si>
    <t>Untestable</t>
    <phoneticPr fontId="3" type="noConversion"/>
  </si>
  <si>
    <t>Q'ty of high speed nets(RD)</t>
    <phoneticPr fontId="3" type="noConversion"/>
  </si>
  <si>
    <r>
      <t>NET</t>
    </r>
    <r>
      <rPr>
        <sz val="10"/>
        <rFont val="標楷體"/>
        <family val="4"/>
        <charset val="136"/>
      </rPr>
      <t>不與任何元件相連，如孤立的孔，</t>
    </r>
    <r>
      <rPr>
        <sz val="10"/>
        <rFont val="Times New Roman"/>
        <family val="1"/>
      </rPr>
      <t>PAD</t>
    </r>
    <r>
      <rPr>
        <sz val="10"/>
        <rFont val="標楷體"/>
        <family val="4"/>
        <charset val="136"/>
      </rPr>
      <t>等</t>
    </r>
    <phoneticPr fontId="3" type="noConversion"/>
  </si>
  <si>
    <r>
      <t xml:space="preserve">3. Nets Coverage : </t>
    </r>
    <r>
      <rPr>
        <b/>
        <sz val="10"/>
        <rFont val="標楷體"/>
        <family val="4"/>
        <charset val="136"/>
      </rPr>
      <t>以下皆為連接</t>
    </r>
    <r>
      <rPr>
        <b/>
        <sz val="10"/>
        <rFont val="Times New Roman"/>
        <family val="1"/>
      </rPr>
      <t>2</t>
    </r>
    <r>
      <rPr>
        <b/>
        <sz val="10"/>
        <rFont val="標楷體"/>
        <family val="4"/>
        <charset val="136"/>
      </rPr>
      <t>個以上元件腳的</t>
    </r>
    <r>
      <rPr>
        <b/>
        <sz val="10"/>
        <rFont val="Times New Roman"/>
        <family val="1"/>
      </rPr>
      <t>NET</t>
    </r>
    <phoneticPr fontId="3" type="noConversion"/>
  </si>
  <si>
    <r>
      <t>Net</t>
    </r>
    <r>
      <rPr>
        <sz val="10"/>
        <rFont val="標楷體"/>
        <family val="4"/>
        <charset val="136"/>
      </rPr>
      <t>只連到一個元件交
（測點</t>
    </r>
    <r>
      <rPr>
        <sz val="10"/>
        <rFont val="Times New Roman"/>
        <family val="1"/>
      </rPr>
      <t>/Via</t>
    </r>
    <r>
      <rPr>
        <sz val="10"/>
        <rFont val="標楷體"/>
        <family val="4"/>
        <charset val="136"/>
      </rPr>
      <t>不算元件）</t>
    </r>
    <phoneticPr fontId="3" type="noConversion"/>
  </si>
  <si>
    <r>
      <rPr>
        <sz val="10"/>
        <rFont val="標楷體"/>
        <family val="4"/>
        <charset val="136"/>
      </rPr>
      <t>元件腳沒有引出線路，包括</t>
    </r>
    <r>
      <rPr>
        <sz val="10"/>
        <rFont val="Times New Roman"/>
        <family val="1"/>
      </rPr>
      <t>DIP</t>
    </r>
    <r>
      <rPr>
        <sz val="10"/>
        <rFont val="標楷體"/>
        <family val="4"/>
        <charset val="136"/>
      </rPr>
      <t>和</t>
    </r>
    <r>
      <rPr>
        <sz val="10"/>
        <rFont val="Times New Roman"/>
        <family val="1"/>
      </rPr>
      <t>SMD</t>
    </r>
    <r>
      <rPr>
        <sz val="10"/>
        <rFont val="標楷體"/>
        <family val="4"/>
        <charset val="136"/>
      </rPr>
      <t>腳</t>
    </r>
    <phoneticPr fontId="3" type="noConversion"/>
  </si>
  <si>
    <r>
      <rPr>
        <sz val="10"/>
        <rFont val="標楷體"/>
        <family val="4"/>
        <charset val="136"/>
      </rPr>
      <t>因不符合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要求而無法植針的</t>
    </r>
    <r>
      <rPr>
        <sz val="10"/>
        <rFont val="Times New Roman"/>
        <family val="1"/>
      </rPr>
      <t xml:space="preserve">net 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</si>
  <si>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板子有</t>
    </r>
    <r>
      <rPr>
        <sz val="10"/>
        <rFont val="Times New Roman"/>
        <family val="1"/>
      </rPr>
      <t xml:space="preserve">layout </t>
    </r>
    <r>
      <rPr>
        <sz val="10"/>
        <rFont val="標楷體"/>
        <family val="4"/>
        <charset val="136"/>
      </rPr>
      <t>測點，但不符合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要求，導致無法植針的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</si>
  <si>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t>Q'ty of high speed nets</t>
    </r>
    <r>
      <rPr>
        <sz val="8"/>
        <rFont val="Arial"/>
        <family val="2"/>
      </rPr>
      <t/>
    </r>
    <phoneticPr fontId="3" type="noConversion"/>
  </si>
  <si>
    <r>
      <rPr>
        <sz val="10"/>
        <rFont val="標楷體"/>
        <family val="4"/>
        <charset val="136"/>
      </rPr>
      <t>板子上高速信號的總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</si>
  <si>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板子上有測點高速信號的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</si>
  <si>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</si>
  <si>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公式：不含高速信號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有測點的高速信號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（總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phoneticPr fontId="3" type="noConversion"/>
  </si>
  <si>
    <t>ICT Test Point (Nets) Testability Analysis Report</t>
    <phoneticPr fontId="3" type="noConversion"/>
  </si>
  <si>
    <t xml:space="preserve">           Type
Size</t>
    <phoneticPr fontId="3" type="noConversion"/>
  </si>
  <si>
    <r>
      <rPr>
        <sz val="10"/>
        <color indexed="63"/>
        <rFont val="標楷體"/>
        <family val="4"/>
        <charset val="136"/>
      </rPr>
      <t>小於</t>
    </r>
    <r>
      <rPr>
        <sz val="10"/>
        <color indexed="63"/>
        <rFont val="Times New Roman"/>
        <family val="1"/>
      </rPr>
      <t>24mil
(</t>
    </r>
    <r>
      <rPr>
        <sz val="10"/>
        <color indexed="63"/>
        <rFont val="標楷體"/>
        <family val="4"/>
        <charset val="136"/>
      </rPr>
      <t>不含</t>
    </r>
    <r>
      <rPr>
        <sz val="10"/>
        <color indexed="63"/>
        <rFont val="Times New Roman"/>
        <family val="1"/>
      </rPr>
      <t>Bead/MECA)</t>
    </r>
    <phoneticPr fontId="3" type="noConversion"/>
  </si>
  <si>
    <t>* Percentage of nets with 75mil and 100mil Test Point (TP) Spacing(&gt;=85%) :</t>
    <phoneticPr fontId="3" type="noConversion"/>
  </si>
  <si>
    <t>Probe type</t>
  </si>
  <si>
    <t>Probe type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</si>
  <si>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</si>
  <si>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</si>
  <si>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</si>
  <si>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</si>
  <si>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</si>
  <si>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Connecting two or more component pins</t>
    <phoneticPr fontId="3" type="noConversion"/>
  </si>
  <si>
    <r>
      <t>3. Nets Coverage: The following are all Connecting two or more component pins</t>
    </r>
    <r>
      <rPr>
        <b/>
        <sz val="10"/>
        <rFont val="標楷體"/>
        <family val="4"/>
        <charset val="136"/>
      </rPr>
      <t/>
    </r>
    <phoneticPr fontId="3" type="noConversion"/>
  </si>
  <si>
    <r>
      <rPr>
        <sz val="10"/>
        <color indexed="10"/>
        <rFont val="Times New Roman"/>
        <family val="1"/>
      </rPr>
      <t>Untestable</t>
    </r>
    <r>
      <rPr>
        <sz val="10"/>
        <rFont val="Times New Roman"/>
        <family val="1"/>
      </rPr>
      <t xml:space="preserve"> nets number (</t>
    </r>
    <r>
      <rPr>
        <sz val="10"/>
        <rFont val="標楷體"/>
        <family val="4"/>
        <charset val="136"/>
      </rPr>
      <t>不可選點的</t>
    </r>
    <r>
      <rPr>
        <sz val="10"/>
        <rFont val="Times New Roman"/>
        <family val="1"/>
      </rPr>
      <t>nets</t>
    </r>
    <r>
      <rPr>
        <sz val="10"/>
        <rFont val="標楷體"/>
        <family val="4"/>
        <charset val="136"/>
      </rPr>
      <t>總數</t>
    </r>
    <r>
      <rPr>
        <sz val="10"/>
        <rFont val="Times New Roman"/>
        <family val="1"/>
      </rPr>
      <t>)</t>
    </r>
    <phoneticPr fontId="3" type="noConversion"/>
  </si>
  <si>
    <t>Only single component pin is connecting</t>
    <phoneticPr fontId="3" type="noConversion"/>
  </si>
  <si>
    <t>single component pin connecting</t>
    <phoneticPr fontId="3" type="noConversion"/>
  </si>
  <si>
    <t>Independent component pins</t>
    <phoneticPr fontId="3" type="noConversion"/>
  </si>
  <si>
    <t>Only single component pin connecting</t>
    <phoneticPr fontId="3" type="noConversion"/>
  </si>
  <si>
    <t>Not connected to any component</t>
  </si>
  <si>
    <t>Independent component pins</t>
    <phoneticPr fontId="3" type="noConversion"/>
  </si>
  <si>
    <t>Independent component pins</t>
    <phoneticPr fontId="3" type="noConversion"/>
  </si>
  <si>
    <t>HSS</t>
    <phoneticPr fontId="3" type="noConversion"/>
  </si>
  <si>
    <t>Not conform the DFT request Net Name, so can't build test probe</t>
    <phoneticPr fontId="3" type="noConversion"/>
  </si>
  <si>
    <t>There are test nets, but not conform the DFT request, so can't build test probe(from: Don't need DFT net list sheet)</t>
    <phoneticPr fontId="3" type="noConversion"/>
  </si>
  <si>
    <t>Only single component pin is connecting
No Connected (NC)</t>
    <phoneticPr fontId="3" type="noConversion"/>
  </si>
  <si>
    <t>Independent component pins
No Connected (NC)</t>
    <phoneticPr fontId="3" type="noConversion"/>
  </si>
  <si>
    <r>
      <t>Not connected to any component</t>
    </r>
    <r>
      <rPr>
        <sz val="10"/>
        <rFont val="標楷體"/>
        <family val="4"/>
        <charset val="136"/>
      </rPr>
      <t/>
    </r>
    <phoneticPr fontId="3" type="noConversion"/>
  </si>
  <si>
    <t>Not connected to any component</t>
    <phoneticPr fontId="3" type="noConversion"/>
  </si>
  <si>
    <t>Every Power Signal</t>
    <phoneticPr fontId="3" type="noConversion"/>
  </si>
  <si>
    <t>Connecting two or more component pins</t>
    <phoneticPr fontId="3" type="noConversion"/>
  </si>
  <si>
    <r>
      <t xml:space="preserve">There is a NET connecting two or more component pins
</t>
    </r>
    <r>
      <rPr>
        <sz val="10"/>
        <rFont val="標楷體"/>
        <family val="4"/>
        <charset val="136"/>
      </rPr>
      <t>（</t>
    </r>
    <r>
      <rPr>
        <sz val="10"/>
        <rFont val="Times New Roman"/>
        <family val="1"/>
      </rPr>
      <t>Test point/Via are not componet</t>
    </r>
    <r>
      <rPr>
        <sz val="10"/>
        <rFont val="標楷體"/>
        <family val="4"/>
        <charset val="136"/>
      </rPr>
      <t>）</t>
    </r>
    <phoneticPr fontId="3" type="noConversion"/>
  </si>
  <si>
    <t>4. Test point type, quantity, and allocation</t>
    <phoneticPr fontId="3" type="noConversion"/>
  </si>
  <si>
    <t>Independent component pins</t>
    <phoneticPr fontId="3" type="noConversion"/>
  </si>
  <si>
    <t>High speed sginals</t>
    <phoneticPr fontId="3" type="noConversion"/>
  </si>
  <si>
    <r>
      <rPr>
        <b/>
        <sz val="10"/>
        <color indexed="10"/>
        <rFont val="新細明體"/>
        <family val="1"/>
        <charset val="136"/>
      </rPr>
      <t>可測</t>
    </r>
    <r>
      <rPr>
        <b/>
        <sz val="10"/>
        <color indexed="10"/>
        <rFont val="Times New Roman"/>
        <family val="1"/>
      </rPr>
      <t>TP</t>
    </r>
    <r>
      <rPr>
        <b/>
        <sz val="10"/>
        <color indexed="10"/>
        <rFont val="新細明體"/>
        <family val="1"/>
        <charset val="136"/>
      </rPr>
      <t>總數</t>
    </r>
    <r>
      <rPr>
        <b/>
        <sz val="10"/>
        <color indexed="10"/>
        <rFont val="Times New Roman"/>
        <family val="1"/>
      </rPr>
      <t>/32</t>
    </r>
    <phoneticPr fontId="3" type="noConversion"/>
  </si>
  <si>
    <t>每個探針能承受的最大電流</t>
    <phoneticPr fontId="3" type="noConversion"/>
  </si>
  <si>
    <t>T</t>
  </si>
  <si>
    <t>TP_PEWAKE_M2_2</t>
  </si>
  <si>
    <t xml:space="preserve">TP9.1, JD2.129, </t>
  </si>
  <si>
    <t>TP_M2_1_MFG_CLK</t>
  </si>
  <si>
    <t xml:space="preserve">TP8.1, JD1.58, </t>
  </si>
  <si>
    <t>TP_M2_1_MFG_DAT</t>
  </si>
  <si>
    <t xml:space="preserve">TP7.1, JD1.56, </t>
  </si>
  <si>
    <t>TP_PESW_19</t>
  </si>
  <si>
    <t xml:space="preserve">TP60.1, U31.1316, </t>
  </si>
  <si>
    <t>TP_PEWAKE_M2_1</t>
  </si>
  <si>
    <t xml:space="preserve">TP6.1, JD1.54, </t>
  </si>
  <si>
    <t>TP_PESW_18</t>
  </si>
  <si>
    <t xml:space="preserve">TP59.1, U31.1161, </t>
  </si>
  <si>
    <t>TP_PESW_17</t>
  </si>
  <si>
    <t xml:space="preserve">TP58.1, U31.1394, </t>
  </si>
  <si>
    <t>TP_PESW_16</t>
  </si>
  <si>
    <t xml:space="preserve">TP54.1, U31.1081, </t>
  </si>
  <si>
    <t>TP_PESW_14</t>
  </si>
  <si>
    <t xml:space="preserve">TP52.1, U31.342, </t>
  </si>
  <si>
    <t>TP_PESW_13</t>
  </si>
  <si>
    <t xml:space="preserve">TP51.1, U31.380, </t>
  </si>
  <si>
    <t>TP_PESW_12</t>
  </si>
  <si>
    <t xml:space="preserve">TP50.1, U31.459, </t>
  </si>
  <si>
    <t>TP_M2_0_MFG_CLK</t>
  </si>
  <si>
    <t xml:space="preserve">TP5.1, JD1.133, </t>
  </si>
  <si>
    <t>TP_PESW_8</t>
  </si>
  <si>
    <t xml:space="preserve">TP49.1, U31.110, </t>
  </si>
  <si>
    <t>TP_PESW_7</t>
  </si>
  <si>
    <t xml:space="preserve">TP48.1, U31.109, </t>
  </si>
  <si>
    <t>TP_PESW_6</t>
  </si>
  <si>
    <t xml:space="preserve">TP47.1, U31.189, </t>
  </si>
  <si>
    <t>TP_PESW_5</t>
  </si>
  <si>
    <t xml:space="preserve">TP46.1, U31.111, </t>
  </si>
  <si>
    <t>TP_PESW_9</t>
  </si>
  <si>
    <t xml:space="preserve">TP45.1, U31.108, </t>
  </si>
  <si>
    <t>TP_PESW_10</t>
  </si>
  <si>
    <t xml:space="preserve">TP44.1, U31.107, </t>
  </si>
  <si>
    <t>TP_PESW_11</t>
  </si>
  <si>
    <t xml:space="preserve">TP43.1, U31.68, </t>
  </si>
  <si>
    <t>TP_PESW_4</t>
  </si>
  <si>
    <t xml:space="preserve">TP42.1, U31.1279, </t>
  </si>
  <si>
    <t>TP_PESW_3</t>
  </si>
  <si>
    <t xml:space="preserve">TP41.1, U31.1433, </t>
  </si>
  <si>
    <t>TP_PESW_2</t>
  </si>
  <si>
    <t xml:space="preserve">TP40.1, U31.1317, </t>
  </si>
  <si>
    <t>TP_M2_0_MFG_DAT</t>
  </si>
  <si>
    <t xml:space="preserve">TP4.1, JD1.131, </t>
  </si>
  <si>
    <t>TP_PESW_1</t>
  </si>
  <si>
    <t xml:space="preserve">TP39.1, U31.1357, </t>
  </si>
  <si>
    <t>TP_PEWAKE_M2_0</t>
  </si>
  <si>
    <t xml:space="preserve">TP3.1, JD1.129, </t>
  </si>
  <si>
    <t>TP_M2_5_MFG_CLK</t>
  </si>
  <si>
    <t xml:space="preserve">TP20.1, JD3.58, </t>
  </si>
  <si>
    <t>TP_JTAG_CONN_5</t>
  </si>
  <si>
    <t xml:space="preserve">TP2.1, CN5.5, </t>
  </si>
  <si>
    <t>TP_M2_5_MFG_DAT</t>
  </si>
  <si>
    <t xml:space="preserve">TP19.1, JD3.56, </t>
  </si>
  <si>
    <t>TP_PEWAKE_M2_5</t>
  </si>
  <si>
    <t xml:space="preserve">TP18.1, JD3.54, </t>
  </si>
  <si>
    <t>TP_M2_4_MFG_CLK</t>
  </si>
  <si>
    <t xml:space="preserve">TP17.1, JD3.133, </t>
  </si>
  <si>
    <t>TP_M2_4_MFG_DAT</t>
  </si>
  <si>
    <t xml:space="preserve">TP16.1, JD3.131, </t>
  </si>
  <si>
    <t>TP_PEWAKE_M2_4</t>
  </si>
  <si>
    <t xml:space="preserve">TP15.1, JD3.129, </t>
  </si>
  <si>
    <t>TP_M2_3_MFG_CLK</t>
  </si>
  <si>
    <t xml:space="preserve">TP14.1, JD2.58, </t>
  </si>
  <si>
    <t>TP_M2_3_MFG_DAT</t>
  </si>
  <si>
    <t xml:space="preserve">TP13.1, JD2.56, </t>
  </si>
  <si>
    <t>TP_PEWAKE_M2_3</t>
  </si>
  <si>
    <t xml:space="preserve">TP12.1, JD2.54, </t>
  </si>
  <si>
    <t>TP_M2_2_MFG_CLK</t>
  </si>
  <si>
    <t xml:space="preserve">TP11.1, JD2.133, </t>
  </si>
  <si>
    <t>TP_M2_2_MFG_DAT</t>
  </si>
  <si>
    <t xml:space="preserve">TP10.1, JD2.131, </t>
  </si>
  <si>
    <t>TP_JTAG_PCH_LAN_TRST_N</t>
  </si>
  <si>
    <t xml:space="preserve">TP1.1, CN5.4, </t>
  </si>
  <si>
    <t>USB_HUB3_RESET_N_R</t>
  </si>
  <si>
    <t xml:space="preserve">U61.36, R1278.2, R4417.1, </t>
  </si>
  <si>
    <t>USB_HUB3_BIC_RESET_R_N</t>
  </si>
  <si>
    <t xml:space="preserve">U1.23, R4731.2, </t>
  </si>
  <si>
    <t>USB_HUB1_JTAG_N</t>
  </si>
  <si>
    <t xml:space="preserve">U87.1, R4509.2, R4420.2, R4508.2, R4412.2, C1290.1, </t>
  </si>
  <si>
    <t>BIC_USB_HUB1_JTAG_N</t>
  </si>
  <si>
    <t xml:space="preserve">R114.2, R4433.2, R4414.1, </t>
  </si>
  <si>
    <t>RISER_RSVD2_R</t>
  </si>
  <si>
    <t xml:space="preserve">R4725.1, CN3.79, </t>
  </si>
  <si>
    <t>RISER_RSVD1_R</t>
  </si>
  <si>
    <t xml:space="preserve">R4724.1, CN1.82, </t>
  </si>
  <si>
    <t>UART_LEVEL_SHIFT_M2_8_OE_R</t>
  </si>
  <si>
    <t xml:space="preserve">U106.2, R4685.1, </t>
  </si>
  <si>
    <t>UART_LEVEL_SHIFT_M2_7_OE_R</t>
  </si>
  <si>
    <t xml:space="preserve">U104.2, R4676.1, </t>
  </si>
  <si>
    <t>UART_LEVEL_SHIFT_M2_6_OE_R</t>
  </si>
  <si>
    <t xml:space="preserve">U110.2, R4666.1, </t>
  </si>
  <si>
    <t>UART_LEVEL_SHIFT_M2_11_OE_R</t>
  </si>
  <si>
    <t xml:space="preserve">U109.2, R4706.1, </t>
  </si>
  <si>
    <t>UART_LEVEL_SHIFT_M2_10_OE_R</t>
  </si>
  <si>
    <t xml:space="preserve">U108.2, R4694.1, </t>
  </si>
  <si>
    <t>UART_CP2108_M2_8_TX_R1</t>
  </si>
  <si>
    <t xml:space="preserve">U106.4, R4681.2, </t>
  </si>
  <si>
    <t>UART_CP2108_M2_8_RX_R1</t>
  </si>
  <si>
    <t xml:space="preserve">U106.5, R4683.2, </t>
  </si>
  <si>
    <t>UART_CP2108_M2_7_TX_R1</t>
  </si>
  <si>
    <t xml:space="preserve">U104.4, R4670.2, </t>
  </si>
  <si>
    <t>UART_CP2108_M2_7_RX_R1</t>
  </si>
  <si>
    <t xml:space="preserve">U104.5, R4672.2, </t>
  </si>
  <si>
    <t>UART_CP2108_M2_6_TX_R1</t>
  </si>
  <si>
    <t xml:space="preserve">U110.4, R4661.2, </t>
  </si>
  <si>
    <t>UART_CP2108_M2_6_RX_R1</t>
  </si>
  <si>
    <t xml:space="preserve">U110.5, R4663.2, </t>
  </si>
  <si>
    <t>UART_CP2108_M2_11_TX_R1</t>
  </si>
  <si>
    <t xml:space="preserve">U109.4, R4702.2, </t>
  </si>
  <si>
    <t>UART_CP2108_M2_11_RX_R1</t>
  </si>
  <si>
    <t xml:space="preserve">U109.5, R4704.2, </t>
  </si>
  <si>
    <t>UART_CP2108_M2_10_TX_R1</t>
  </si>
  <si>
    <t xml:space="preserve">U108.4, R4688.2, </t>
  </si>
  <si>
    <t>UART_CP2108_M2_10_RX_R1</t>
  </si>
  <si>
    <t xml:space="preserve">U108.5, R4690.2, </t>
  </si>
  <si>
    <t>UART_1V8_M2_8_RX_R</t>
  </si>
  <si>
    <t xml:space="preserve">U106.8, R4684.1, </t>
  </si>
  <si>
    <t>UART_1V8_M2_7_RX_R</t>
  </si>
  <si>
    <t xml:space="preserve">U104.8, R4673.1, </t>
  </si>
  <si>
    <t>UART_1V8_M2_6_RX_R</t>
  </si>
  <si>
    <t xml:space="preserve">U110.8, R4664.1, </t>
  </si>
  <si>
    <t>UART_1V8_M2_11_RX_R</t>
  </si>
  <si>
    <t xml:space="preserve">U109.8, R4705.1, </t>
  </si>
  <si>
    <t>UART_1V8_M2_10_RX_R</t>
  </si>
  <si>
    <t xml:space="preserve">U108.8, R4691.1, </t>
  </si>
  <si>
    <t>DIR2_PESW2</t>
  </si>
  <si>
    <t xml:space="preserve">U57.1, R4710.2, </t>
  </si>
  <si>
    <t>DIR2_M2_8</t>
  </si>
  <si>
    <t xml:space="preserve">U106.1, R4719.2, </t>
  </si>
  <si>
    <t>DIR2_M2_7</t>
  </si>
  <si>
    <t xml:space="preserve">U104.1, R4718.2, </t>
  </si>
  <si>
    <t>DIR2_M2_6</t>
  </si>
  <si>
    <t xml:space="preserve">U110.1, R4717.2, </t>
  </si>
  <si>
    <t>DIR2_M2_11</t>
  </si>
  <si>
    <t xml:space="preserve">U109.1, R4722.2, </t>
  </si>
  <si>
    <t>DIR2_M2_10</t>
  </si>
  <si>
    <t xml:space="preserve">U108.1, R4721.2, </t>
  </si>
  <si>
    <t>DIR1_M2_8</t>
  </si>
  <si>
    <t xml:space="preserve">U106.10, R4680.2, </t>
  </si>
  <si>
    <t>DIR1_M2_7</t>
  </si>
  <si>
    <t xml:space="preserve">U104.10, R4669.2, </t>
  </si>
  <si>
    <t>DIR1_M2_6</t>
  </si>
  <si>
    <t xml:space="preserve">U110.10, R4660.2, </t>
  </si>
  <si>
    <t>DIR1_M2_11</t>
  </si>
  <si>
    <t xml:space="preserve">U109.10, R4701.2, </t>
  </si>
  <si>
    <t>DIR1_M2_10</t>
  </si>
  <si>
    <t xml:space="preserve">U108.10, R4687.2, </t>
  </si>
  <si>
    <t>USB2_M2_9_OC_N</t>
  </si>
  <si>
    <t xml:space="preserve">U59.41, R1186.2, </t>
  </si>
  <si>
    <t>USB2_M2_8_OC_N</t>
  </si>
  <si>
    <t xml:space="preserve">U61.41, R1262.2, </t>
  </si>
  <si>
    <t>USB2_M2_7_OC_N</t>
  </si>
  <si>
    <t xml:space="preserve">U59.42, R1184.2, </t>
  </si>
  <si>
    <t>USB2_M2_6_OC_N</t>
  </si>
  <si>
    <t xml:space="preserve">U61.42, R1260.2, </t>
  </si>
  <si>
    <t>USB2_M2_5_OC_N</t>
  </si>
  <si>
    <t xml:space="preserve">U59.53, R1182.2, </t>
  </si>
  <si>
    <t>28.00,28.00</t>
  </si>
  <si>
    <t>USB2_M2_4_OC_N</t>
  </si>
  <si>
    <t xml:space="preserve">U61.53, R1258.2, </t>
  </si>
  <si>
    <t>USB2_M2_3_OC_N</t>
  </si>
  <si>
    <t xml:space="preserve">U59.55, R1179.2, </t>
  </si>
  <si>
    <t>USB2_M2_2_OC_N</t>
  </si>
  <si>
    <t xml:space="preserve">U61.55, R1255.2, </t>
  </si>
  <si>
    <t>USB2_M2_11_OC_N</t>
  </si>
  <si>
    <t xml:space="preserve">U59.40, R1188.2, </t>
  </si>
  <si>
    <t>USB2_M2_10_OC_N</t>
  </si>
  <si>
    <t xml:space="preserve">U61.40, R1264.2, </t>
  </si>
  <si>
    <t>USB2_M2_1_OC_N</t>
  </si>
  <si>
    <t xml:space="preserve">U59.56, R1177.2, </t>
  </si>
  <si>
    <t>UART_M2_5_TX</t>
  </si>
  <si>
    <t xml:space="preserve">JD3.46, R597.1, R596.1, </t>
  </si>
  <si>
    <t>UART_M2_5_RX</t>
  </si>
  <si>
    <t xml:space="preserve">JD3.48, R599.1, R598.1, </t>
  </si>
  <si>
    <t>UART_M2_4_TX</t>
  </si>
  <si>
    <t xml:space="preserve">JD3.121, R574.1, R573.1, </t>
  </si>
  <si>
    <t>UART_M2_4_RX</t>
  </si>
  <si>
    <t xml:space="preserve">JD3.123, R576.1, R575.1, </t>
  </si>
  <si>
    <t>UART_M2_3_TX</t>
  </si>
  <si>
    <t xml:space="preserve">JD2.46, R551.1, R550.1, </t>
  </si>
  <si>
    <t>UART_M2_3_RX</t>
  </si>
  <si>
    <t xml:space="preserve">JD2.48, R553.1, R552.1, </t>
  </si>
  <si>
    <t>UART_M2_2_TX</t>
  </si>
  <si>
    <t xml:space="preserve">JD2.121, R528.1, R527.1, </t>
  </si>
  <si>
    <t>UART_M2_2_RX</t>
  </si>
  <si>
    <t xml:space="preserve">JD2.123, R530.1, R529.1, </t>
  </si>
  <si>
    <t>UART_M2_1_TX</t>
  </si>
  <si>
    <t xml:space="preserve">JD1.46, R505.1, R504.1, </t>
  </si>
  <si>
    <t>UART_M2_1_RX</t>
  </si>
  <si>
    <t xml:space="preserve">JD1.48, R507.1, R506.1, </t>
  </si>
  <si>
    <t>UART_LEVEL_SHIFT_M2_8_OE</t>
  </si>
  <si>
    <t xml:space="preserve">R4685.2, R4674.2, Q67.3, </t>
  </si>
  <si>
    <t>UART_LEVEL_SHIFT_M2_7_OE</t>
  </si>
  <si>
    <t xml:space="preserve">R4676.2, R4668.2, Q66.3, </t>
  </si>
  <si>
    <t>UART_LEVEL_SHIFT_M2_6_OE</t>
  </si>
  <si>
    <t xml:space="preserve">R4666.2, R4667.2, Q65.3, </t>
  </si>
  <si>
    <t>UART_LEVEL_SHIFT_M2_11_OE</t>
  </si>
  <si>
    <t xml:space="preserve">R4706.2, R4679.2, Q70.3, </t>
  </si>
  <si>
    <t>UART_LEVEL_SHIFT_M2_10_OE</t>
  </si>
  <si>
    <t xml:space="preserve">R4694.2, R4678.2, Q69.3, </t>
  </si>
  <si>
    <t>UART_CP2108_M2_9_TX_R</t>
  </si>
  <si>
    <t xml:space="preserve">U62.57, R1662.1, </t>
  </si>
  <si>
    <t>UART_CP2108_M2_9_RX_R</t>
  </si>
  <si>
    <t xml:space="preserve">U62.56, R1758.2, R1663.1, </t>
  </si>
  <si>
    <t>UART_CP2108_M2_8_TX_R</t>
  </si>
  <si>
    <t xml:space="preserve">U64.16, R1658.1, </t>
  </si>
  <si>
    <t>UART_CP2108_M2_8_TX</t>
  </si>
  <si>
    <t xml:space="preserve">R4681.1, R1658.2, </t>
  </si>
  <si>
    <t>UART_CP2108_M2_8_RX_R</t>
  </si>
  <si>
    <t xml:space="preserve">U64.15, R1756.2, R1659.1, </t>
  </si>
  <si>
    <t>UART_CP2108_M2_8_RX</t>
  </si>
  <si>
    <t xml:space="preserve">R4683.1, R1659.2, </t>
  </si>
  <si>
    <t>UART_CP2108_M2_7_TX_R</t>
  </si>
  <si>
    <t xml:space="preserve">U63.4, R1648.1, </t>
  </si>
  <si>
    <t>UART_CP2108_M2_7_TX</t>
  </si>
  <si>
    <t xml:space="preserve">R4670.1, R1648.2, </t>
  </si>
  <si>
    <t>UART_CP2108_M2_7_RX_R</t>
  </si>
  <si>
    <t xml:space="preserve">U63.1, R1755.2, R1649.1, </t>
  </si>
  <si>
    <t>UART_CP2108_M2_7_RX</t>
  </si>
  <si>
    <t xml:space="preserve">R4672.1, R1649.2, </t>
  </si>
  <si>
    <t>UART_CP2108_M2_6_TX_R</t>
  </si>
  <si>
    <t xml:space="preserve">U64.49, R1656.1, </t>
  </si>
  <si>
    <t>UART_CP2108_M2_6_TX</t>
  </si>
  <si>
    <t xml:space="preserve">R4661.1, R1656.2, </t>
  </si>
  <si>
    <t>UART_CP2108_M2_6_RX_R</t>
  </si>
  <si>
    <t xml:space="preserve">U64.48, R1754.2, R1657.1, </t>
  </si>
  <si>
    <t>UART_CP2108_M2_6_RX</t>
  </si>
  <si>
    <t xml:space="preserve">R4663.1, R1657.2, </t>
  </si>
  <si>
    <t>UART_CP2108_M2_5_TX_R</t>
  </si>
  <si>
    <t xml:space="preserve">U63.16, R1646.1, </t>
  </si>
  <si>
    <t>UART_CP2108_M2_4_TX_R</t>
  </si>
  <si>
    <t xml:space="preserve">U64.57, R1654.1, </t>
  </si>
  <si>
    <t>UART_CP2108_M2_4_TX</t>
  </si>
  <si>
    <t xml:space="preserve">R4616.1, R1654.2, </t>
  </si>
  <si>
    <t>UART_CP2108_M2_4_RX_R</t>
  </si>
  <si>
    <t xml:space="preserve">U64.56, R1752.2, R1655.1, </t>
  </si>
  <si>
    <t>UART_CP2108_M2_3_TX_R</t>
  </si>
  <si>
    <t xml:space="preserve">U63.49, R1644.1, </t>
  </si>
  <si>
    <t>UART_CP2108_M2_3_RX_R</t>
  </si>
  <si>
    <t xml:space="preserve">U63.48, R1751.2, R1645.1, </t>
  </si>
  <si>
    <t>UART_CP2108_M2_2_TX_R</t>
  </si>
  <si>
    <t xml:space="preserve">U62.4, R1652.1, </t>
  </si>
  <si>
    <t>UART_CP2108_M2_2_RX_R</t>
  </si>
  <si>
    <t xml:space="preserve">U62.1, R1750.2, R1653.1, </t>
  </si>
  <si>
    <t>UART_CP2108_M2_11_RX_R</t>
  </si>
  <si>
    <t xml:space="preserve">U62.48, R1759.2, R1665.1, </t>
  </si>
  <si>
    <t>UART_CP2108_M2_11_RX</t>
  </si>
  <si>
    <t xml:space="preserve">R4704.1, R1665.2, </t>
  </si>
  <si>
    <t>UART_CP2108_M2_10_TX_R</t>
  </si>
  <si>
    <t xml:space="preserve">U64.4, R1660.1, </t>
  </si>
  <si>
    <t>UART_CP2108_M2_10_TX</t>
  </si>
  <si>
    <t xml:space="preserve">R4688.1, R1660.2, </t>
  </si>
  <si>
    <t>UART_CP2108_M2_10_RX_R</t>
  </si>
  <si>
    <t xml:space="preserve">U64.1, R1757.2, R1661.1, </t>
  </si>
  <si>
    <t>UART_CP2108_M2_10_RX</t>
  </si>
  <si>
    <t xml:space="preserve">R4690.1, R1661.2, </t>
  </si>
  <si>
    <t>UART_CP2108_M2_1_TX_R</t>
  </si>
  <si>
    <t xml:space="preserve">U63.57, R1642.1, </t>
  </si>
  <si>
    <t>UART_CP2108_M2_1_RX_R</t>
  </si>
  <si>
    <t xml:space="preserve">U63.56, R1749.2, R1643.1, </t>
  </si>
  <si>
    <t>UART_1V8_M2_9_RX</t>
  </si>
  <si>
    <t xml:space="preserve">R4698.2, R691.2, </t>
  </si>
  <si>
    <t>UART_1V8_M2_8_TX_R</t>
  </si>
  <si>
    <t xml:space="preserve">U106.9, R1782.2, R4682.1, </t>
  </si>
  <si>
    <t>UART_1V8_M2_8_TX</t>
  </si>
  <si>
    <t xml:space="preserve">R4682.2, R666.2, </t>
  </si>
  <si>
    <t>UART_1V8_M2_8_RX</t>
  </si>
  <si>
    <t xml:space="preserve">R4684.2, R668.2, </t>
  </si>
  <si>
    <t>UART_1V8_M2_7_TX_R</t>
  </si>
  <si>
    <t xml:space="preserve">U104.9, R1781.2, R4671.1, </t>
  </si>
  <si>
    <t>UART_1V8_M2_7_TX</t>
  </si>
  <si>
    <t xml:space="preserve">R4671.2, R643.2, </t>
  </si>
  <si>
    <t>UART_1V8_M2_7_RX</t>
  </si>
  <si>
    <t xml:space="preserve">R4673.2, R645.2, </t>
  </si>
  <si>
    <t>UART_1V8_M2_6_TX_R</t>
  </si>
  <si>
    <t xml:space="preserve">U110.9, R1780.2, R4662.1, </t>
  </si>
  <si>
    <t>UART_1V8_M2_6_TX</t>
  </si>
  <si>
    <t xml:space="preserve">R4662.2, R620.2, </t>
  </si>
  <si>
    <t>UART_1V8_M2_6_RX</t>
  </si>
  <si>
    <t xml:space="preserve">R4664.2, R622.2, </t>
  </si>
  <si>
    <t>UART_1V8_M2_11_TX_R</t>
  </si>
  <si>
    <t xml:space="preserve">U109.9, R1785.2, R4703.1, </t>
  </si>
  <si>
    <t>UART_1V8_M2_11_TX</t>
  </si>
  <si>
    <t xml:space="preserve">R4703.2, R735.2, </t>
  </si>
  <si>
    <t>UART_1V8_M2_11_RX</t>
  </si>
  <si>
    <t xml:space="preserve">R4705.2, R737.2, </t>
  </si>
  <si>
    <t>UART_1V8_M2_10_TX_R</t>
  </si>
  <si>
    <t xml:space="preserve">U108.9, R1784.2, R4689.1, </t>
  </si>
  <si>
    <t>UART_1V8_M2_10_TX</t>
  </si>
  <si>
    <t xml:space="preserve">R4689.2, R712.2, </t>
  </si>
  <si>
    <t>UART_1V8_M2_10_RX</t>
  </si>
  <si>
    <t xml:space="preserve">R4691.2, R714.2, </t>
  </si>
  <si>
    <t>SMB_M2_9_P1V8_DAT</t>
  </si>
  <si>
    <t xml:space="preserve">R936.2, R4306.1, </t>
  </si>
  <si>
    <t>SMB_M2_9_P1V8_CLK</t>
  </si>
  <si>
    <t xml:space="preserve">JD5.40, R934.2, </t>
  </si>
  <si>
    <t>SMB_M2_9_ALERT_N_R</t>
  </si>
  <si>
    <t xml:space="preserve">JD5.44, R243.2, </t>
  </si>
  <si>
    <t>SMB_M2_9_ALERT_N</t>
  </si>
  <si>
    <t xml:space="preserve">U2.312, R243.1, R283.2, </t>
  </si>
  <si>
    <t>SMB_M2_9_ALERT_LVC_N</t>
  </si>
  <si>
    <t xml:space="preserve">U1.293, R170.2, </t>
  </si>
  <si>
    <t>SMB_M2_8_P1V8_DAT</t>
  </si>
  <si>
    <t xml:space="preserve">R926.2, R4305.1, </t>
  </si>
  <si>
    <t>SMB_M2_8_ALERT_N_R</t>
  </si>
  <si>
    <t xml:space="preserve">JD5.119, R220.2, </t>
  </si>
  <si>
    <t>SMB_M2_8_ALERT_N</t>
  </si>
  <si>
    <t xml:space="preserve">U2.311, R220.1, R284.2, </t>
  </si>
  <si>
    <t>SMB_M2_8_ALERT_LVC_N_R</t>
  </si>
  <si>
    <t xml:space="preserve">U2.11, R169.2, R200.2, </t>
  </si>
  <si>
    <t>SMB_M2_8_ALERT_LVC_N</t>
  </si>
  <si>
    <t xml:space="preserve">U1.349, R169.1, </t>
  </si>
  <si>
    <t>SMB_M2_7_ALERT_N_R</t>
  </si>
  <si>
    <t xml:space="preserve">JD4.44, R242.2, </t>
  </si>
  <si>
    <t>SMB_M2_7_ALERT_N</t>
  </si>
  <si>
    <t xml:space="preserve">U2.259, R242.1, R285.2, </t>
  </si>
  <si>
    <t>SMB_M2_7_ALERT_LVC_N</t>
  </si>
  <si>
    <t xml:space="preserve">U1.329, R189.2, </t>
  </si>
  <si>
    <t>SMB_M2_7_3V3SB_DAT_R</t>
  </si>
  <si>
    <t xml:space="preserve">U2.105, R4361.2, </t>
  </si>
  <si>
    <t>SMB_M2_6_ALERT_N_R</t>
  </si>
  <si>
    <t xml:space="preserve">JD4.119, R219.2, </t>
  </si>
  <si>
    <t>SMB_M2_6_ALERT_N</t>
  </si>
  <si>
    <t xml:space="preserve">U2.224, R219.1, R286.2, </t>
  </si>
  <si>
    <t>SMB_M2_5_P1V8_CLK_R2</t>
  </si>
  <si>
    <t xml:space="preserve">U38.2, R906.1, R914.2, </t>
  </si>
  <si>
    <t>SMB_M2_5_INA233_ALRT_N_R</t>
  </si>
  <si>
    <t xml:space="preserve">U24.3, R604.1, R603.1, </t>
  </si>
  <si>
    <t>SMB_M2_5_INA233_ALRT_N</t>
  </si>
  <si>
    <t xml:space="preserve">U79.2, U1.26, R604.2, </t>
  </si>
  <si>
    <t>SMB_M2_5_ALERT_N</t>
  </si>
  <si>
    <t xml:space="preserve">U2.294, R241.1, R275.2, </t>
  </si>
  <si>
    <t>SMB_M2_5_3V3SB_DAT_R1</t>
  </si>
  <si>
    <t xml:space="preserve">U38.6, R909.2, </t>
  </si>
  <si>
    <t>SMB_M2_5_3V3SB_CLK_R3</t>
  </si>
  <si>
    <t xml:space="preserve">U24.5, R605.1, </t>
  </si>
  <si>
    <t>SMB_M2_5_3V3SB_CLK_R1</t>
  </si>
  <si>
    <t xml:space="preserve">U38.7, R907.2, </t>
  </si>
  <si>
    <t>SMB_M2_4_P1V8_DAT_R2</t>
  </si>
  <si>
    <t xml:space="preserve">U37.3, R904.1, R913.2, </t>
  </si>
  <si>
    <t>SMB_M2_4_P1V8_DAT</t>
  </si>
  <si>
    <t xml:space="preserve">R904.2, R4301.1, </t>
  </si>
  <si>
    <t>SMB_M2_4_P1V8_CLK_R2</t>
  </si>
  <si>
    <t xml:space="preserve">U37.2, R902.1, R912.2, </t>
  </si>
  <si>
    <t>SMB_M2_4_INA233_ALRT_N_R</t>
  </si>
  <si>
    <t xml:space="preserve">U23.3, R581.1, R580.1, </t>
  </si>
  <si>
    <t>SMB_M2_4_ALERT_LVC_N_R</t>
  </si>
  <si>
    <t xml:space="preserve">U2.31, R190.2, R205.2, </t>
  </si>
  <si>
    <t>SMB_M2_4_3V3SB_DAT_R1</t>
  </si>
  <si>
    <t xml:space="preserve">U37.6, R905.2, </t>
  </si>
  <si>
    <t>SMB_M2_4_3V3SB_CLK_R3</t>
  </si>
  <si>
    <t xml:space="preserve">U23.5, R582.1, </t>
  </si>
  <si>
    <t>SMB_M2_3_P1V8_DAT_R2</t>
  </si>
  <si>
    <t xml:space="preserve">U36.3, R900.1, R911.2, </t>
  </si>
  <si>
    <t>SMB_M2_3_P1V8_CLK_R2</t>
  </si>
  <si>
    <t xml:space="preserve">U36.2, R898.1, R910.2, </t>
  </si>
  <si>
    <t>SMB_M2_3_INA233_ALRT_N_R</t>
  </si>
  <si>
    <t xml:space="preserve">U22.3, R558.1, R557.1, </t>
  </si>
  <si>
    <t>SMB_M2_3_ALERT_N</t>
  </si>
  <si>
    <t xml:space="preserve">U2.241, R240.1, R277.2, </t>
  </si>
  <si>
    <t>SMB_M2_3_ALERT_LVC_N_R</t>
  </si>
  <si>
    <t xml:space="preserve">U2.13, R173.2, R206.2, </t>
  </si>
  <si>
    <t>SMB_M2_3_ALERT_LVC_N</t>
  </si>
  <si>
    <t xml:space="preserve">U1.328, R173.1, </t>
  </si>
  <si>
    <t>SMB_M2_3_3V3SB_DAT_R1</t>
  </si>
  <si>
    <t xml:space="preserve">U36.6, R901.2, </t>
  </si>
  <si>
    <t>SMB_M2_3_3V3SB_CLK_R3</t>
  </si>
  <si>
    <t xml:space="preserve">U22.5, R559.1, </t>
  </si>
  <si>
    <t>SMB_M2_3_3V3SB_CLK_R1</t>
  </si>
  <si>
    <t xml:space="preserve">U36.7, R899.2, </t>
  </si>
  <si>
    <t>SMB_M2_2_P1V8_DAT_R2</t>
  </si>
  <si>
    <t xml:space="preserve">U35.3, R890.1, R897.2, </t>
  </si>
  <si>
    <t>SMB_M2_2_INA233_ALRT_N_R</t>
  </si>
  <si>
    <t xml:space="preserve">U21.3, R535.1, R534.1, </t>
  </si>
  <si>
    <t>SMB_M2_2_ALERT_LVC_N</t>
  </si>
  <si>
    <t xml:space="preserve">U1.292, R174.2, </t>
  </si>
  <si>
    <t>SMB_M2_2_3V3SB_DAT_R1</t>
  </si>
  <si>
    <t xml:space="preserve">U35.6, R891.2, </t>
  </si>
  <si>
    <t>SMB_M2_2_3V3SB_CLK_R3</t>
  </si>
  <si>
    <t xml:space="preserve">U21.5, R536.1, </t>
  </si>
  <si>
    <t>SMB_M2_2_3V3SB_CLK_R1</t>
  </si>
  <si>
    <t xml:space="preserve">U35.7, R889.2, </t>
  </si>
  <si>
    <t>SMB_M2_11_ALERT_N_R</t>
  </si>
  <si>
    <t xml:space="preserve">JD6.44, R244.2, </t>
  </si>
  <si>
    <t>SMB_M2_11_ALERT_N</t>
  </si>
  <si>
    <t xml:space="preserve">U2.242, R244.1, R281.2, </t>
  </si>
  <si>
    <t>SMB_M2_10_P1V8_DAT</t>
  </si>
  <si>
    <t xml:space="preserve">R940.2, R4307.1, </t>
  </si>
  <si>
    <t>SMB_M2_10_P1V8_CLK</t>
  </si>
  <si>
    <t xml:space="preserve">JD6.115, R938.2, </t>
  </si>
  <si>
    <t>SMB_M2_10_ALERT_N_R</t>
  </si>
  <si>
    <t xml:space="preserve">JD6.119, R221.2, </t>
  </si>
  <si>
    <t>SMB_M2_10_ALERT_N</t>
  </si>
  <si>
    <t xml:space="preserve">U2.277, R221.1, R282.2, </t>
  </si>
  <si>
    <t>SMB_M2_10_ALERT_LVC_N</t>
  </si>
  <si>
    <t xml:space="preserve">U1.312, R187.2, </t>
  </si>
  <si>
    <t>SMB_M2_1_P1V8_DAT_R2</t>
  </si>
  <si>
    <t xml:space="preserve">U34.3, R886.1, R895.2, </t>
  </si>
  <si>
    <t>SMB_M2_1_P1V8_CLK_R2</t>
  </si>
  <si>
    <t xml:space="preserve">U34.2, R884.1, R894.2, </t>
  </si>
  <si>
    <t>SMB_M2_1_ALERT_N</t>
  </si>
  <si>
    <t xml:space="preserve">U2.293, R239.1, R279.2, </t>
  </si>
  <si>
    <t>SMB_M2_1_ALERT_LVC_N_R</t>
  </si>
  <si>
    <t xml:space="preserve">U2.14, R192.2, R208.2, </t>
  </si>
  <si>
    <t>SMB_M2_1_3V3SB_DAT_R1</t>
  </si>
  <si>
    <t xml:space="preserve">U34.6, R887.2, </t>
  </si>
  <si>
    <t>SMB_M2_1_3V3SB_CLK_R3</t>
  </si>
  <si>
    <t xml:space="preserve">U20.5, R513.1, </t>
  </si>
  <si>
    <t>SMB_M2_1_3V3SB_CLK_R1</t>
  </si>
  <si>
    <t xml:space="preserve">U34.7, R885.2, </t>
  </si>
  <si>
    <t>SMB_E1S_1_P3V3_DAT_R3</t>
  </si>
  <si>
    <t xml:space="preserve">U55.4, R1141.1, </t>
  </si>
  <si>
    <t>SMB_E1S_1_P3V3_DAT_R2</t>
  </si>
  <si>
    <t xml:space="preserve">U48.11, R1433.1, R1021.2, </t>
  </si>
  <si>
    <t>SMB_E1S_1_P3V3_DAT</t>
  </si>
  <si>
    <t xml:space="preserve">R1433.2, R1141.2, R1124.2, </t>
  </si>
  <si>
    <t>SMB_E1S_1_P3V3_CLK_R3</t>
  </si>
  <si>
    <t xml:space="preserve">U55.5, R1140.1, </t>
  </si>
  <si>
    <t>SMB_E1S_1_P3V3_CLK_R2</t>
  </si>
  <si>
    <t xml:space="preserve">U48.12, R1434.1, R1020.2, </t>
  </si>
  <si>
    <t>SMB_E1S_1_P3V3_CLK</t>
  </si>
  <si>
    <t xml:space="preserve">R1434.2, R1140.2, R1123.2, </t>
  </si>
  <si>
    <t>SMB_E1S_0_P3V3_DAT_R3</t>
  </si>
  <si>
    <t xml:space="preserve">U54.4, R1115.1, </t>
  </si>
  <si>
    <t>SMB_E1S_0_P3V3_DAT_R2</t>
  </si>
  <si>
    <t xml:space="preserve">U48.9, R1013.1, R1023.2, </t>
  </si>
  <si>
    <t>SMB_E1S_0_P3V3_CLK_R3</t>
  </si>
  <si>
    <t xml:space="preserve">U54.5, R1114.1, </t>
  </si>
  <si>
    <t>SMB_E1S_0_P3V3_CLK_R2</t>
  </si>
  <si>
    <t xml:space="preserve">U48.10, R1015.1, R1022.2, </t>
  </si>
  <si>
    <t>SMB_BIC_CPLD_M2_8/9_DAT_R</t>
  </si>
  <si>
    <t xml:space="preserve">U1.39, R35.2, R85.2, </t>
  </si>
  <si>
    <t>SMB_BIC_CPLD_M2_8/9_DAT</t>
  </si>
  <si>
    <t xml:space="preserve">R1796.1, R35.1, </t>
  </si>
  <si>
    <t>SMB_BIC_CPLD_M2_8/9_CLK_R</t>
  </si>
  <si>
    <t xml:space="preserve">U1.40, R41.2, R84.2, </t>
  </si>
  <si>
    <t>SMB_BIC_CPLD_M2_6/7_DAT_R</t>
  </si>
  <si>
    <t xml:space="preserve">U1.25, R32.2, R83.2, </t>
  </si>
  <si>
    <t>SMB_BIC_CPLD_M2_6/7_DAT</t>
  </si>
  <si>
    <t xml:space="preserve">R1798.2, R32.1, </t>
  </si>
  <si>
    <t>SMB_BIC_CPLD_M2_6/7_CLK_R</t>
  </si>
  <si>
    <t xml:space="preserve">U1.44, R31.2, R82.2, </t>
  </si>
  <si>
    <t>SMB_BIC_CPLD_M2_6/7_CLK</t>
  </si>
  <si>
    <t xml:space="preserve">U2.201, R31.1, </t>
  </si>
  <si>
    <t>SMB_BIC_CPLD_M2_2/3_DAT_R</t>
  </si>
  <si>
    <t xml:space="preserve">U1.358, R40.2, R74.2, </t>
  </si>
  <si>
    <t>SMB_BIC_CPLD_M2_2/3_CLK_R</t>
  </si>
  <si>
    <t xml:space="preserve">U1.339, R39.2, R72.2, </t>
  </si>
  <si>
    <t>RST_PESW_M2_9_N_R1</t>
  </si>
  <si>
    <t xml:space="preserve">R4504.2, U171.2, R4482.2, </t>
  </si>
  <si>
    <t>RST_PESW_M2_9_LVC_N_R1</t>
  </si>
  <si>
    <t xml:space="preserve">U171.1, R4481.1, </t>
  </si>
  <si>
    <t>RST_PESW_M2_9_LVC_N_R</t>
  </si>
  <si>
    <t xml:space="preserve">U171.4, R4484.2, R4483.1, R1443.2, </t>
  </si>
  <si>
    <t>RST_PESW_M2_9_LVC_N</t>
  </si>
  <si>
    <t xml:space="preserve">JD5.50, R4483.2, R4481.2, </t>
  </si>
  <si>
    <t>RST_PESW_M2_8_N_R1</t>
  </si>
  <si>
    <t xml:space="preserve">R4503.2, U170.2, R4477.2, </t>
  </si>
  <si>
    <t>RST_PESW_M2_8_LVC_N_R1</t>
  </si>
  <si>
    <t xml:space="preserve">U170.1, R4476.1, </t>
  </si>
  <si>
    <t>RST_PESW_M2_8_LVC_N_R</t>
  </si>
  <si>
    <t xml:space="preserve">U170.4, R4479.2, R4478.1, R1442.2, </t>
  </si>
  <si>
    <t>RST_PESW_M2_8_LVC_N</t>
  </si>
  <si>
    <t xml:space="preserve">JD5.125, R4478.2, R4476.2, </t>
  </si>
  <si>
    <t>RST_PESW_M2_7_N_R1</t>
  </si>
  <si>
    <t xml:space="preserve">R4502.2, U169.2, R4472.2, </t>
  </si>
  <si>
    <t>RST_PESW_M2_7_LVC_N_R1</t>
  </si>
  <si>
    <t xml:space="preserve">U169.1, R4471.1, </t>
  </si>
  <si>
    <t>RST_PESW_M2_7_LVC_N_R</t>
  </si>
  <si>
    <t xml:space="preserve">U169.4, R4474.2, R4473.1, R1441.2, </t>
  </si>
  <si>
    <t>RST_PESW_M2_7_LVC_N</t>
  </si>
  <si>
    <t xml:space="preserve">JD4.50, R4473.2, R4471.2, </t>
  </si>
  <si>
    <t>RST_PESW_M2_6_N_R1</t>
  </si>
  <si>
    <t xml:space="preserve">R4501.2, U168.2, R4467.2, </t>
  </si>
  <si>
    <t>RST_PESW_M2_6_LVC_N_R1</t>
  </si>
  <si>
    <t xml:space="preserve">U168.1, R4466.1, </t>
  </si>
  <si>
    <t>RST_PESW_M2_6_LVC_N_R</t>
  </si>
  <si>
    <t xml:space="preserve">U168.4, R4469.2, R4468.1, R1440.2, </t>
  </si>
  <si>
    <t>RST_PESW_M2_6_LVC_N</t>
  </si>
  <si>
    <t xml:space="preserve">JD4.125, R4468.2, R4466.2, </t>
  </si>
  <si>
    <t>RST_PESW_M2_5_N_R1</t>
  </si>
  <si>
    <t xml:space="preserve">R4500.2, U167.2, R4462.2, </t>
  </si>
  <si>
    <t>RST_PESW_M2_5_LVC_N_R1</t>
  </si>
  <si>
    <t xml:space="preserve">U167.1, R4460.1, </t>
  </si>
  <si>
    <t>RST_PESW_M2_5_LVC_N_R</t>
  </si>
  <si>
    <t xml:space="preserve">U167.4, R4464.2, R4463.1, R1435.2, </t>
  </si>
  <si>
    <t>RST_PESW_M2_5_LVC_N</t>
  </si>
  <si>
    <t xml:space="preserve">JD3.50, R4463.2, R4460.2, </t>
  </si>
  <si>
    <t>RST_PESW_M2_4_N_R1</t>
  </si>
  <si>
    <t xml:space="preserve">R4497.2, U166.2, R4457.2, </t>
  </si>
  <si>
    <t>RST_PESW_M2_4_N</t>
  </si>
  <si>
    <t xml:space="preserve">R4459.1, R4457.1, R797.1, </t>
  </si>
  <si>
    <t>RST_PESW_M2_4_LVC_N_R1</t>
  </si>
  <si>
    <t xml:space="preserve">U166.1, R4456.1, </t>
  </si>
  <si>
    <t>RST_PESW_M2_4_LVC_N_R</t>
  </si>
  <si>
    <t xml:space="preserve">U166.4, R4459.2, R4458.1, R1436.2, </t>
  </si>
  <si>
    <t>RST_PESW_M2_4_LVC_N</t>
  </si>
  <si>
    <t xml:space="preserve">JD3.125, R4458.2, R4456.2, </t>
  </si>
  <si>
    <t>RST_PESW_M2_3_N_R1</t>
  </si>
  <si>
    <t xml:space="preserve">R4499.2, U165.2, R4452.2, </t>
  </si>
  <si>
    <t>RST_PESW_M2_3_N_R</t>
  </si>
  <si>
    <t xml:space="preserve">U31.264, R796.2, R1391.2, </t>
  </si>
  <si>
    <t>RST_PESW_M2_3_LVC_N_R1</t>
  </si>
  <si>
    <t xml:space="preserve">U165.1, R4451.1, </t>
  </si>
  <si>
    <t>RST_PESW_M2_3_LVC_N_R</t>
  </si>
  <si>
    <t xml:space="preserve">U165.4, R4454.2, R4453.1, R1437.2, </t>
  </si>
  <si>
    <t>RST_PESW_M2_3_LVC_N</t>
  </si>
  <si>
    <t xml:space="preserve">JD2.50, R4453.2, R4451.2, </t>
  </si>
  <si>
    <t>RST_PESW_M2_2_N_R1</t>
  </si>
  <si>
    <t xml:space="preserve">R4496.2, U164.2, R4447.2, </t>
  </si>
  <si>
    <t>RST_PESW_M2_2_LVC_N_R1</t>
  </si>
  <si>
    <t xml:space="preserve">U164.1, R4446.1, </t>
  </si>
  <si>
    <t>RST_PESW_M2_2_LVC_N_R</t>
  </si>
  <si>
    <t xml:space="preserve">U164.4, R4449.2, R4448.1, R1438.2, </t>
  </si>
  <si>
    <t>RST_PESW_M2_2_LVC_N</t>
  </si>
  <si>
    <t xml:space="preserve">JD2.125, R4448.2, R4446.2, </t>
  </si>
  <si>
    <t>RST_PESW_M2_11_N_R1</t>
  </si>
  <si>
    <t xml:space="preserve">R4506.2, U173.2, R4492.2, </t>
  </si>
  <si>
    <t>RST_PESW_M2_11_LVC_N_R1</t>
  </si>
  <si>
    <t xml:space="preserve">U173.1, R4491.1, </t>
  </si>
  <si>
    <t>RST_PESW_M2_11_LVC_N_R</t>
  </si>
  <si>
    <t xml:space="preserve">U173.4, R4494.2, R4493.1, R1445.2, </t>
  </si>
  <si>
    <t>RST_PESW_M2_11_LVC_N</t>
  </si>
  <si>
    <t xml:space="preserve">JD6.50, R4493.2, R4491.2, </t>
  </si>
  <si>
    <t>RST_PESW_M2_10_N_R1</t>
  </si>
  <si>
    <t xml:space="preserve">R4505.2, U172.2, R4487.2, </t>
  </si>
  <si>
    <t>RST_PESW_M2_10_LVC_N_R1</t>
  </si>
  <si>
    <t xml:space="preserve">U172.1, R4486.1, </t>
  </si>
  <si>
    <t>RST_PESW_M2_10_LVC_N_R</t>
  </si>
  <si>
    <t xml:space="preserve">U172.4, R4489.2, R4488.1, R1444.2, </t>
  </si>
  <si>
    <t>RST_PESW_M2_10_LVC_N</t>
  </si>
  <si>
    <t xml:space="preserve">JD6.125, R4488.2, R4486.2, </t>
  </si>
  <si>
    <t>PWRGD_P3V3_M2_7</t>
  </si>
  <si>
    <t xml:space="preserve">U40.5, U2.252, U1.273, R459.2, Q66.2, </t>
  </si>
  <si>
    <t>PWRGD_P3V3_M2_6_R</t>
  </si>
  <si>
    <t xml:space="preserve">U13.6, R456.1, R455.2, </t>
  </si>
  <si>
    <t>PWRGD_P3V3_M2_6</t>
  </si>
  <si>
    <t xml:space="preserve">U39.5, U2.7, U1.251, R456.2, Q65.2, </t>
  </si>
  <si>
    <t>PWRGD_P3V3_M2_5_R</t>
  </si>
  <si>
    <t xml:space="preserve">U12.6, R453.1, R452.2, </t>
  </si>
  <si>
    <t>PWRGD_P3V3_M2_4_R</t>
  </si>
  <si>
    <t xml:space="preserve">U11.6, R450.1, R449.2, </t>
  </si>
  <si>
    <t>PWRGD_P3V3_M2_3_R</t>
  </si>
  <si>
    <t xml:space="preserve">U10.6, R447.1, R446.2, </t>
  </si>
  <si>
    <t>PWRGD_P3V3_M2_2_R</t>
  </si>
  <si>
    <t xml:space="preserve">U9.6, R444.1, R443.2, </t>
  </si>
  <si>
    <t>PWRGD_P3V3_M2_2</t>
  </si>
  <si>
    <t xml:space="preserve">U35.5, U2.27, U1.10, R444.2, Q61.2, </t>
  </si>
  <si>
    <t>PWRGD_P3V3_M2_1_R</t>
  </si>
  <si>
    <t xml:space="preserve">U8.6, R441.1, R440.2, </t>
  </si>
  <si>
    <t>PWRGD_P3V3_E1S_1_R</t>
  </si>
  <si>
    <t xml:space="preserve">U53.6, R1092.1, R1091.2, </t>
  </si>
  <si>
    <t>PWRGD_P3V3_E1S_0_R</t>
  </si>
  <si>
    <t xml:space="preserve">U52.6, R1089.1, R1088.2, </t>
  </si>
  <si>
    <t>PWRGD_P3V3_E1S_0</t>
  </si>
  <si>
    <t xml:space="preserve">U1.14, R1089.2, </t>
  </si>
  <si>
    <t>PWRGD_P12V_E1S_1_R</t>
  </si>
  <si>
    <t xml:space="preserve">U51.6, R1086.1, R1085.2, </t>
  </si>
  <si>
    <t>PWRGD_P12V_E1S_1</t>
  </si>
  <si>
    <t xml:space="preserve">U2.204, U1.64, R1086.2, </t>
  </si>
  <si>
    <t>PWRGD_P12V_E1S_0_R</t>
  </si>
  <si>
    <t xml:space="preserve">U50.6, R1083.1, R1082.2, </t>
  </si>
  <si>
    <t>PU_M2_5_VIO_1V8</t>
  </si>
  <si>
    <t xml:space="preserve">JD3.22, R593.2, </t>
  </si>
  <si>
    <t>PU_M2_5_PLA_S3_N</t>
  </si>
  <si>
    <t xml:space="preserve">JD3.30, R595.2, </t>
  </si>
  <si>
    <t>PU_M2_5_CLKREQ_N</t>
  </si>
  <si>
    <t xml:space="preserve">JD3.52, R600.2, </t>
  </si>
  <si>
    <t>PU_M2_4_VIO_1V8</t>
  </si>
  <si>
    <t xml:space="preserve">JD3.97, R570.2, </t>
  </si>
  <si>
    <t>PU_M2_4_PLA_S3_N</t>
  </si>
  <si>
    <t xml:space="preserve">JD3.105, R572.2, </t>
  </si>
  <si>
    <t>PU_M2_4_CLKREQ_N</t>
  </si>
  <si>
    <t xml:space="preserve">JD3.127, R577.2, </t>
  </si>
  <si>
    <t>PU_M2_3_VIO_1V8</t>
  </si>
  <si>
    <t xml:space="preserve">JD2.22, R547.2, </t>
  </si>
  <si>
    <t>PU_M2_3_PLA_S3_N</t>
  </si>
  <si>
    <t xml:space="preserve">JD2.30, R549.2, </t>
  </si>
  <si>
    <t>PU_M2_3_CLKREQ_N</t>
  </si>
  <si>
    <t xml:space="preserve">JD2.52, R554.2, </t>
  </si>
  <si>
    <t>PU_M2_2_VIO_1V8</t>
  </si>
  <si>
    <t xml:space="preserve">JD2.97, R524.2, </t>
  </si>
  <si>
    <t>PU_M2_2_PLA_S3_N</t>
  </si>
  <si>
    <t xml:space="preserve">JD2.105, R526.2, </t>
  </si>
  <si>
    <t>PU_M2_2_CLKREQ_N</t>
  </si>
  <si>
    <t xml:space="preserve">JD2.127, R531.2, </t>
  </si>
  <si>
    <t>PU_M2_1_VIO_1V8</t>
  </si>
  <si>
    <t xml:space="preserve">JD1.22, R501.2, </t>
  </si>
  <si>
    <t>PU_M2_1_CLKREQ_N</t>
  </si>
  <si>
    <t xml:space="preserve">JD1.52, R508.2, </t>
  </si>
  <si>
    <t>PU_INA233_M2_5_A1</t>
  </si>
  <si>
    <t xml:space="preserve">U24.1, R610.2, </t>
  </si>
  <si>
    <t>PU_INA233_M2_5_A0</t>
  </si>
  <si>
    <t xml:space="preserve">U24.2, R609.2, </t>
  </si>
  <si>
    <t>PU_INA233_M2_4_A1</t>
  </si>
  <si>
    <t xml:space="preserve">U23.1, R587.2, </t>
  </si>
  <si>
    <t>PU_INA233_M2_4_A0</t>
  </si>
  <si>
    <t xml:space="preserve">U23.2, R586.2, </t>
  </si>
  <si>
    <t>PU_INA233_M2_3_A1</t>
  </si>
  <si>
    <t xml:space="preserve">U22.1, R564.2, </t>
  </si>
  <si>
    <t>PU_INA233_M2_3_A0</t>
  </si>
  <si>
    <t xml:space="preserve">U22.2, R563.2, </t>
  </si>
  <si>
    <t>PU_INA233_M2_2_A1</t>
  </si>
  <si>
    <t xml:space="preserve">U21.1, R541.2, </t>
  </si>
  <si>
    <t>PU_INA233_M2_2_A0</t>
  </si>
  <si>
    <t xml:space="preserve">U21.2, R540.2, </t>
  </si>
  <si>
    <t>PU_INA233_M2_1_A1</t>
  </si>
  <si>
    <t xml:space="preserve">U20.1, R518.2, </t>
  </si>
  <si>
    <t>P3V3_M2_9</t>
  </si>
  <si>
    <t xml:space="preserve">U28.8, U16.8, U16.9, U16.10, U16.11, U16.12, </t>
  </si>
  <si>
    <t>P3V3_M2_5_SR</t>
  </si>
  <si>
    <t xml:space="preserve">U12.5, C128.1, </t>
  </si>
  <si>
    <t>P3V3_M2_5_L</t>
  </si>
  <si>
    <t xml:space="preserve">JD3.2, JD3.4, JD3.12, JD3.14, JD3.16, JD3.18, </t>
  </si>
  <si>
    <t>P3V3_M2_5_BLEED</t>
  </si>
  <si>
    <t xml:space="preserve">U12.7, R454.1, </t>
  </si>
  <si>
    <t>P3V3_M2_5</t>
  </si>
  <si>
    <t xml:space="preserve">U24.8, U12.8, U12.9, U12.10, U12.11, U12.12, </t>
  </si>
  <si>
    <t>P3V3_M2_4_SR</t>
  </si>
  <si>
    <t xml:space="preserve">U11.5, C121.1, </t>
  </si>
  <si>
    <t>P3V3_M2_4_L</t>
  </si>
  <si>
    <t xml:space="preserve">JD3.77, JD3.79, JD3.87, JD3.89, JD3.91, JD3.93, </t>
  </si>
  <si>
    <t>P3V3_M2_4_EN</t>
  </si>
  <si>
    <t xml:space="preserve">U11.2, R1408.2, R1051.1, </t>
  </si>
  <si>
    <t>P3V3_M2_4_BLEED</t>
  </si>
  <si>
    <t xml:space="preserve">U11.7, R451.1, </t>
  </si>
  <si>
    <t>P3V3_M2_4</t>
  </si>
  <si>
    <t xml:space="preserve">U23.8, U11.8, U11.9, U11.10, U11.11, U11.12, </t>
  </si>
  <si>
    <t>P3V3_M2_3_SR</t>
  </si>
  <si>
    <t xml:space="preserve">U10.5, C114.1, </t>
  </si>
  <si>
    <t>P3V3_M2_3_L</t>
  </si>
  <si>
    <t xml:space="preserve">JD2.2, JD2.4, JD2.12, JD2.14, JD2.16, JD2.18, </t>
  </si>
  <si>
    <t>P3V3_M2_3_EN</t>
  </si>
  <si>
    <t xml:space="preserve">U10.2, R1407.2, R1052.1, </t>
  </si>
  <si>
    <t>P3V3_M2_3</t>
  </si>
  <si>
    <t xml:space="preserve">U22.8, U10.8, U10.9, U10.10, U10.11, U10.12, </t>
  </si>
  <si>
    <t>P3V3_M2_2_L</t>
  </si>
  <si>
    <t xml:space="preserve">JD2.77, JD2.79, JD2.87, JD2.89, JD2.91, JD2.93, </t>
  </si>
  <si>
    <t>P3V3_M2_2</t>
  </si>
  <si>
    <t xml:space="preserve">U21.8, U9.8, U9.9, U9.10, U9.11, U9.12, </t>
  </si>
  <si>
    <t>P3V3_M2_1_L</t>
  </si>
  <si>
    <t xml:space="preserve">JD1.2, JD1.4, JD1.12, JD1.14, JD1.16, JD1.18, </t>
  </si>
  <si>
    <t>P3V3_M2_1_EN</t>
  </si>
  <si>
    <t xml:space="preserve">U8.2, R1405.2, R1054.1, </t>
  </si>
  <si>
    <t>P3V3_M2_1_BLEED</t>
  </si>
  <si>
    <t xml:space="preserve">U8.7, R442.1, </t>
  </si>
  <si>
    <t>P3V3_M2_1</t>
  </si>
  <si>
    <t xml:space="preserve">U20.8, U8.8, U8.9, U8.10, U8.11, U8.12, </t>
  </si>
  <si>
    <t>P3V3_E1S_1_SR</t>
  </si>
  <si>
    <t xml:space="preserve">C816.1, U53.5, </t>
  </si>
  <si>
    <t>P3V3_E1S_1_BLEED</t>
  </si>
  <si>
    <t xml:space="preserve">U53.7, R1093.1, </t>
  </si>
  <si>
    <t>P3V3_E1S_1</t>
  </si>
  <si>
    <t xml:space="preserve">JD8.39, U53.8, U53.9, U53.10, U53.11, U53.12, </t>
  </si>
  <si>
    <t>P3V3_E1S_0_SR</t>
  </si>
  <si>
    <t xml:space="preserve">C809.1, U52.5, </t>
  </si>
  <si>
    <t>P3V3_E1S_0_BLEED</t>
  </si>
  <si>
    <t xml:space="preserve">U52.7, R1090.1, </t>
  </si>
  <si>
    <t>P3V3_E1S_0</t>
  </si>
  <si>
    <t xml:space="preserve">JD7.39, U52.8, U52.9, U52.10, U52.11, U52.12, </t>
  </si>
  <si>
    <t>P3V3_CPLD_M2_9_EN</t>
  </si>
  <si>
    <t xml:space="preserve">U85.2, R145.2, </t>
  </si>
  <si>
    <t>P3V3_CPLD_M2_8_EN_R</t>
  </si>
  <si>
    <t xml:space="preserve">U2.197, R137.2, </t>
  </si>
  <si>
    <t>P3V3_CPLD_M2_7_EN_R</t>
  </si>
  <si>
    <t xml:space="preserve">U2.198, R138.1, </t>
  </si>
  <si>
    <t>P3V3_CPLD_M2_5_EN_R</t>
  </si>
  <si>
    <t xml:space="preserve">U2.63, R183.1, </t>
  </si>
  <si>
    <t>P3V3_CPLD_M2_4_EN_R</t>
  </si>
  <si>
    <t xml:space="preserve">U2.28, R182.2, </t>
  </si>
  <si>
    <t>P3V3_CPLD_M2_3_EN_R</t>
  </si>
  <si>
    <t xml:space="preserve">U2.46, R156.2, </t>
  </si>
  <si>
    <t>P3V3_CPLD_M2_2_EN_R</t>
  </si>
  <si>
    <t xml:space="preserve">U2.29, R184.2, </t>
  </si>
  <si>
    <t>P3V3_CPLD_M2_11_EN</t>
  </si>
  <si>
    <t xml:space="preserve">U85.5, R136.2, </t>
  </si>
  <si>
    <t>P3V3_CPLD_E1S_1_EN_R</t>
  </si>
  <si>
    <t xml:space="preserve">U2.98, R181.1, </t>
  </si>
  <si>
    <t>P3V3_CPLD_E1S_0_EN</t>
  </si>
  <si>
    <t xml:space="preserve">U52.2, R165.2, R1065.1, </t>
  </si>
  <si>
    <t>P12V_E1S_1_SR</t>
  </si>
  <si>
    <t xml:space="preserve">U51.5, C802.1, </t>
  </si>
  <si>
    <t>P12V_E1S_1_BLEED</t>
  </si>
  <si>
    <t xml:space="preserve">U51.7, R1087.1, </t>
  </si>
  <si>
    <t>P12V_E1S_1</t>
  </si>
  <si>
    <t xml:space="preserve">R1137.2, U55.8, U51.8, U51.9, U51.10, U51.11, </t>
  </si>
  <si>
    <t>P12V_E1S_0_SR</t>
  </si>
  <si>
    <t xml:space="preserve">U50.5, C794.1, </t>
  </si>
  <si>
    <t>P12V_E1S_0_L</t>
  </si>
  <si>
    <t xml:space="preserve">JD7.29, JD7.30, JD7.31, JD7.32, JD7.33, JD7.34, </t>
  </si>
  <si>
    <t>P12V_E1S_0</t>
  </si>
  <si>
    <t xml:space="preserve">R1111.2, U54.8, U50.8, U50.9, U50.10, U50.11, </t>
  </si>
  <si>
    <t>M2_5_VIO_CFG</t>
  </si>
  <si>
    <t xml:space="preserve">JD3.73, R601.2, </t>
  </si>
  <si>
    <t>M2_5_LED</t>
  </si>
  <si>
    <t xml:space="preserve">JD3.10, R590.2, </t>
  </si>
  <si>
    <t>M2_4_VIO_CFG</t>
  </si>
  <si>
    <t xml:space="preserve">JD3.148, R578.2, </t>
  </si>
  <si>
    <t>M2_3_LED</t>
  </si>
  <si>
    <t xml:space="preserve">JD2.10, R544.2, </t>
  </si>
  <si>
    <t>M2_2_VIO_CFG</t>
  </si>
  <si>
    <t xml:space="preserve">JD2.148, R532.2, </t>
  </si>
  <si>
    <t>M2_2_LED</t>
  </si>
  <si>
    <t xml:space="preserve">JD2.85, R521.2, </t>
  </si>
  <si>
    <t>M2_1_VIO_CFG</t>
  </si>
  <si>
    <t xml:space="preserve">JD1.73, R509.2, </t>
  </si>
  <si>
    <t>M2_1_LED</t>
  </si>
  <si>
    <t xml:space="preserve">JD1.10, R498.2, </t>
  </si>
  <si>
    <t>LED_E1S_1_BIC_N_R</t>
  </si>
  <si>
    <t xml:space="preserve">U1.65, R108.1, R4335.2, </t>
  </si>
  <si>
    <t>LED_E1S_1_BIC_N</t>
  </si>
  <si>
    <t xml:space="preserve">U2.158, R108.2, </t>
  </si>
  <si>
    <t>LED_E1S_0_BIC_N_R</t>
  </si>
  <si>
    <t xml:space="preserve">U1.50, R107.1, R4334.2, </t>
  </si>
  <si>
    <t>JTAG_CPLD_M2_9_TRST_R</t>
  </si>
  <si>
    <t xml:space="preserve">U2.302, R226.2, </t>
  </si>
  <si>
    <t>JTAG_CPLD_M2_9_TRST</t>
  </si>
  <si>
    <t xml:space="preserve">JD5.20, R226.1, </t>
  </si>
  <si>
    <t>JTAG_CPLD_M2_9_TMS_R</t>
  </si>
  <si>
    <t xml:space="preserve">U2.55, R268.1, </t>
  </si>
  <si>
    <t>JTAG_CPLD_M2_9_TDO_R</t>
  </si>
  <si>
    <t xml:space="preserve">JD5.26, R686.2, </t>
  </si>
  <si>
    <t>JTAG_CPLD_M2_9_TDO</t>
  </si>
  <si>
    <t xml:space="preserve">U2.183, R686.1, </t>
  </si>
  <si>
    <t>JTAG_CPLD_M2_9_TDI_R</t>
  </si>
  <si>
    <t xml:space="preserve">U2.94, R265.2, </t>
  </si>
  <si>
    <t>JTAG_CPLD_M2_9_TDI</t>
  </si>
  <si>
    <t xml:space="preserve">JD5.24, R265.1, </t>
  </si>
  <si>
    <t>JTAG_CPLD_M2_9_TCK</t>
  </si>
  <si>
    <t xml:space="preserve">JD5.28, R238.2, </t>
  </si>
  <si>
    <t>JTAG_CPLD_M2_8_TRST_R</t>
  </si>
  <si>
    <t xml:space="preserve">U2.228, R250.1, </t>
  </si>
  <si>
    <t>JTAG_CPLD_M2_8_TRST</t>
  </si>
  <si>
    <t xml:space="preserve">JD5.95, R250.2, </t>
  </si>
  <si>
    <t>JTAG_CPLD_M2_8_TMS_R</t>
  </si>
  <si>
    <t xml:space="preserve">U2.93, R262.1, </t>
  </si>
  <si>
    <t>JTAG_CPLD_M2_8_TMS</t>
  </si>
  <si>
    <t xml:space="preserve">JD5.142, R262.2, </t>
  </si>
  <si>
    <t>JTAG_CPLD_M2_8_TDO_R</t>
  </si>
  <si>
    <t xml:space="preserve">JD5.101, R663.2, </t>
  </si>
  <si>
    <t>JTAG_CPLD_M2_8_TDO</t>
  </si>
  <si>
    <t xml:space="preserve">U2.168, R663.1, </t>
  </si>
  <si>
    <t>JTAG_CPLD_M2_8_TDI_R</t>
  </si>
  <si>
    <t xml:space="preserve">U2.76, R254.2, </t>
  </si>
  <si>
    <t>JTAG_CPLD_M2_8_TDI</t>
  </si>
  <si>
    <t xml:space="preserve">JD5.99, R254.1, </t>
  </si>
  <si>
    <t>JTAG_CPLD_M2_8_TCK</t>
  </si>
  <si>
    <t xml:space="preserve">JD5.103, R216.2, </t>
  </si>
  <si>
    <t>JTAG_CPLD_M2_7_TRST_R</t>
  </si>
  <si>
    <t xml:space="preserve">U2.284, R227.1, </t>
  </si>
  <si>
    <t>JTAG_CPLD_M2_7_TRST</t>
  </si>
  <si>
    <t xml:space="preserve">JD4.20, R227.2, </t>
  </si>
  <si>
    <t>JTAG_CPLD_M2_7_TMS_R</t>
  </si>
  <si>
    <t xml:space="preserve">U2.113, R267.2, </t>
  </si>
  <si>
    <t>JTAG_CPLD_M2_7_TDO_R</t>
  </si>
  <si>
    <t xml:space="preserve">JD4.26, R640.2, </t>
  </si>
  <si>
    <t>JTAG_CPLD_M2_7_TDO</t>
  </si>
  <si>
    <t xml:space="preserve">U2.182, R640.1, </t>
  </si>
  <si>
    <t>JTAG_CPLD_M2_7_TDI_R</t>
  </si>
  <si>
    <t xml:space="preserve">U2.37, R264.1, </t>
  </si>
  <si>
    <t>JTAG_CPLD_M2_7_TDI</t>
  </si>
  <si>
    <t xml:space="preserve">JD4.24, R264.2, </t>
  </si>
  <si>
    <t>JTAG_CPLD_M2_7_TCK</t>
  </si>
  <si>
    <t xml:space="preserve">JD4.28, R236.2, </t>
  </si>
  <si>
    <t>JTAG_CPLD_M2_6_TRST_R</t>
  </si>
  <si>
    <t xml:space="preserve">U2.283, R248.1, </t>
  </si>
  <si>
    <t>JTAG_CPLD_M2_6_TRST</t>
  </si>
  <si>
    <t xml:space="preserve">JD4.95, R248.2, </t>
  </si>
  <si>
    <t>JTAG_CPLD_M2_6_TMS_R</t>
  </si>
  <si>
    <t xml:space="preserve">U2.56, R261.2, </t>
  </si>
  <si>
    <t>JTAG_CPLD_M2_6_TMS</t>
  </si>
  <si>
    <t xml:space="preserve">JD4.142, R261.1, </t>
  </si>
  <si>
    <t>JTAG_CPLD_M2_6_TDO_R</t>
  </si>
  <si>
    <t xml:space="preserve">JD4.101, R617.2, </t>
  </si>
  <si>
    <t>JTAG_CPLD_M2_6_TDO</t>
  </si>
  <si>
    <t xml:space="preserve">U2.166, R617.1, </t>
  </si>
  <si>
    <t>JTAG_CPLD_M2_6_TDI_R</t>
  </si>
  <si>
    <t xml:space="preserve">U2.57, R259.1, </t>
  </si>
  <si>
    <t>JTAG_CPLD_M2_6_TDI</t>
  </si>
  <si>
    <t xml:space="preserve">JD4.99, R259.2, </t>
  </si>
  <si>
    <t>JTAG_CPLD_M2_6_TCK_R</t>
  </si>
  <si>
    <t xml:space="preserve">U2.239, R212.1, </t>
  </si>
  <si>
    <t>JTAG_CPLD_M2_6_TCK</t>
  </si>
  <si>
    <t xml:space="preserve">JD4.103, R212.2, </t>
  </si>
  <si>
    <t>JTAG_CPLD_M2_5_TMS</t>
  </si>
  <si>
    <t xml:space="preserve">JD3.67, R231.2, </t>
  </si>
  <si>
    <t>JTAG_CPLD_M2_5_TDI_R</t>
  </si>
  <si>
    <t xml:space="preserve">U2.165, R272.2, </t>
  </si>
  <si>
    <t>JTAG_CPLD_M2_5_TDI</t>
  </si>
  <si>
    <t xml:space="preserve">JD3.24, R272.1, </t>
  </si>
  <si>
    <t>JTAG_CPLD_M2_5_TCK_R</t>
  </si>
  <si>
    <t xml:space="preserve">U2.292, R235.2, </t>
  </si>
  <si>
    <t>JTAG_CPLD_M2_5_TCK</t>
  </si>
  <si>
    <t xml:space="preserve">JD3.28, R235.1, </t>
  </si>
  <si>
    <t>JTAG_CPLD_M2_4_TRST_R</t>
  </si>
  <si>
    <t xml:space="preserve">U2.320, R247.2, </t>
  </si>
  <si>
    <t>JTAG_CPLD_M2_4_TDI_R</t>
  </si>
  <si>
    <t xml:space="preserve">U2.151, R271.1, </t>
  </si>
  <si>
    <t>JTAG_CPLD_M2_4_TDI</t>
  </si>
  <si>
    <t xml:space="preserve">JD3.99, R271.2, </t>
  </si>
  <si>
    <t>JTAG_CPLD_M2_4_TCK_R</t>
  </si>
  <si>
    <t xml:space="preserve">U2.273, R211.2, </t>
  </si>
  <si>
    <t>JTAG_CPLD_M2_4_TCK</t>
  </si>
  <si>
    <t xml:space="preserve">JD3.103, R211.1, </t>
  </si>
  <si>
    <t>JTAG_CPLD_M2_3_TRST_R</t>
  </si>
  <si>
    <t xml:space="preserve">U2.301, R224.2, </t>
  </si>
  <si>
    <t>JTAG_CPLD_M2_3_TMS_R</t>
  </si>
  <si>
    <t xml:space="preserve">U2.285, R230.2, </t>
  </si>
  <si>
    <t>JTAG_CPLD_M2_3_TMS</t>
  </si>
  <si>
    <t xml:space="preserve">JD2.67, R230.1, </t>
  </si>
  <si>
    <t>JTAG_CPLD_M2_3_TDI_R</t>
  </si>
  <si>
    <t xml:space="preserve">U2.148, R258.2, </t>
  </si>
  <si>
    <t>JTAG_CPLD_M2_3_TDI</t>
  </si>
  <si>
    <t xml:space="preserve">JD2.24, R258.1, </t>
  </si>
  <si>
    <t>JTAG_CPLD_M2_3_TCK</t>
  </si>
  <si>
    <t xml:space="preserve">JD2.28, R234.2, </t>
  </si>
  <si>
    <t>JTAG_CPLD_M2_2_TRST</t>
  </si>
  <si>
    <t xml:space="preserve">JD2.95, R246.2, </t>
  </si>
  <si>
    <t>JTAG_CPLD_M2_2_TMS</t>
  </si>
  <si>
    <t xml:space="preserve">JD2.142, R252.2, </t>
  </si>
  <si>
    <t>JTAG_CPLD_M2_2_TDO</t>
  </si>
  <si>
    <t xml:space="preserve">U2.163, R525.1, </t>
  </si>
  <si>
    <t>JTAG_CPLD_M2_2_TDI_R</t>
  </si>
  <si>
    <t xml:space="preserve">U2.147, R257.1, </t>
  </si>
  <si>
    <t>JTAG_CPLD_M2_2_TDI</t>
  </si>
  <si>
    <t xml:space="preserve">JD2.99, R257.2, </t>
  </si>
  <si>
    <t>JTAG_CPLD_M2_2_TCK_R</t>
  </si>
  <si>
    <t xml:space="preserve">U2.256, R214.1, </t>
  </si>
  <si>
    <t>JTAG_CPLD_M2_2_TCK</t>
  </si>
  <si>
    <t xml:space="preserve">JD2.103, R214.2, </t>
  </si>
  <si>
    <t>JTAG_CPLD_M2_11_TRST_R</t>
  </si>
  <si>
    <t xml:space="preserve">U2.303, R228.2, </t>
  </si>
  <si>
    <t>JTAG_CPLD_M2_11_TMS_R</t>
  </si>
  <si>
    <t xml:space="preserve">U2.73, R269.2, </t>
  </si>
  <si>
    <t>JTAG_CPLD_M2_11_TDO_R</t>
  </si>
  <si>
    <t xml:space="preserve">JD6.26, R732.2, </t>
  </si>
  <si>
    <t>JTAG_CPLD_M2_11_TDO</t>
  </si>
  <si>
    <t xml:space="preserve">U2.38, R732.1, </t>
  </si>
  <si>
    <t>JTAG_CPLD_M2_11_TDI_R</t>
  </si>
  <si>
    <t xml:space="preserve">U2.95, R266.1, </t>
  </si>
  <si>
    <t>JTAG_CPLD_M2_11_TDI</t>
  </si>
  <si>
    <t xml:space="preserve">JD6.24, R266.2, </t>
  </si>
  <si>
    <t>JTAG_CPLD_M2_11_TCK_R</t>
  </si>
  <si>
    <t xml:space="preserve">U2.310, R237.2, </t>
  </si>
  <si>
    <t>JTAG_CPLD_M2_11_TCK</t>
  </si>
  <si>
    <t xml:space="preserve">JD6.28, R237.1, </t>
  </si>
  <si>
    <t>JTAG_CPLD_M2_10_TRST_R</t>
  </si>
  <si>
    <t xml:space="preserve">U2.321, R249.2, </t>
  </si>
  <si>
    <t>JTAG_CPLD_M2_10_TRST</t>
  </si>
  <si>
    <t xml:space="preserve">JD6.95, R249.1, </t>
  </si>
  <si>
    <t>JTAG_CPLD_M2_10_TMS_R</t>
  </si>
  <si>
    <t xml:space="preserve">U2.74, R255.2, </t>
  </si>
  <si>
    <t>JTAG_CPLD_M2_10_TDO_R</t>
  </si>
  <si>
    <t xml:space="preserve">JD6.101, R709.2, </t>
  </si>
  <si>
    <t>JTAG_CPLD_M2_10_TDO</t>
  </si>
  <si>
    <t xml:space="preserve">U2.19, R709.1, </t>
  </si>
  <si>
    <t>JTAG_CPLD_M2_10_TDI_R</t>
  </si>
  <si>
    <t xml:space="preserve">U2.75, R260.1, </t>
  </si>
  <si>
    <t>JTAG_CPLD_M2_10_TDI</t>
  </si>
  <si>
    <t xml:space="preserve">JD6.99, R260.2, </t>
  </si>
  <si>
    <t>JTAG_CPLD_M2_10_TCK_R</t>
  </si>
  <si>
    <t xml:space="preserve">U2.309, R215.2, </t>
  </si>
  <si>
    <t>JTAG_CPLD_M2_10_TCK</t>
  </si>
  <si>
    <t xml:space="preserve">JD6.103, R215.1, </t>
  </si>
  <si>
    <t>JTAG_CPLD_M2_1_TMS</t>
  </si>
  <si>
    <t xml:space="preserve">JD1.67, R229.2, </t>
  </si>
  <si>
    <t>JTAG_CPLD_M2_1_TDI_R</t>
  </si>
  <si>
    <t xml:space="preserve">U2.149, R270.2, </t>
  </si>
  <si>
    <t>JTAG_CPLD_M2_1_TDI</t>
  </si>
  <si>
    <t xml:space="preserve">JD1.24, R270.1, </t>
  </si>
  <si>
    <t>JTAG_CPLD_M2_1_TCK_R</t>
  </si>
  <si>
    <t xml:space="preserve">U2.291, R233.2, </t>
  </si>
  <si>
    <t>JTAG_CPLD_M2_1_TCK</t>
  </si>
  <si>
    <t xml:space="preserve">JD1.28, R233.1, </t>
  </si>
  <si>
    <t>I2C_SSD_1_RST_N_R</t>
  </si>
  <si>
    <t xml:space="preserve">U1.208, R1426.2, </t>
  </si>
  <si>
    <t>I2C_SSD_1_RST_N</t>
  </si>
  <si>
    <t xml:space="preserve">JD8.9, R1426.1, R1430.2, R1429.1, </t>
  </si>
  <si>
    <t>FM_P3V3_M2_9_BIC_CPLD_EN</t>
  </si>
  <si>
    <t xml:space="preserve">U2.174, R96.1, R1076.1, </t>
  </si>
  <si>
    <t>FM_P3V3_M2_7_BIC_CPLD_EN</t>
  </si>
  <si>
    <t xml:space="preserve">U2.175, R92.1, R1078.1, </t>
  </si>
  <si>
    <t>FM_P3V3_M2_6_BIC_CPLD_EN_R</t>
  </si>
  <si>
    <t xml:space="preserve">U1.130, R94.2, </t>
  </si>
  <si>
    <t>FM_P3V3_M2_6_BIC_CPLD_EN</t>
  </si>
  <si>
    <t xml:space="preserve">U2.180, R94.1, R1079.1, </t>
  </si>
  <si>
    <t>FM_P3V3_M2_5_BIC_CPLD_EN_R</t>
  </si>
  <si>
    <t xml:space="preserve">U1.250, R112.1, </t>
  </si>
  <si>
    <t>FM_P3V3_M2_2_BIC_CPLD_EN_R</t>
  </si>
  <si>
    <t xml:space="preserve">U1.319, R97.2, </t>
  </si>
  <si>
    <t>FM_P3V3_M2_2_BIC_CPLD_EN</t>
  </si>
  <si>
    <t xml:space="preserve">U2.306, R97.1, R1071.1, </t>
  </si>
  <si>
    <t>FM_P12V_E1S_1_BIC_CPLD_EN</t>
  </si>
  <si>
    <t xml:space="preserve">U2.236, R102.1, R1043.1, </t>
  </si>
  <si>
    <t>FM_P12V_E1S_0_BIC_CPLD_EN_R</t>
  </si>
  <si>
    <t xml:space="preserve">U1.189, R103.2, </t>
  </si>
  <si>
    <t>FM_P12V_E1S_0_BIC_CPLD_EN</t>
  </si>
  <si>
    <t xml:space="preserve">U2.253, R103.1, R1044.1, </t>
  </si>
  <si>
    <t>E1S_LED_1_N</t>
  </si>
  <si>
    <t xml:space="preserve">R134.1, R1126.2, </t>
  </si>
  <si>
    <t>E1S_LED_0_N_R</t>
  </si>
  <si>
    <t xml:space="preserve">U2.161, R149.2, </t>
  </si>
  <si>
    <t>E1S_LED_0_N</t>
  </si>
  <si>
    <t xml:space="preserve">R1100.2, R149.1, </t>
  </si>
  <si>
    <t>E1S_0_P12V_EN_R</t>
  </si>
  <si>
    <t xml:space="preserve">U2.220, R263.2, </t>
  </si>
  <si>
    <t>COM_CPLD_M2_5_RX</t>
  </si>
  <si>
    <t xml:space="preserve">U2.279, R598.2, </t>
  </si>
  <si>
    <t>COM_CPLD_M2_3_TX</t>
  </si>
  <si>
    <t xml:space="preserve">R4312.1, R550.2, </t>
  </si>
  <si>
    <t>COM_CPLD_M2_3_RX</t>
  </si>
  <si>
    <t xml:space="preserve">U2.296, R552.2, </t>
  </si>
  <si>
    <t>COM_CPLD_M2_1_RX</t>
  </si>
  <si>
    <t xml:space="preserve">U2.260, R506.2, </t>
  </si>
  <si>
    <t>CLKBUF_M2_8_OE_N_R</t>
  </si>
  <si>
    <t xml:space="preserve">U2.234, R153.2, </t>
  </si>
  <si>
    <t>CLKBUF_M2_7_OE_N_R</t>
  </si>
  <si>
    <t xml:space="preserve">U2.233, R147.1, </t>
  </si>
  <si>
    <t>CLKBUF_M2_6_OE_N_R</t>
  </si>
  <si>
    <t xml:space="preserve">U2.213, R141.2, </t>
  </si>
  <si>
    <t>CLKBUF_M2_5_OE_N_R</t>
  </si>
  <si>
    <t xml:space="preserve">U2.270, R142.1, </t>
  </si>
  <si>
    <t>CLKBUF_M2_3_OE_N</t>
  </si>
  <si>
    <t xml:space="preserve">U4.29, R148.2, R356.2, </t>
  </si>
  <si>
    <t>CLKBUF_M2_11_OE_N_R</t>
  </si>
  <si>
    <t xml:space="preserve">U2.216, R146.1, </t>
  </si>
  <si>
    <t>CLKBUF_M2_10_OE_N_R</t>
  </si>
  <si>
    <t xml:space="preserve">U2.215, R139.2, </t>
  </si>
  <si>
    <t>CLKBUF_M2_1_OE_N_R</t>
  </si>
  <si>
    <t xml:space="preserve">U2.269, R144.1, </t>
  </si>
  <si>
    <t>USB2_M2_0_OC_N</t>
  </si>
  <si>
    <t xml:space="preserve">U61.56, R1253.2, </t>
  </si>
  <si>
    <t>UART_M2_0_TX</t>
  </si>
  <si>
    <t xml:space="preserve">JD1.121, R482.1, R481.1, </t>
  </si>
  <si>
    <t>UART_M2_0_RX</t>
  </si>
  <si>
    <t xml:space="preserve">JD1.123, R484.1, R483.1, </t>
  </si>
  <si>
    <t>UART_CP2108_M2_0_TX_R</t>
  </si>
  <si>
    <t xml:space="preserve">U62.16, R1650.1, </t>
  </si>
  <si>
    <t>UART_CP2108_M2_0_RX_R</t>
  </si>
  <si>
    <t xml:space="preserve">U62.15, R1748.2, R1651.1, </t>
  </si>
  <si>
    <t>SMB_M2_0_P1V8_DAT_R2</t>
  </si>
  <si>
    <t xml:space="preserve">U33.3, R882.1, R893.2, </t>
  </si>
  <si>
    <t>SMB_M2_0_P1V8_CLK_R2</t>
  </si>
  <si>
    <t xml:space="preserve">U33.2, R880.1, R892.2, </t>
  </si>
  <si>
    <t>SMB_M2_0_3V3SB_DAT_R1</t>
  </si>
  <si>
    <t xml:space="preserve">U33.6, R883.2, </t>
  </si>
  <si>
    <t>SMB_M2_0_3V3SB_CLK_R3</t>
  </si>
  <si>
    <t xml:space="preserve">U19.5, R490.1, </t>
  </si>
  <si>
    <t>SMB_M2_0_3V3SB_CLK_R1</t>
  </si>
  <si>
    <t xml:space="preserve">U33.7, R881.2, </t>
  </si>
  <si>
    <t>SMB_BIC_CPLD_M2_0/1_DAT</t>
  </si>
  <si>
    <t xml:space="preserve">R1794.1, R27.1, </t>
  </si>
  <si>
    <t>RST_PESW_M2_0_LVC_N</t>
  </si>
  <si>
    <t xml:space="preserve">JD1.125, R4438.2, R4435.2, </t>
  </si>
  <si>
    <t>PWRGD_P3V3_M2_0_R</t>
  </si>
  <si>
    <t xml:space="preserve">U7.6, R438.1, R437.2, </t>
  </si>
  <si>
    <t>PWRGD_P3V3_M2_0</t>
  </si>
  <si>
    <t xml:space="preserve">U33.5, U2.68, U1.11, R438.2, Q59.2, </t>
  </si>
  <si>
    <t>PU_M2_0_VIO_1V8</t>
  </si>
  <si>
    <t xml:space="preserve">JD1.97, R478.2, </t>
  </si>
  <si>
    <t>PU_M2_0_PLA_S3_N</t>
  </si>
  <si>
    <t xml:space="preserve">JD1.105, R480.2, </t>
  </si>
  <si>
    <t>PU_M2_0_CLKREQ_N</t>
  </si>
  <si>
    <t xml:space="preserve">JD1.127, R485.2, </t>
  </si>
  <si>
    <t>PU_INA233_M2_0_A1</t>
  </si>
  <si>
    <t xml:space="preserve">U19.1, R495.2, </t>
  </si>
  <si>
    <t>PU_INA233_M2_0_A0</t>
  </si>
  <si>
    <t xml:space="preserve">U19.2, R494.2, </t>
  </si>
  <si>
    <t>P3V3_M2_0_SR</t>
  </si>
  <si>
    <t xml:space="preserve">U7.5, C93.1, </t>
  </si>
  <si>
    <t>P3V3_M2_0_L</t>
  </si>
  <si>
    <t xml:space="preserve">JD1.77, JD1.79, JD1.87, JD1.89, JD1.91, JD1.93, </t>
  </si>
  <si>
    <t>P3V3_M2_0</t>
  </si>
  <si>
    <t xml:space="preserve">U19.8, U7.8, U7.9, U7.10, U7.11, U7.12, </t>
  </si>
  <si>
    <t>P3V3_CPLD_M2_0_EN_R</t>
  </si>
  <si>
    <t xml:space="preserve">U2.99, R168.1, </t>
  </si>
  <si>
    <t>M2_0_LED</t>
  </si>
  <si>
    <t xml:space="preserve">JD1.85, R475.2, </t>
  </si>
  <si>
    <t>JTAG_CPLD_M2_0_TRST_R</t>
  </si>
  <si>
    <t xml:space="preserve">U2.319, R245.2, </t>
  </si>
  <si>
    <t>JTAG_CPLD_M2_0_TMS_R</t>
  </si>
  <si>
    <t xml:space="preserve">U2.322, R251.2, </t>
  </si>
  <si>
    <t>JTAG_CPLD_M2_0_TDI_R</t>
  </si>
  <si>
    <t xml:space="preserve">U2.146, R256.2, </t>
  </si>
  <si>
    <t>JTAG_CPLD_M2_0_TCK_R</t>
  </si>
  <si>
    <t xml:space="preserve">U2.308, R210.2, </t>
  </si>
  <si>
    <t>JTAG_CPLD_M2_0_TCK</t>
  </si>
  <si>
    <t xml:space="preserve">JD1.103, R210.1, </t>
  </si>
  <si>
    <t>FM_P3V3_M2_0_BIC_CPLD_EN</t>
  </si>
  <si>
    <t xml:space="preserve">U2.2, R93.2, R1073.1, </t>
  </si>
  <si>
    <t>CLKBUF_M2_0_OE_N_R</t>
  </si>
  <si>
    <t xml:space="preserve">U2.288, R155.2, </t>
  </si>
  <si>
    <t>SMB_BIC_CPLD_SENSOR_DAT_0</t>
  </si>
  <si>
    <t xml:space="preserve">R4519.1, R1345.1, R4540.2, </t>
  </si>
  <si>
    <t>SMB_BIC_CPLD_SENSOR_CLK_0</t>
  </si>
  <si>
    <t xml:space="preserve">R4514.1, R1344.1, R4539.2, </t>
  </si>
  <si>
    <t>SMB_BIC_SENSOR_SCL_1</t>
  </si>
  <si>
    <t xml:space="preserve">R4516.1, R431.2, R1353.1, R957.1, R422.2, PR194.2, </t>
  </si>
  <si>
    <t>SMB_BIC_SENSOR_DAT_1</t>
  </si>
  <si>
    <t xml:space="preserve">R4517.1, R432.2, R1354.1, R959.1, R423.2, PR193.2, </t>
  </si>
  <si>
    <t>SMB_BIC_CPLD_SENSOR_DAT_2</t>
  </si>
  <si>
    <t xml:space="preserve">R4532.2, R1351.1, R4538.1, R4536.1, </t>
  </si>
  <si>
    <t>SMB_BIC_CPLD_SENSOR_DAT_1</t>
  </si>
  <si>
    <t xml:space="preserve">R4532.1, R4519.2, R1348.1, </t>
  </si>
  <si>
    <t>SMB_BIC_CPLD_SENSOR_CLK_2</t>
  </si>
  <si>
    <t xml:space="preserve">R4531.2, R1350.1, R4537.1, R4535.1, </t>
  </si>
  <si>
    <t>SMB_BIC_CPLD_SENSOR_CLK_1</t>
  </si>
  <si>
    <t xml:space="preserve">R4531.1, R4514.2, R1347.1, </t>
  </si>
  <si>
    <t>USB_HUB1&amp;3_BIC_RESET_R_N</t>
  </si>
  <si>
    <t xml:space="preserve">U1.69, R114.1, </t>
  </si>
  <si>
    <t>UART_MUX_BIC_RESET_R_N</t>
  </si>
  <si>
    <t xml:space="preserve">U1.279, R115.1, </t>
  </si>
  <si>
    <t>SMB_IPMB_3V3SB_DAT_R1</t>
  </si>
  <si>
    <t xml:space="preserve">U1.58, R4355.2, </t>
  </si>
  <si>
    <t>SMB_IPMB_3V3SB_CLK_R1</t>
  </si>
  <si>
    <t xml:space="preserve">U1.59, R4356.2, </t>
  </si>
  <si>
    <t>SMB_BMC_CPLD_3V3SB_DAT_R</t>
  </si>
  <si>
    <t xml:space="preserve">U2.143, R4371.2, </t>
  </si>
  <si>
    <t>PWRGD_P1V8_R3</t>
  </si>
  <si>
    <t xml:space="preserve">Q56.2, R4342.2, </t>
  </si>
  <si>
    <t>PWRGD_P1V8_R2</t>
  </si>
  <si>
    <t xml:space="preserve">Q54.2, R4339.2, </t>
  </si>
  <si>
    <t>PWRGD_P1V8_R1</t>
  </si>
  <si>
    <t xml:space="preserve">Q51.2, R4294.2, </t>
  </si>
  <si>
    <t>PU_P3V3_STBY3_Q55_G</t>
  </si>
  <si>
    <t xml:space="preserve">Q55.2, Q56.3, R4341.2, </t>
  </si>
  <si>
    <t>PU_P3V3_STBY2_Q53_G</t>
  </si>
  <si>
    <t xml:space="preserve">Q53.2, Q54.3, R4338.2, </t>
  </si>
  <si>
    <t>PU_P3V3_STBY_Q52_G</t>
  </si>
  <si>
    <t xml:space="preserve">Q52.2, Q51.3, R4295.2, </t>
  </si>
  <si>
    <t>P3V3_3</t>
  </si>
  <si>
    <t xml:space="preserve">R4502.1, R4501.1, R4500.1, R4497.1, Q55.3, R1441.1, </t>
  </si>
  <si>
    <t>P3V3_2</t>
  </si>
  <si>
    <t xml:space="preserve">R4504.1, R4503.1, R4499.1, R4496.1, Q53.3, R1443.1, </t>
  </si>
  <si>
    <t>P3V3_1</t>
  </si>
  <si>
    <t xml:space="preserve">R4506.1, R4505.1, R4498.1, R4495.1, Q52.3, R4736.1, </t>
  </si>
  <si>
    <t>PWRGD_P5V_STBY_R</t>
  </si>
  <si>
    <t xml:space="preserve">U1.150, R4336.2, </t>
  </si>
  <si>
    <t>SMB_BIC_CPLD1_PESW_DAT_R2</t>
  </si>
  <si>
    <t xml:space="preserve">U48.6, R1010.1, R1002.2, </t>
  </si>
  <si>
    <t>SMB_BIC_CPLD1_PESW_CLK_R2</t>
  </si>
  <si>
    <t xml:space="preserve">U48.7, R1011.1, R1001.2, </t>
  </si>
  <si>
    <t>AVD_0V8_CSU</t>
  </si>
  <si>
    <t xml:space="preserve">U31.104, U31.132, U31.142, U31.144, U31.169, U31.170, </t>
  </si>
  <si>
    <t>TYPE_C_PLUG_DETECT</t>
  </si>
  <si>
    <t xml:space="preserve">R1735.2, R46.2, R1793.1, Q15.3, C1285.2, </t>
  </si>
  <si>
    <t>TYPE_C_DETECT_R</t>
  </si>
  <si>
    <t xml:space="preserve">U1.30, R46.1, </t>
  </si>
  <si>
    <t>RST_PESW_SSD1_LVC_N_R</t>
  </si>
  <si>
    <t xml:space="preserve">U89.4, R1306.1, R1312.2, </t>
  </si>
  <si>
    <t>RST_PESW_SSD0_LVC_N_R</t>
  </si>
  <si>
    <t xml:space="preserve">U88.4, R1304.1, R1311.2, </t>
  </si>
  <si>
    <t>FT232_RESET_CPLD_N</t>
  </si>
  <si>
    <t xml:space="preserve">U2.232, R1725.1, </t>
  </si>
  <si>
    <t>UART_PESW_USOUT_3V3_R2</t>
  </si>
  <si>
    <t xml:space="preserve">U2.77, R1673.1, </t>
  </si>
  <si>
    <t>UART_PESW_USOUT_1V8</t>
  </si>
  <si>
    <t xml:space="preserve">R4644.2, R819.1, </t>
  </si>
  <si>
    <t>PWRGD_P5V_STBY</t>
  </si>
  <si>
    <t xml:space="preserve">PU6.9, PR85.1, R4336.1, </t>
  </si>
  <si>
    <t>FM_BIC_PESW_MULTI_CONFIG4_R</t>
  </si>
  <si>
    <t xml:space="preserve">U1.129, R57.1, </t>
  </si>
  <si>
    <t>FM_BIC_PESW_MULTI_CONFIG1_R</t>
  </si>
  <si>
    <t xml:space="preserve">U1.309, R63.2, </t>
  </si>
  <si>
    <t>SMB_BIC_VR_DAT_R2</t>
  </si>
  <si>
    <t xml:space="preserve">U48.15, R1017.2, </t>
  </si>
  <si>
    <t>SMB_BIC_VR_DAT_R</t>
  </si>
  <si>
    <t xml:space="preserve">U1.345, R45.1, R76.2, </t>
  </si>
  <si>
    <t>SMB_BIC_VR_DAT</t>
  </si>
  <si>
    <t xml:space="preserve">R45.2, R1017.1, </t>
  </si>
  <si>
    <t>SMB_BIC_VR_CLK_R2</t>
  </si>
  <si>
    <t xml:space="preserve">U48.14, R1019.2, </t>
  </si>
  <si>
    <t>SMB_BIC_VR_CLK_R</t>
  </si>
  <si>
    <t xml:space="preserve">U1.326, R43.1, R75.2, </t>
  </si>
  <si>
    <t>SMB_BIC_VR_CLK</t>
  </si>
  <si>
    <t xml:space="preserve">R1019.1, R43.2, </t>
  </si>
  <si>
    <t>VDDO_1V8_R</t>
  </si>
  <si>
    <t xml:space="preserve">U31.106, U31.148, U31.184, U31.262, U31.304, U31.340, </t>
  </si>
  <si>
    <t>VDDC_OUTPUT</t>
  </si>
  <si>
    <t xml:space="preserve">U1.86, U1.149, C22.1, C21.1, C20.1, C19.1, </t>
  </si>
  <si>
    <t>VCCIO_PMOS_2_S</t>
  </si>
  <si>
    <t xml:space="preserve">Q2.1, Q1.1, R290.1, </t>
  </si>
  <si>
    <t>VCCIO_PMOS_1_S</t>
  </si>
  <si>
    <t xml:space="preserve">Q4.1, Q3.1, R291.1, </t>
  </si>
  <si>
    <t>USB2_HUB3_OC2_N</t>
  </si>
  <si>
    <t xml:space="preserve">U61.39, R1267.2, </t>
  </si>
  <si>
    <t>USB2_HUB3_OC1_N</t>
  </si>
  <si>
    <t xml:space="preserve">U61.54, R1266.2, </t>
  </si>
  <si>
    <t>USB2_HUB2_OC3_N</t>
  </si>
  <si>
    <t xml:space="preserve">U60.39, R1228.2, </t>
  </si>
  <si>
    <t>USB2_HUB2_OC2_N</t>
  </si>
  <si>
    <t xml:space="preserve">U60.40, R1227.2, </t>
  </si>
  <si>
    <t>USB2_HUB2_OC1_N</t>
  </si>
  <si>
    <t xml:space="preserve">U60.41, R1226.2, </t>
  </si>
  <si>
    <t>USB2_HUB1_OC2_N</t>
  </si>
  <si>
    <t xml:space="preserve">U59.39, R1192.2, </t>
  </si>
  <si>
    <t>USB2_HUB1_OC1_N</t>
  </si>
  <si>
    <t xml:space="preserve">U59.54, R1190.2, </t>
  </si>
  <si>
    <t>USB2_CP2108_1_OC_N</t>
  </si>
  <si>
    <t xml:space="preserve">U60.56, R1217.2, </t>
  </si>
  <si>
    <t>USB2_BIC_OC_N</t>
  </si>
  <si>
    <t xml:space="preserve">U60.42, R1224.2, </t>
  </si>
  <si>
    <t>USB_HUB3_AVDD</t>
  </si>
  <si>
    <t xml:space="preserve">U61.5, U61.11, U61.16, U61.26, L14.2, C864.1, </t>
  </si>
  <si>
    <t>USB_HUB2_RESET_R_N</t>
  </si>
  <si>
    <t xml:space="preserve">U1.70, R91.2, </t>
  </si>
  <si>
    <t>USB_HUB2_RESET_N</t>
  </si>
  <si>
    <t xml:space="preserve">R4510.2, U60.36, R1240.2, R91.1, R4511.2, C1289.1, </t>
  </si>
  <si>
    <t>USB_HUB2_AVDD</t>
  </si>
  <si>
    <t xml:space="preserve">U60.5, U60.11, U60.16, U60.26, L13.2, C852.1, </t>
  </si>
  <si>
    <t>USB_HUB1_RESET_N</t>
  </si>
  <si>
    <t xml:space="preserve">U59.36, R1204.2, R4412.1, </t>
  </si>
  <si>
    <t>USB_HUB1_AVDD</t>
  </si>
  <si>
    <t xml:space="preserve">U59.5, U59.11, U59.16, U59.26, L12.2, C840.1, </t>
  </si>
  <si>
    <t>UART_PESW_USIN_3V3_R2</t>
  </si>
  <si>
    <t xml:space="preserve">U2.97, R158.1, </t>
  </si>
  <si>
    <t>TMP75_ALERT_N_R</t>
  </si>
  <si>
    <t xml:space="preserve">U6.3, R430.1, R436.2, </t>
  </si>
  <si>
    <t>TMP75_ALERT_N</t>
  </si>
  <si>
    <t xml:space="preserve">U1.276, R430.2, </t>
  </si>
  <si>
    <t>TMP_A0_2</t>
  </si>
  <si>
    <t xml:space="preserve">U6.5, R433.2, R427.2, </t>
  </si>
  <si>
    <t>TMP_A0_1</t>
  </si>
  <si>
    <t xml:space="preserve">U6.6, R434.2, R428.2, </t>
  </si>
  <si>
    <t>TMP_A0_0</t>
  </si>
  <si>
    <t xml:space="preserve">U6.7, R435.2, R429.2, </t>
  </si>
  <si>
    <t>TIME_PLUSE_IN</t>
  </si>
  <si>
    <t xml:space="preserve">U31.1516, R840.2, </t>
  </si>
  <si>
    <t>SSD1_UNUSED_C_A15</t>
  </si>
  <si>
    <t xml:space="preserve">R1136.2, C827.1, </t>
  </si>
  <si>
    <t>SSD1_UNUSED_C_A14</t>
  </si>
  <si>
    <t xml:space="preserve">R1135.2, C826.1, </t>
  </si>
  <si>
    <t>SSD1_UNUSED_A15</t>
  </si>
  <si>
    <t xml:space="preserve">JD8.15, R1136.1, </t>
  </si>
  <si>
    <t>SSD1_PWRDIS</t>
  </si>
  <si>
    <t xml:space="preserve">JD8.40, R1132.1, R1131.2, </t>
  </si>
  <si>
    <t>SSD1_PRSNT_N</t>
  </si>
  <si>
    <t xml:space="preserve">U91.2, U1.22, R1127.2, </t>
  </si>
  <si>
    <t>SSD1_PRSNT_LVC_N_R</t>
  </si>
  <si>
    <t xml:space="preserve">U91.4, R1310.1, R1314.2, </t>
  </si>
  <si>
    <t>SSD1_LED_R_ATTN</t>
  </si>
  <si>
    <t xml:space="preserve">JD8.10, R1432.1, R1120.2, R1126.1, </t>
  </si>
  <si>
    <t>SSD0_PWRDIS</t>
  </si>
  <si>
    <t xml:space="preserve">JD7.40, R1106.1, R1105.2, </t>
  </si>
  <si>
    <t>SSD0_PRSNT_N_R</t>
  </si>
  <si>
    <t xml:space="preserve">JD7.12, R1101.1, R1104.2, </t>
  </si>
  <si>
    <t>SSD0_PRSNT_N</t>
  </si>
  <si>
    <t xml:space="preserve">U90.2, U1.21, R1101.2, </t>
  </si>
  <si>
    <t>SSD0_PRSNT_LVC_N_R</t>
  </si>
  <si>
    <t xml:space="preserve">U90.4, R1308.1, R1313.2, </t>
  </si>
  <si>
    <t>SSD0_PRSNT_LVC_N</t>
  </si>
  <si>
    <t xml:space="preserve">U31.1472, R1308.2, </t>
  </si>
  <si>
    <t>SMB_SSD1_INA233_ALRT_N_R</t>
  </si>
  <si>
    <t xml:space="preserve">U55.3, R1139.1, R1138.1, </t>
  </si>
  <si>
    <t>SMB_SSD0_INA233_ALRT_N_R</t>
  </si>
  <si>
    <t xml:space="preserve">U54.3, R1113.1, R1112.1, </t>
  </si>
  <si>
    <t>SMB_SENSOR_TMP75_DAT_0_R1</t>
  </si>
  <si>
    <t xml:space="preserve">U6.1, R432.1, </t>
  </si>
  <si>
    <t>SMB_SENSOR_TMP75_CLK_0_R1</t>
  </si>
  <si>
    <t xml:space="preserve">U6.2, R431.1, </t>
  </si>
  <si>
    <t>SMB_SENSOR_FRU_CLK_R1</t>
  </si>
  <si>
    <t xml:space="preserve">U5.6, R422.1, </t>
  </si>
  <si>
    <t>SMB_PESW_P1V8_CLK_R2</t>
  </si>
  <si>
    <t xml:space="preserve">U31.1121, R783.2, R772.2, </t>
  </si>
  <si>
    <t>SMB_PESW_3V3SB_DAT_R</t>
  </si>
  <si>
    <t xml:space="preserve">U1.36, R37.2, R80.2, </t>
  </si>
  <si>
    <t>SMB_PESW_3V3SB_CLK_R</t>
  </si>
  <si>
    <t xml:space="preserve">U1.17, R36.2, R78.2, </t>
  </si>
  <si>
    <t>SMB_BIC_CPLD_SENSOR_DAT_R</t>
  </si>
  <si>
    <t xml:space="preserve">R67.2, U1.232, R25.2, </t>
  </si>
  <si>
    <t>SMB_BIC_CPLD_SENSOR_CLK_R</t>
  </si>
  <si>
    <t xml:space="preserve">R66.2, U1.233, R38.2, </t>
  </si>
  <si>
    <t>SMB_BIC_CPLD_0_DAT_R2</t>
  </si>
  <si>
    <t xml:space="preserve">U48.4, R1008.1, R1004.2, </t>
  </si>
  <si>
    <t>SMB_BIC_CPLD_0_DAT</t>
  </si>
  <si>
    <t xml:space="preserve">R1008.2, R194.1, </t>
  </si>
  <si>
    <t>SMB_BIC_CPLD_0_CLK_R2</t>
  </si>
  <si>
    <t xml:space="preserve">U48.5, R1009.1, R1003.2, </t>
  </si>
  <si>
    <t>SMB_BIC_CPLD_0_CLK</t>
  </si>
  <si>
    <t xml:space="preserve">R1009.2, R195.2, </t>
  </si>
  <si>
    <t>SMB_ALERT_N_R</t>
  </si>
  <si>
    <t xml:space="preserve">U2.58, R157.1, R203.2, </t>
  </si>
  <si>
    <t>SMB_ALERT_N</t>
  </si>
  <si>
    <t xml:space="preserve">R157.2, CN3.78, </t>
  </si>
  <si>
    <t>SGPIO_DATA_IN_R</t>
  </si>
  <si>
    <t xml:space="preserve">U2.221, R274.2, </t>
  </si>
  <si>
    <t>SGPIO_DATA_IN</t>
  </si>
  <si>
    <t xml:space="preserve">R274.1, CN3.10, </t>
  </si>
  <si>
    <t>RST_PESW_SSD1_LVC_N</t>
  </si>
  <si>
    <t xml:space="preserve">JD8.38, R1306.2, </t>
  </si>
  <si>
    <t>RST_PESW_SSD0_N</t>
  </si>
  <si>
    <t xml:space="preserve">U88.2, R789.1, </t>
  </si>
  <si>
    <t>RST_PE_PESW_RSTB_R_N</t>
  </si>
  <si>
    <t xml:space="preserve">U2.280, R222.1, </t>
  </si>
  <si>
    <t>RST_PE_PESW_RSTB_N</t>
  </si>
  <si>
    <t xml:space="preserve">U31.379, R222.2, R758.2, </t>
  </si>
  <si>
    <t>RST_I2C_MUX1_N_R</t>
  </si>
  <si>
    <t xml:space="preserve">U1.243, R29.1, </t>
  </si>
  <si>
    <t>RST_I2C_MUX1_N</t>
  </si>
  <si>
    <t xml:space="preserve">U48.3, R29.2, R1007.2, C784.1, </t>
  </si>
  <si>
    <t>PWRGD_P3V3_M2_ALL_R2</t>
  </si>
  <si>
    <t xml:space="preserve">U2.26, R163.2, </t>
  </si>
  <si>
    <t>PWRGD_CARD_PWROK_R</t>
  </si>
  <si>
    <t xml:space="preserve">U2.41, R160.1, </t>
  </si>
  <si>
    <t>PWRGD_CARD_PWROK</t>
  </si>
  <si>
    <t xml:space="preserve">R160.2, R3.1, CN1.79, </t>
  </si>
  <si>
    <t>PU_INA233_SSD1_A1</t>
  </si>
  <si>
    <t xml:space="preserve">U55.1, R1145.2, </t>
  </si>
  <si>
    <t>PU_INA233_SSD1_A0</t>
  </si>
  <si>
    <t xml:space="preserve">U55.2, R1144.2, </t>
  </si>
  <si>
    <t>PU_INA233_SSD0_A1</t>
  </si>
  <si>
    <t xml:space="preserve">U54.1, R1119.2, </t>
  </si>
  <si>
    <t>PU_INA233_SSD0_A0</t>
  </si>
  <si>
    <t xml:space="preserve">U54.2, R1118.2, </t>
  </si>
  <si>
    <t>PU_CPLD_SN</t>
  </si>
  <si>
    <t xml:space="preserve">U2.304, R232.2, </t>
  </si>
  <si>
    <t>PD_UART_PESW_UCTSB</t>
  </si>
  <si>
    <t xml:space="preserve">U31.1515, R868.2, </t>
  </si>
  <si>
    <t>PD_I2C_MUX1_A1</t>
  </si>
  <si>
    <t xml:space="preserve">U48.13, R1014.2, </t>
  </si>
  <si>
    <t>PD_I2C_MUX1_A0</t>
  </si>
  <si>
    <t xml:space="preserve">U48.2, R1012.2, </t>
  </si>
  <si>
    <t>PD_FRU_WC_N</t>
  </si>
  <si>
    <t xml:space="preserve">R421.1, U5.7, </t>
  </si>
  <si>
    <t>P4E_SW_VSS</t>
  </si>
  <si>
    <t xml:space="preserve">U31.378, R755.2, R756.2, </t>
  </si>
  <si>
    <t>P4E_REXT_3</t>
  </si>
  <si>
    <t xml:space="preserve">U31.1451, R876.1, </t>
  </si>
  <si>
    <t>P4E_REXT_2</t>
  </si>
  <si>
    <t xml:space="preserve">U31.1024, R875.1, </t>
  </si>
  <si>
    <t>P3V3_STBY3_SN</t>
  </si>
  <si>
    <t xml:space="preserve">PR39.2, PC391.2, </t>
  </si>
  <si>
    <t>P3V3_STBY2_SN</t>
  </si>
  <si>
    <t xml:space="preserve">PR25.2, PC45.2, </t>
  </si>
  <si>
    <t>P3V3_STBY1_SN</t>
  </si>
  <si>
    <t xml:space="preserve">PR11.2, PC21.2, </t>
  </si>
  <si>
    <t>P3V3_STBY_CPLD_JTAG</t>
  </si>
  <si>
    <t xml:space="preserve">D1.1, CN5.1, C54.1, C53.1, </t>
  </si>
  <si>
    <t>P1V8_STBY_R</t>
  </si>
  <si>
    <t xml:space="preserve">R1153.1, JCN1.1, </t>
  </si>
  <si>
    <t>JTAG_TI_TMS_R</t>
  </si>
  <si>
    <t xml:space="preserve">U1.53, R61.1, </t>
  </si>
  <si>
    <t>JTAG_TI_TMS</t>
  </si>
  <si>
    <t xml:space="preserve">R4386.1, R61.2, R90.2, BICCN1.1, </t>
  </si>
  <si>
    <t>JTAG_TI_TDO_R</t>
  </si>
  <si>
    <t xml:space="preserve">U1.52, R60.1, </t>
  </si>
  <si>
    <t>JTAG_TI_TDI_R</t>
  </si>
  <si>
    <t xml:space="preserve">U1.71, R59.1, </t>
  </si>
  <si>
    <t>JTAG_TI_TCK_R</t>
  </si>
  <si>
    <t xml:space="preserve">U1.34, R58.1, </t>
  </si>
  <si>
    <t>JTAG_TI_TCK</t>
  </si>
  <si>
    <t xml:space="preserve">R4385.1, R58.2, R87.2, BICCN1.4, </t>
  </si>
  <si>
    <t>JTAG_CPLD_TMS_R</t>
  </si>
  <si>
    <t xml:space="preserve">U2.44, R180.1, </t>
  </si>
  <si>
    <t>JTAG_CPLD_TDO_R</t>
  </si>
  <si>
    <t xml:space="preserve">U2.61, R161.1, </t>
  </si>
  <si>
    <t>JTAG_CPLD_TDI_R</t>
  </si>
  <si>
    <t xml:space="preserve">R321.2, R312.2, CN5.3, </t>
  </si>
  <si>
    <t>JTAG_CPLD_TCK</t>
  </si>
  <si>
    <t xml:space="preserve">R164.2, R323.2, CN5.8, </t>
  </si>
  <si>
    <t>JTAG_BIC_M2_TRST_R</t>
  </si>
  <si>
    <t xml:space="preserve">U1.318, R53.2, </t>
  </si>
  <si>
    <t>JTAG_BIC_M2_TRST</t>
  </si>
  <si>
    <t xml:space="preserve">R53.1, R52.2, R1702.1, </t>
  </si>
  <si>
    <t>JTAG_BIC_M2_TMS_R</t>
  </si>
  <si>
    <t xml:space="preserve">U1.188, R56.2, </t>
  </si>
  <si>
    <t>JTAG_BIC_M2_TMS</t>
  </si>
  <si>
    <t xml:space="preserve">R56.1, R1700.1, </t>
  </si>
  <si>
    <t>JTAG_BIC_M2_TDO_R</t>
  </si>
  <si>
    <t xml:space="preserve">U2.32, R175.2, </t>
  </si>
  <si>
    <t>JTAG_BIC_M2_TDI_R</t>
  </si>
  <si>
    <t xml:space="preserve">U1.225, R55.2, </t>
  </si>
  <si>
    <t>JTAG_BIC_M2_TDI</t>
  </si>
  <si>
    <t xml:space="preserve">R55.1, R1696.1, </t>
  </si>
  <si>
    <t>HUB3_X2</t>
  </si>
  <si>
    <t xml:space="preserve">U61.20, R1245.2, C869.1, </t>
  </si>
  <si>
    <t>HUB3_X1</t>
  </si>
  <si>
    <t xml:space="preserve">X4.1, U61.19, C870.1, </t>
  </si>
  <si>
    <t>HUB3_V5</t>
  </si>
  <si>
    <t xml:space="preserve">U61.62, R1244.2, </t>
  </si>
  <si>
    <t>HUB3_RREF2</t>
  </si>
  <si>
    <t xml:space="preserve">U61.15, R1270.1, </t>
  </si>
  <si>
    <t>HUB3_RREF1</t>
  </si>
  <si>
    <t xml:space="preserve">U61.14, R1269.1, </t>
  </si>
  <si>
    <t>HUB3_PSELF</t>
  </si>
  <si>
    <t xml:space="preserve">U61.50, R1256.1, </t>
  </si>
  <si>
    <t>HUB3_PGANG2</t>
  </si>
  <si>
    <t xml:space="preserve">U61.51, R1268.1, R1272.2, </t>
  </si>
  <si>
    <t>HUB3_PGANG1</t>
  </si>
  <si>
    <t xml:space="preserve">U61.52, R1271.2, </t>
  </si>
  <si>
    <t>HUB3_LED</t>
  </si>
  <si>
    <t xml:space="preserve">R1268.2, LED7.2, </t>
  </si>
  <si>
    <t>HUB3_GREEN_C2_4</t>
  </si>
  <si>
    <t xml:space="preserve">U61.35, R1281.2, </t>
  </si>
  <si>
    <t>HUB3_GREEN_C2_3</t>
  </si>
  <si>
    <t xml:space="preserve">U61.43, R1280.2, </t>
  </si>
  <si>
    <t>HUB3_GREEN_C2_2</t>
  </si>
  <si>
    <t xml:space="preserve">U61.49, R1279.2, </t>
  </si>
  <si>
    <t>HUB3_GREEN_C2_1</t>
  </si>
  <si>
    <t xml:space="preserve">U61.59, R1277.2, </t>
  </si>
  <si>
    <t>HUB3_GREEN_C1_4</t>
  </si>
  <si>
    <t xml:space="preserve">U61.34, R1276.2, </t>
  </si>
  <si>
    <t>HUB3_GREEN_C1_3</t>
  </si>
  <si>
    <t xml:space="preserve">U61.44, R1275.2, </t>
  </si>
  <si>
    <t>HUB3_GREEN_C1_2</t>
  </si>
  <si>
    <t xml:space="preserve">U61.48, R1274.2, </t>
  </si>
  <si>
    <t>HUB3_GREEN_C1_1</t>
  </si>
  <si>
    <t xml:space="preserve">U61.60, R1273.2, </t>
  </si>
  <si>
    <t>HUB2_X2</t>
  </si>
  <si>
    <t xml:space="preserve">U60.20, R1209.1, C857.1, </t>
  </si>
  <si>
    <t>HUB2_X1</t>
  </si>
  <si>
    <t xml:space="preserve">X3.1, U60.19, C858.1, </t>
  </si>
  <si>
    <t>HUB2_V5</t>
  </si>
  <si>
    <t xml:space="preserve">U60.62, R1208.2, </t>
  </si>
  <si>
    <t>HUB2_RREF2</t>
  </si>
  <si>
    <t xml:space="preserve">U60.15, R1232.1, </t>
  </si>
  <si>
    <t>HUB2_RREF1</t>
  </si>
  <si>
    <t xml:space="preserve">U60.14, R1231.1, </t>
  </si>
  <si>
    <t>HUB2_PSELF</t>
  </si>
  <si>
    <t xml:space="preserve">U60.50, R1220.1, </t>
  </si>
  <si>
    <t>HUB2_PGANG2</t>
  </si>
  <si>
    <t xml:space="preserve">U60.51, R1230.1, R1234.2, </t>
  </si>
  <si>
    <t>HUB2_LED</t>
  </si>
  <si>
    <t xml:space="preserve">R1230.2, LED6.2, </t>
  </si>
  <si>
    <t>HUB2_GREEN_C2_4</t>
  </si>
  <si>
    <t xml:space="preserve">U60.35, R1243.2, </t>
  </si>
  <si>
    <t>HUB2_GREEN_C2_3</t>
  </si>
  <si>
    <t xml:space="preserve">U60.43, R1242.2, </t>
  </si>
  <si>
    <t>HUB2_GREEN_C2_2</t>
  </si>
  <si>
    <t xml:space="preserve">U60.49, R1241.2, </t>
  </si>
  <si>
    <t>HUB2_GREEN_C2_1</t>
  </si>
  <si>
    <t xml:space="preserve">U60.59, R1239.2, </t>
  </si>
  <si>
    <t>HUB2_GREEN_C1_4</t>
  </si>
  <si>
    <t xml:space="preserve">U60.34, R1238.2, </t>
  </si>
  <si>
    <t>HUB2_GREEN_C1_3</t>
  </si>
  <si>
    <t xml:space="preserve">U60.44, R1237.2, </t>
  </si>
  <si>
    <t>HUB2_GREEN_C1_2</t>
  </si>
  <si>
    <t xml:space="preserve">U60.48, R1236.2, </t>
  </si>
  <si>
    <t>HUB2_GREEN_C1_1</t>
  </si>
  <si>
    <t xml:space="preserve">U60.60, R1235.2, </t>
  </si>
  <si>
    <t>HUB1_X2</t>
  </si>
  <si>
    <t xml:space="preserve">U59.20, R1169.1, C845.1, </t>
  </si>
  <si>
    <t>HUB1_X1</t>
  </si>
  <si>
    <t xml:space="preserve">X2.1, U59.19, C846.1, </t>
  </si>
  <si>
    <t>HUB1_RREF2</t>
  </si>
  <si>
    <t xml:space="preserve">U59.15, R1196.1, </t>
  </si>
  <si>
    <t>HUB1_RREF1</t>
  </si>
  <si>
    <t xml:space="preserve">U59.14, R1195.1, </t>
  </si>
  <si>
    <t>HUB1_PSELF</t>
  </si>
  <si>
    <t xml:space="preserve">U59.50, R1180.1, </t>
  </si>
  <si>
    <t>HUB1_PGANG2</t>
  </si>
  <si>
    <t xml:space="preserve">U59.51, R1193.1, R1198.2, </t>
  </si>
  <si>
    <t>HUB1_PGANG1</t>
  </si>
  <si>
    <t xml:space="preserve">U59.52, R1197.2, </t>
  </si>
  <si>
    <t>HUB1_LED</t>
  </si>
  <si>
    <t xml:space="preserve">R1193.2, LED5.2, </t>
  </si>
  <si>
    <t>HUB1_GREEN_C2_4</t>
  </si>
  <si>
    <t xml:space="preserve">U59.35, R1207.2, </t>
  </si>
  <si>
    <t>HUB1_GREEN_C2_3</t>
  </si>
  <si>
    <t xml:space="preserve">U59.43, R1206.2, </t>
  </si>
  <si>
    <t>HUB1_GREEN_C2_2</t>
  </si>
  <si>
    <t xml:space="preserve">U59.49, R1205.2, </t>
  </si>
  <si>
    <t>HUB1_GREEN_C1_4</t>
  </si>
  <si>
    <t xml:space="preserve">U59.34, R1202.2, </t>
  </si>
  <si>
    <t>HUB1_GREEN_C1_3</t>
  </si>
  <si>
    <t xml:space="preserve">U59.44, R1201.2, </t>
  </si>
  <si>
    <t>HUB1_GREEN_C1_2</t>
  </si>
  <si>
    <t xml:space="preserve">U59.48, R1200.2, </t>
  </si>
  <si>
    <t>FRU_ADDR2</t>
  </si>
  <si>
    <t xml:space="preserve">U5.3, R426.2, R420.2, </t>
  </si>
  <si>
    <t>FRU_ADDR1</t>
  </si>
  <si>
    <t xml:space="preserve">U5.2, R425.2, R419.2, </t>
  </si>
  <si>
    <t>FRU_ADDR0</t>
  </si>
  <si>
    <t xml:space="preserve">U5.1, R424.2, R418.2, </t>
  </si>
  <si>
    <t>FM_PLD_VCCIO_Q6_G</t>
  </si>
  <si>
    <t xml:space="preserve">R298.1, Q6.2, </t>
  </si>
  <si>
    <t>FM_PLD_VCCIO_Q6_D</t>
  </si>
  <si>
    <t xml:space="preserve">R293.2, Q6.3, </t>
  </si>
  <si>
    <t>FM_PLD_VCCIO_Q5_G</t>
  </si>
  <si>
    <t xml:space="preserve">R296.1, Q5.2, </t>
  </si>
  <si>
    <t>FM_PLD_VCCIO_Q5_D</t>
  </si>
  <si>
    <t xml:space="preserve">R292.2, Q5.3, </t>
  </si>
  <si>
    <t>FM_PLD_VCCIO_PMOS_2_G</t>
  </si>
  <si>
    <t xml:space="preserve">Q2.2, Q1.2, R290.2, R292.1, </t>
  </si>
  <si>
    <t>FM_PLD_VCCIO_PMOS_1_G</t>
  </si>
  <si>
    <t xml:space="preserve">Q4.2, Q3.2, R291.2, R293.1, </t>
  </si>
  <si>
    <t>FM_PLD_VCCIO_2_4_5_P1V8</t>
  </si>
  <si>
    <t xml:space="preserve">R298.2, R1419.2, R295.2, R299.1, </t>
  </si>
  <si>
    <t>FM_P3V3_STBY3_EN_R</t>
  </si>
  <si>
    <t xml:space="preserve">U2.4, R159.2, </t>
  </si>
  <si>
    <t>FM_P3V3_STBY2_EN_R</t>
  </si>
  <si>
    <t xml:space="preserve">U2.60, R179.1, </t>
  </si>
  <si>
    <t>FM_P3V3_STBY1_EN_R</t>
  </si>
  <si>
    <t xml:space="preserve">U2.5, R178.2, </t>
  </si>
  <si>
    <t>FM_P1V8_EN_R</t>
  </si>
  <si>
    <t xml:space="preserve">U2.62, R162.1, </t>
  </si>
  <si>
    <t>FM_BIC_PESW_MULTI_CONFIG1</t>
  </si>
  <si>
    <t xml:space="preserve">R63.1, R970.2, Q9.3, </t>
  </si>
  <si>
    <t>EJTAG_TMS_R</t>
  </si>
  <si>
    <t xml:space="preserve">R1155.1, JCN1.5, </t>
  </si>
  <si>
    <t>EJTAG_TCK_R</t>
  </si>
  <si>
    <t xml:space="preserve">R1156.1, JCN1.6, </t>
  </si>
  <si>
    <t>EJTAG_RSTB_R</t>
  </si>
  <si>
    <t xml:space="preserve">R1157.1, JCN1.7, </t>
  </si>
  <si>
    <t>DUT_TDI_R</t>
  </si>
  <si>
    <t xml:space="preserve">R1154.1, JCN1.3, </t>
  </si>
  <si>
    <t>BOOTSTRAP_R_9</t>
  </si>
  <si>
    <t xml:space="preserve">U31.266, R790.1, </t>
  </si>
  <si>
    <t>BOARD_ID_1</t>
  </si>
  <si>
    <t xml:space="preserve">U1.93, R1803.2, R126.1, </t>
  </si>
  <si>
    <t>BIC_READY</t>
  </si>
  <si>
    <t xml:space="preserve">U2.21, R111.1, </t>
  </si>
  <si>
    <t>BIC_HEARTBEAT_LED_R_N</t>
  </si>
  <si>
    <t xml:space="preserve">U1.298, R44.2, </t>
  </si>
  <si>
    <t>BIC_HEARTBEAT_LED_N</t>
  </si>
  <si>
    <t xml:space="preserve">R44.1, LED1.2, </t>
  </si>
  <si>
    <t>AVD_PCIE_VDDIO</t>
  </si>
  <si>
    <t xml:space="preserve">L21.2, L20.2, L19.2, L18.2, U31.128, U31.166, </t>
  </si>
  <si>
    <t>AVD_1V8_PCIE_Q_C6</t>
  </si>
  <si>
    <t xml:space="preserve">U31.1334, C613.1, </t>
  </si>
  <si>
    <t>AVD_1V8_PCIE_Q_C25</t>
  </si>
  <si>
    <t xml:space="preserve">U31.492, R877.2, C639.1, </t>
  </si>
  <si>
    <t>AVD_1V8_PCIE_Q_C21</t>
  </si>
  <si>
    <t xml:space="preserve">U31.1490, R876.2, C635.1, </t>
  </si>
  <si>
    <t>AVD_0V8_DCSU_L1</t>
  </si>
  <si>
    <t xml:space="preserve">U31.48, U31.50, U31.66, U31.88, U31.90, U31.119, </t>
  </si>
  <si>
    <t>B</t>
  </si>
  <si>
    <t>TP_DTR_N</t>
  </si>
  <si>
    <t xml:space="preserve">TP57.1, U152.31, </t>
  </si>
  <si>
    <t>TP_RTS_N</t>
  </si>
  <si>
    <t xml:space="preserve">TP56.1, U152.32, </t>
  </si>
  <si>
    <t>TP_CTS_N</t>
  </si>
  <si>
    <t xml:space="preserve">TP55.1, U152.8, </t>
  </si>
  <si>
    <t>TP_PEWAKE_M2_11</t>
  </si>
  <si>
    <t xml:space="preserve">TP36.1, JD6.54, </t>
  </si>
  <si>
    <t>TP_PEWAKE_M2_10</t>
  </si>
  <si>
    <t xml:space="preserve">TP33.1, JD6.129, </t>
  </si>
  <si>
    <t>TP_PEWAKE_M2_9</t>
  </si>
  <si>
    <t xml:space="preserve">TP30.1, JD5.54, </t>
  </si>
  <si>
    <t>TP_PEWAKE_M2_8</t>
  </si>
  <si>
    <t xml:space="preserve">TP27.1, JD5.129, </t>
  </si>
  <si>
    <t>TP_PEWAKE_M2_7</t>
  </si>
  <si>
    <t xml:space="preserve">TP24.1, JD4.54, </t>
  </si>
  <si>
    <t>TP_PEWAKE_M2_6</t>
  </si>
  <si>
    <t xml:space="preserve">TP21.1, JD4.129, </t>
  </si>
  <si>
    <t>TP_M2_11_MFG_CLK</t>
  </si>
  <si>
    <t xml:space="preserve">JD6.58, TP38.1, </t>
  </si>
  <si>
    <t>TP_M2_11_MFG_DAT</t>
  </si>
  <si>
    <t xml:space="preserve">JD6.56, TP37.1, </t>
  </si>
  <si>
    <t>TP_M2_10_MFG_CLK</t>
  </si>
  <si>
    <t xml:space="preserve">JD6.133, TP35.1, </t>
  </si>
  <si>
    <t>TP_M2_10_MFG_DAT</t>
  </si>
  <si>
    <t xml:space="preserve">JD6.131, TP34.1, </t>
  </si>
  <si>
    <t>TP_M2_9_MFG_CLK</t>
  </si>
  <si>
    <t xml:space="preserve">JD5.58, TP32.1, </t>
  </si>
  <si>
    <t>TP_M2_9_MFG_DAT</t>
  </si>
  <si>
    <t xml:space="preserve">JD5.56, TP31.1, </t>
  </si>
  <si>
    <t>TP_M2_8_MFG_CLK</t>
  </si>
  <si>
    <t xml:space="preserve">JD5.133, TP29.1, </t>
  </si>
  <si>
    <t>TP_M2_8_MFG_DAT</t>
  </si>
  <si>
    <t xml:space="preserve">JD5.131, TP28.1, </t>
  </si>
  <si>
    <t>TP_M2_7_MFG_CLK</t>
  </si>
  <si>
    <t xml:space="preserve">JD4.58, TP26.1, </t>
  </si>
  <si>
    <t>TP_M2_7_MFG_DAT</t>
  </si>
  <si>
    <t xml:space="preserve">JD4.56, TP25.1, </t>
  </si>
  <si>
    <t>TP_M2_6_MFG_CLK</t>
  </si>
  <si>
    <t xml:space="preserve">JD4.133, TP23.1, </t>
  </si>
  <si>
    <t>TP_M2_6_MFG_DAT</t>
  </si>
  <si>
    <t xml:space="preserve">JD4.131, TP22.1, </t>
  </si>
  <si>
    <t>USB_HUB3_RESET_R_N</t>
  </si>
  <si>
    <t xml:space="preserve">U176.4, R4734.1, </t>
  </si>
  <si>
    <t>USB_HUB1_JTAG_R_N</t>
  </si>
  <si>
    <t xml:space="preserve">U157.4, R4420.1, </t>
  </si>
  <si>
    <t>BIC_USB_HUB3_RESET_N_R1</t>
  </si>
  <si>
    <t xml:space="preserve">U176.1, R4732.2, </t>
  </si>
  <si>
    <t>BIC_USB_HUB3_RESET_N</t>
  </si>
  <si>
    <t xml:space="preserve">R4731.1, R4735.2, R4732.1, </t>
  </si>
  <si>
    <t>BIC_USB_HUB1_JTAG_N_R1</t>
  </si>
  <si>
    <t xml:space="preserve">U157.1, R4414.2, </t>
  </si>
  <si>
    <t>BIC_REMOTE_DEBUG_SELECT_N_R3</t>
  </si>
  <si>
    <t xml:space="preserve">U176.2, R4733.2, </t>
  </si>
  <si>
    <t>RST_MB_LVC_N_2</t>
  </si>
  <si>
    <t xml:space="preserve">U31.1277, R4730.2, </t>
  </si>
  <si>
    <t>RISER_RSVD2</t>
  </si>
  <si>
    <t xml:space="preserve">R4729.2, U2.145, R4728.2, R4725.2, </t>
  </si>
  <si>
    <t>RISER_RSVD1</t>
  </si>
  <si>
    <t xml:space="preserve">R4727.2, U2.132, R4726.2, R4724.2, </t>
  </si>
  <si>
    <t>UART_PESW_USOUT_3V3_R1</t>
  </si>
  <si>
    <t xml:space="preserve">U155.8, R4651.1, </t>
  </si>
  <si>
    <t>UART_PESW_USIN_3V3_R1</t>
  </si>
  <si>
    <t xml:space="preserve">U155.9, R4650.1, </t>
  </si>
  <si>
    <t>UART_LEVEL_SHIFT_M2_9_OE_R</t>
  </si>
  <si>
    <t xml:space="preserve">U107.2, R4699.1, </t>
  </si>
  <si>
    <t>UART_LEVEL_SHIFT_M2_5_OE_R</t>
  </si>
  <si>
    <t xml:space="preserve">U105.2, R4614.1, </t>
  </si>
  <si>
    <t>UART_LEVEL_SHIFT_M2_4_OE_R</t>
  </si>
  <si>
    <t xml:space="preserve">U103.2, R4621.1, </t>
  </si>
  <si>
    <t>UART_LEVEL_SHIFT_M2_2_OE_R</t>
  </si>
  <si>
    <t xml:space="preserve">U101.2, R4628.1, </t>
  </si>
  <si>
    <t>UART_LEVEL_SHIFT_M2_1_OE_R</t>
  </si>
  <si>
    <t xml:space="preserve">U100.2, R4607.1, </t>
  </si>
  <si>
    <t>UART_LEVEL_SHIFT_M2_0_OE_R</t>
  </si>
  <si>
    <t xml:space="preserve">U99.2, R4599.1, </t>
  </si>
  <si>
    <t>UART_PESW_USOUT_1V8_R</t>
  </si>
  <si>
    <t xml:space="preserve">U57.8, R4644.1, </t>
  </si>
  <si>
    <t>UART_PESW_OE_REVERSE_R</t>
  </si>
  <si>
    <t xml:space="preserve">U155.2, R4652.1, </t>
  </si>
  <si>
    <t>UART_PESW_OE_REVERSE</t>
  </si>
  <si>
    <t xml:space="preserve">R4652.2, R4653.2, Q57.3, </t>
  </si>
  <si>
    <t>UART_LEVEL_SHIFT_PESW_OE</t>
  </si>
  <si>
    <t xml:space="preserve">R4646.2, R4647.2, Q58.3, </t>
  </si>
  <si>
    <t>UART_CP2108_M2_9_TX_R1</t>
  </si>
  <si>
    <t xml:space="preserve">U107.4, R4695.2, </t>
  </si>
  <si>
    <t>UART_CP2108_M2_9_RX_R1</t>
  </si>
  <si>
    <t xml:space="preserve">U107.5, R4697.2, </t>
  </si>
  <si>
    <t>UART_CP2108_M2_5_TX_R1</t>
  </si>
  <si>
    <t xml:space="preserve">U105.4, R4609.2, </t>
  </si>
  <si>
    <t>UART_CP2108_M2_5_RX_R1</t>
  </si>
  <si>
    <t xml:space="preserve">U105.5, R4611.2, </t>
  </si>
  <si>
    <t>UART_CP2108_M2_4_TX_R1</t>
  </si>
  <si>
    <t xml:space="preserve">U103.4, R4616.2, </t>
  </si>
  <si>
    <t>UART_CP2108_M2_4_RX_R1</t>
  </si>
  <si>
    <t xml:space="preserve">U103.5, R4618.2, </t>
  </si>
  <si>
    <t>UART_CP2108_M2_3_TX_R1</t>
  </si>
  <si>
    <t xml:space="preserve">U102.4, R4630.2, </t>
  </si>
  <si>
    <t>UART_CP2108_M2_3_RX_R1</t>
  </si>
  <si>
    <t xml:space="preserve">U102.5, R4632.2, </t>
  </si>
  <si>
    <t>UART_CP2108_M2_2_TX_R1</t>
  </si>
  <si>
    <t xml:space="preserve">U101.4, R4623.2, </t>
  </si>
  <si>
    <t>UART_CP2108_M2_2_RX_R1</t>
  </si>
  <si>
    <t xml:space="preserve">U101.5, R4625.2, </t>
  </si>
  <si>
    <t>UART_CP2108_M2_1_TX_R1</t>
  </si>
  <si>
    <t xml:space="preserve">U100.4, R4602.2, </t>
  </si>
  <si>
    <t>UART_CP2108_M2_1_RX_R1</t>
  </si>
  <si>
    <t xml:space="preserve">U100.5, R4604.2, </t>
  </si>
  <si>
    <t>UART_1V8_M2_9_RX_R</t>
  </si>
  <si>
    <t xml:space="preserve">U107.8, R4698.1, </t>
  </si>
  <si>
    <t>UART_1V8_M2_5_RX_R</t>
  </si>
  <si>
    <t xml:space="preserve">U105.8, R4612.1, </t>
  </si>
  <si>
    <t>UART_1V8_M2_4_RX_R</t>
  </si>
  <si>
    <t xml:space="preserve">U103.8, R4619.1, </t>
  </si>
  <si>
    <t>UART_1V8_M2_3_RX_R</t>
  </si>
  <si>
    <t xml:space="preserve">U102.8, R4633.1, </t>
  </si>
  <si>
    <t>UART_1V8_M2_2_RX_R</t>
  </si>
  <si>
    <t xml:space="preserve">U101.8, R4626.1, </t>
  </si>
  <si>
    <t>UART_1V8_M2_1_RX_R</t>
  </si>
  <si>
    <t xml:space="preserve">U100.8, R4605.1, </t>
  </si>
  <si>
    <t>UART_1V8_M2_0_RX_R</t>
  </si>
  <si>
    <t xml:space="preserve">U99.8, R4598.1, </t>
  </si>
  <si>
    <t>DIR2_PESW1</t>
  </si>
  <si>
    <t xml:space="preserve">U155.1, R4709.1, </t>
  </si>
  <si>
    <t>DIR2_M2_9</t>
  </si>
  <si>
    <t xml:space="preserve">U107.1, R4720.2, </t>
  </si>
  <si>
    <t>DIR2_M2_5</t>
  </si>
  <si>
    <t xml:space="preserve">U105.1, R4716.2, </t>
  </si>
  <si>
    <t>DIR2_M2_4</t>
  </si>
  <si>
    <t xml:space="preserve">U103.1, R4715.2, </t>
  </si>
  <si>
    <t>DIR2_M2_3</t>
  </si>
  <si>
    <t xml:space="preserve">U102.1, R4714.2, </t>
  </si>
  <si>
    <t>DIR2_M2_2</t>
  </si>
  <si>
    <t xml:space="preserve">U101.1, R4713.2, </t>
  </si>
  <si>
    <t>DIR2_M2_1</t>
  </si>
  <si>
    <t xml:space="preserve">U100.1, R4712.2, </t>
  </si>
  <si>
    <t>DIR2_M2_0</t>
  </si>
  <si>
    <t xml:space="preserve">U99.1, R4711.2, </t>
  </si>
  <si>
    <t>DIR1_PESW2</t>
  </si>
  <si>
    <t xml:space="preserve">U57.10, R4640.2, </t>
  </si>
  <si>
    <t>DIR1_PESW1</t>
  </si>
  <si>
    <t xml:space="preserve">U155.10, R4648.2, </t>
  </si>
  <si>
    <t>DIR1_M2_5</t>
  </si>
  <si>
    <t xml:space="preserve">U105.10, R4608.2, </t>
  </si>
  <si>
    <t>DIR1_M2_4</t>
  </si>
  <si>
    <t xml:space="preserve">U103.10, R4615.2, </t>
  </si>
  <si>
    <t>DIR1_M2_3</t>
  </si>
  <si>
    <t xml:space="preserve">U102.10, R4629.2, </t>
  </si>
  <si>
    <t>DIR1_M2_2</t>
  </si>
  <si>
    <t xml:space="preserve">U101.10, R4622.2, </t>
  </si>
  <si>
    <t>DIR1_M2_1</t>
  </si>
  <si>
    <t xml:space="preserve">U100.10, R4601.2, </t>
  </si>
  <si>
    <t>DIR1_M2_0</t>
  </si>
  <si>
    <t xml:space="preserve">U99.10, R4592.2, </t>
  </si>
  <si>
    <t>CP2108_PESW_UART_TX_R</t>
  </si>
  <si>
    <t xml:space="preserve">U155.5, R1592.2, </t>
  </si>
  <si>
    <t>CP2108_PESW_UART_RX_R</t>
  </si>
  <si>
    <t xml:space="preserve">U155.4, R1591.2, </t>
  </si>
  <si>
    <t>SMB_SENSOR_ZL30281_DAT_R</t>
  </si>
  <si>
    <t xml:space="preserve">U3.2, R4544.1, </t>
  </si>
  <si>
    <t>SMB_SENSOR_ZL30281_CLK_R</t>
  </si>
  <si>
    <t xml:space="preserve">U3.31, R4543.1, </t>
  </si>
  <si>
    <t>CLK_GEN_REPEATER_EN</t>
  </si>
  <si>
    <t xml:space="preserve">U46.5, R4545.2, </t>
  </si>
  <si>
    <t>UART_M2_9_RX</t>
  </si>
  <si>
    <t xml:space="preserve">JD5.48, R691.1, R690.1, </t>
  </si>
  <si>
    <t>UART_M2_7_TX</t>
  </si>
  <si>
    <t xml:space="preserve">JD4.46, R643.1, R642.1, </t>
  </si>
  <si>
    <t>UART_M2_7_RX</t>
  </si>
  <si>
    <t xml:space="preserve">JD4.48, R645.1, R644.1, </t>
  </si>
  <si>
    <t>UART_M2_6_RX</t>
  </si>
  <si>
    <t xml:space="preserve">JD4.123, R622.1, R621.1, </t>
  </si>
  <si>
    <t>UART_M2_11_RX</t>
  </si>
  <si>
    <t xml:space="preserve">JD6.48, R737.1, R736.1, </t>
  </si>
  <si>
    <t>UART_M2_10_RX</t>
  </si>
  <si>
    <t xml:space="preserve">JD6.123, R714.1, R713.1, </t>
  </si>
  <si>
    <t>UART_LEVEL_SHIFT_M2_9_OE</t>
  </si>
  <si>
    <t xml:space="preserve">R4699.2, R4677.2, Q68.3, </t>
  </si>
  <si>
    <t>UART_LEVEL_SHIFT_M2_5_OE</t>
  </si>
  <si>
    <t xml:space="preserve">R4614.2, R4639.2, Q64.3, </t>
  </si>
  <si>
    <t>UART_LEVEL_SHIFT_M2_4_OE</t>
  </si>
  <si>
    <t xml:space="preserve">R4621.2, R4638.2, Q63.3, </t>
  </si>
  <si>
    <t>UART_LEVEL_SHIFT_M2_3_OE</t>
  </si>
  <si>
    <t xml:space="preserve">R4635.2, R4637.2, Q62.3, </t>
  </si>
  <si>
    <t>UART_LEVEL_SHIFT_M2_2_OE</t>
  </si>
  <si>
    <t xml:space="preserve">R4628.2, R4636.2, Q61.3, </t>
  </si>
  <si>
    <t>UART_LEVEL_SHIFT_M2_1_OE</t>
  </si>
  <si>
    <t xml:space="preserve">R4607.2, R4594.2, Q60.3, </t>
  </si>
  <si>
    <t>UART_CP2108_M2_9_TX</t>
  </si>
  <si>
    <t xml:space="preserve">R4695.1, R1662.2, </t>
  </si>
  <si>
    <t>UART_CP2108_M2_9_RX</t>
  </si>
  <si>
    <t xml:space="preserve">R4697.1, R1663.2, </t>
  </si>
  <si>
    <t>UART_CP2108_M2_5_TX</t>
  </si>
  <si>
    <t xml:space="preserve">R4609.1, R1646.2, </t>
  </si>
  <si>
    <t>UART_CP2108_M2_5_RX_R</t>
  </si>
  <si>
    <t xml:space="preserve">U63.15, R1753.2, R1647.1, </t>
  </si>
  <si>
    <t>UART_CP2108_M2_5_RX</t>
  </si>
  <si>
    <t xml:space="preserve">R4611.1, R1647.2, </t>
  </si>
  <si>
    <t>UART_CP2108_M2_4_RX</t>
  </si>
  <si>
    <t xml:space="preserve">R4618.1, R1655.2, </t>
  </si>
  <si>
    <t>UART_CP2108_M2_3_TX</t>
  </si>
  <si>
    <t xml:space="preserve">R4630.1, R1644.2, </t>
  </si>
  <si>
    <t>UART_CP2108_M2_3_RX</t>
  </si>
  <si>
    <t xml:space="preserve">R4632.1, R1645.2, </t>
  </si>
  <si>
    <t>UART_CP2108_M2_2_TX</t>
  </si>
  <si>
    <t xml:space="preserve">R4623.1, R1652.2, </t>
  </si>
  <si>
    <t>UART_CP2108_M2_2_RX</t>
  </si>
  <si>
    <t xml:space="preserve">R4625.1, R1653.2, </t>
  </si>
  <si>
    <t>UART_CP2108_M2_11_TX_R</t>
  </si>
  <si>
    <t xml:space="preserve">U62.49, R1664.1, </t>
  </si>
  <si>
    <t>UART_CP2108_M2_11_TX</t>
  </si>
  <si>
    <t xml:space="preserve">R4702.1, R1664.2, </t>
  </si>
  <si>
    <t>UART_CP2108_M2_1_TX</t>
  </si>
  <si>
    <t xml:space="preserve">R4602.1, R1642.2, </t>
  </si>
  <si>
    <t>UART_CP2108_M2_1_RX</t>
  </si>
  <si>
    <t xml:space="preserve">R4604.1, R1643.2, </t>
  </si>
  <si>
    <t>UART_1V8_M2_9_TX_R</t>
  </si>
  <si>
    <t xml:space="preserve">U107.9, R1783.2, R4696.1, </t>
  </si>
  <si>
    <t>UART_1V8_M2_9_TX</t>
  </si>
  <si>
    <t xml:space="preserve">R4696.2, R689.2, </t>
  </si>
  <si>
    <t>UART_1V8_M2_5_TX_R</t>
  </si>
  <si>
    <t xml:space="preserve">U105.9, R1779.2, R4610.1, </t>
  </si>
  <si>
    <t>UART_1V8_M2_5_TX</t>
  </si>
  <si>
    <t xml:space="preserve">R4610.2, R597.2, </t>
  </si>
  <si>
    <t>UART_1V8_M2_5_RX</t>
  </si>
  <si>
    <t xml:space="preserve">R4612.2, R599.2, </t>
  </si>
  <si>
    <t>UART_1V8_M2_4_TX_R</t>
  </si>
  <si>
    <t xml:space="preserve">U103.9, R1778.2, R4617.1, </t>
  </si>
  <si>
    <t>UART_1V8_M2_4_TX</t>
  </si>
  <si>
    <t xml:space="preserve">R4617.2, R574.2, </t>
  </si>
  <si>
    <t>UART_1V8_M2_4_RX</t>
  </si>
  <si>
    <t xml:space="preserve">R4619.2, R576.2, </t>
  </si>
  <si>
    <t>UART_1V8_M2_3_TX</t>
  </si>
  <si>
    <t xml:space="preserve">R4631.2, R551.2, </t>
  </si>
  <si>
    <t>UART_1V8_M2_3_RX</t>
  </si>
  <si>
    <t xml:space="preserve">R4633.2, R553.2, </t>
  </si>
  <si>
    <t>UART_1V8_M2_2_TX</t>
  </si>
  <si>
    <t xml:space="preserve">R4624.2, R528.2, </t>
  </si>
  <si>
    <t>UART_1V8_M2_2_RX</t>
  </si>
  <si>
    <t xml:space="preserve">R4626.2, R530.2, </t>
  </si>
  <si>
    <t>UART_1V8_M2_1_TX_R</t>
  </si>
  <si>
    <t xml:space="preserve">U100.9, R1775.2, R4323.1, </t>
  </si>
  <si>
    <t>UART_1V8_M2_1_TX</t>
  </si>
  <si>
    <t xml:space="preserve">R4323.2, R505.2, </t>
  </si>
  <si>
    <t>UART_1V8_M2_1_RX</t>
  </si>
  <si>
    <t xml:space="preserve">R4605.2, R507.2, </t>
  </si>
  <si>
    <t>SMB_M2_9_P1V8_DAT_R2</t>
  </si>
  <si>
    <t xml:space="preserve">U42.3, R936.1, R947.2, </t>
  </si>
  <si>
    <t>SMB_M2_9_P1V8_CLK_R2</t>
  </si>
  <si>
    <t xml:space="preserve">U42.2, R934.1, R946.2, </t>
  </si>
  <si>
    <t>SMB_M2_9_INA233_ALRT_N_D</t>
  </si>
  <si>
    <t xml:space="preserve">U85.1, U84.3, R1340.1, </t>
  </si>
  <si>
    <t>SMB_M2_9_INA233_ALRT_N</t>
  </si>
  <si>
    <t xml:space="preserve">U84.2, U1.78, R696.2, </t>
  </si>
  <si>
    <t>SMB_M2_9_ALERT_LVC_N_R</t>
  </si>
  <si>
    <t xml:space="preserve">U2.82, R170.1, R199.2, </t>
  </si>
  <si>
    <t>SMB_M2_9_3V3SB_DAT_R1</t>
  </si>
  <si>
    <t xml:space="preserve">U42.6, R937.2, </t>
  </si>
  <si>
    <t>SMB_M2_9_3V3SB_DAT_R</t>
  </si>
  <si>
    <t xml:space="preserve">U2.87, R4360.2, </t>
  </si>
  <si>
    <t>SMB_M2_9_3V3SB_DAT</t>
  </si>
  <si>
    <t xml:space="preserve">R937.1, R4360.1, R698.2, R320.2, </t>
  </si>
  <si>
    <t>SMB_M2_9_3V3SB_CLK_R1</t>
  </si>
  <si>
    <t xml:space="preserve">U42.7, R935.2, </t>
  </si>
  <si>
    <t>SMB_M2_9_3V3SB_CLK</t>
  </si>
  <si>
    <t xml:space="preserve">U2.121, R935.1, R697.2, R319.2, </t>
  </si>
  <si>
    <t>SMB_M2_8_P1V8_CLK_R2</t>
  </si>
  <si>
    <t xml:space="preserve">U41.2, R924.1, R932.2, </t>
  </si>
  <si>
    <t>SMB_M2_8_P1V8_CLK</t>
  </si>
  <si>
    <t xml:space="preserve">JD5.115, R924.2, </t>
  </si>
  <si>
    <t>SMB_M2_8_INA233_ALRT_N_D</t>
  </si>
  <si>
    <t xml:space="preserve">U80.9, U82.3, R1336.1, </t>
  </si>
  <si>
    <t>SMB_M2_8_INA233_ALRT_N</t>
  </si>
  <si>
    <t xml:space="preserve">U82.2, U1.137, R673.2, </t>
  </si>
  <si>
    <t>SMB_M2_8_3V3SB_DAT_R1</t>
  </si>
  <si>
    <t xml:space="preserve">U41.6, R927.2, </t>
  </si>
  <si>
    <t>SMB_M2_8_3V3SB_DAT_R</t>
  </si>
  <si>
    <t xml:space="preserve">U2.54, R4366.2, </t>
  </si>
  <si>
    <t>SMB_M2_8_3V3SB_DAT</t>
  </si>
  <si>
    <t xml:space="preserve">R927.1, R4366.1, R675.2, R318.2, </t>
  </si>
  <si>
    <t>SMB_M2_8_3V3SB_CLK_R3</t>
  </si>
  <si>
    <t xml:space="preserve">U27.5, R674.1, </t>
  </si>
  <si>
    <t>SMB_M2_8_3V3SB_CLK_R1</t>
  </si>
  <si>
    <t xml:space="preserve">U41.7, R925.2, </t>
  </si>
  <si>
    <t>SMB_M2_8_3V3SB_CLK</t>
  </si>
  <si>
    <t xml:space="preserve">U2.122, R925.1, R674.2, R317.2, </t>
  </si>
  <si>
    <t>SMB_M2_7_P1V8_DAT_R2</t>
  </si>
  <si>
    <t xml:space="preserve">U40.3, R922.1, R931.2, </t>
  </si>
  <si>
    <t>SMB_M2_7_P1V8_DAT</t>
  </si>
  <si>
    <t xml:space="preserve">R922.2, R4304.1, </t>
  </si>
  <si>
    <t>SMB_M2_7_P1V8_CLK_R2</t>
  </si>
  <si>
    <t xml:space="preserve">U40.2, R920.1, R930.2, </t>
  </si>
  <si>
    <t>SMB_M2_7_P1V8_CLK</t>
  </si>
  <si>
    <t xml:space="preserve">JD4.40, R920.2, </t>
  </si>
  <si>
    <t>SMB_M2_7_INA233_ALRT_N_R</t>
  </si>
  <si>
    <t xml:space="preserve">U26.3, R650.1, R649.1, </t>
  </si>
  <si>
    <t>SMB_M2_7_INA233_ALRT_N_D</t>
  </si>
  <si>
    <t xml:space="preserve">U80.4, U81.3, R1334.1, </t>
  </si>
  <si>
    <t>SMB_M2_7_INA233_ALRT_N</t>
  </si>
  <si>
    <t xml:space="preserve">U81.2, U1.213, R650.2, </t>
  </si>
  <si>
    <t>SMB_M2_7_ALERT_LVC_N_R</t>
  </si>
  <si>
    <t xml:space="preserve">U2.83, R189.1, R201.2, </t>
  </si>
  <si>
    <t>SMB_M2_7_3V3SB_DAT_R1</t>
  </si>
  <si>
    <t xml:space="preserve">U40.6, R923.2, </t>
  </si>
  <si>
    <t>SMB_M2_7_3V3SB_DAT</t>
  </si>
  <si>
    <t xml:space="preserve">R923.1, R4361.1, R652.2, R330.2, </t>
  </si>
  <si>
    <t>SMB_M2_7_3V3SB_CLK_R3</t>
  </si>
  <si>
    <t xml:space="preserve">U26.5, R651.1, </t>
  </si>
  <si>
    <t>SMB_M2_7_3V3SB_CLK_R1</t>
  </si>
  <si>
    <t xml:space="preserve">U40.7, R921.2, </t>
  </si>
  <si>
    <t>SMB_M2_7_3V3SB_CLK</t>
  </si>
  <si>
    <t xml:space="preserve">U2.88, R921.1, R651.2, R329.2, </t>
  </si>
  <si>
    <t>SMB_M2_6_P1V8_DAT</t>
  </si>
  <si>
    <t xml:space="preserve">R918.2, R4303.1, </t>
  </si>
  <si>
    <t>SMB_M2_6_P1V8_CLK</t>
  </si>
  <si>
    <t xml:space="preserve">JD4.115, R916.2, </t>
  </si>
  <si>
    <t>SMB_M2_6_INA233_ALRT_N_R</t>
  </si>
  <si>
    <t xml:space="preserve">U25.3, R627.1, R626.1, </t>
  </si>
  <si>
    <t>SMB_M2_6_INA233_ALRT_N_D</t>
  </si>
  <si>
    <t xml:space="preserve">U75.12, U78.3, R1330.1, </t>
  </si>
  <si>
    <t>SMB_M2_6_INA233_ALRT_N</t>
  </si>
  <si>
    <t xml:space="preserve">U78.2, U1.13, R627.2, </t>
  </si>
  <si>
    <t>SMB_M2_6_ALERT_LVC_N</t>
  </si>
  <si>
    <t xml:space="preserve">U1.310, R188.1, </t>
  </si>
  <si>
    <t>SMB_M2_6_3V3SB_DAT_R1</t>
  </si>
  <si>
    <t xml:space="preserve">U39.6, R919.2, </t>
  </si>
  <si>
    <t>SMB_M2_6_3V3SB_DAT_R</t>
  </si>
  <si>
    <t xml:space="preserve">U2.71, R4367.2, </t>
  </si>
  <si>
    <t>SMB_M2_6_3V3SB_DAT</t>
  </si>
  <si>
    <t xml:space="preserve">R919.1, R4367.1, R629.2, R328.2, </t>
  </si>
  <si>
    <t>SMB_M2_6_3V3SB_CLK_R3</t>
  </si>
  <si>
    <t xml:space="preserve">U25.5, R628.1, </t>
  </si>
  <si>
    <t>SMB_M2_6_3V3SB_CLK_R1</t>
  </si>
  <si>
    <t xml:space="preserve">U39.7, R917.2, </t>
  </si>
  <si>
    <t>SMB_M2_6_3V3SB_CLK</t>
  </si>
  <si>
    <t xml:space="preserve">U2.139, R917.1, R628.2, R327.2, </t>
  </si>
  <si>
    <t>SMB_M2_5_P1V8_DAT</t>
  </si>
  <si>
    <t xml:space="preserve">R908.2, R4302.1, </t>
  </si>
  <si>
    <t>SMB_M2_5_P1V8_CLK</t>
  </si>
  <si>
    <t xml:space="preserve">JD3.40, R906.2, </t>
  </si>
  <si>
    <t>SMB_M2_5_INA233_ALRT_N_D</t>
  </si>
  <si>
    <t xml:space="preserve">U80.1, U79.3, R1332.1, </t>
  </si>
  <si>
    <t>SMB_M2_5_ALERT_N_R</t>
  </si>
  <si>
    <t xml:space="preserve">JD3.44, R241.2, </t>
  </si>
  <si>
    <t>SMB_M2_5_ALERT_LVC_N_R</t>
  </si>
  <si>
    <t xml:space="preserve">U2.48, R171.2, R204.2, </t>
  </si>
  <si>
    <t>SMB_M2_5_ALERT_LVC_N</t>
  </si>
  <si>
    <t xml:space="preserve">U1.297, R171.1, </t>
  </si>
  <si>
    <t>SMB_M2_5_3V3SB_DAT</t>
  </si>
  <si>
    <t xml:space="preserve">R909.1, R4362.1, R606.2, R326.2, </t>
  </si>
  <si>
    <t>SMB_M2_5_3V3SB_CLK</t>
  </si>
  <si>
    <t xml:space="preserve">U2.89, R907.1, R605.2, R325.2, </t>
  </si>
  <si>
    <t>SMB_M2_4_P1V8_CLK</t>
  </si>
  <si>
    <t xml:space="preserve">JD3.115, R902.2, </t>
  </si>
  <si>
    <t>SMB_M2_4_INA233_ALRT_N_D</t>
  </si>
  <si>
    <t xml:space="preserve">U75.9, U77.3, R1328.1, </t>
  </si>
  <si>
    <t>SMB_M2_4_INA233_ALRT_N</t>
  </si>
  <si>
    <t xml:space="preserve">U77.2, U1.325, R581.2, </t>
  </si>
  <si>
    <t>SMB_M2_4_ALERT_N_R</t>
  </si>
  <si>
    <t xml:space="preserve">JD3.119, R218.2, </t>
  </si>
  <si>
    <t>SMB_M2_4_ALERT_N</t>
  </si>
  <si>
    <t xml:space="preserve">U2.276, R218.1, R276.2, </t>
  </si>
  <si>
    <t>SMB_M2_4_ALERT_LVC_N</t>
  </si>
  <si>
    <t xml:space="preserve">U1.334, R190.1, </t>
  </si>
  <si>
    <t>SMB_M2_4_3V3SB_DAT_R</t>
  </si>
  <si>
    <t xml:space="preserve">U2.106, R4368.2, </t>
  </si>
  <si>
    <t>SMB_M2_4_3V3SB_DAT</t>
  </si>
  <si>
    <t xml:space="preserve">R905.1, R4368.1, R583.2, R324.2, </t>
  </si>
  <si>
    <t>SMB_M2_4_3V3SB_CLK</t>
  </si>
  <si>
    <t xml:space="preserve">U2.72, R903.1, R582.2, R322.2, </t>
  </si>
  <si>
    <t>SMB_M2_3_P1V8_DAT</t>
  </si>
  <si>
    <t xml:space="preserve">R900.2, R4300.1, </t>
  </si>
  <si>
    <t>SMB_M2_3_P1V8_CLK</t>
  </si>
  <si>
    <t xml:space="preserve">JD2.40, R898.2, </t>
  </si>
  <si>
    <t>SMB_M2_3_INA233_ALRT_N_D</t>
  </si>
  <si>
    <t xml:space="preserve">U75.4, U76.3, R1326.1, </t>
  </si>
  <si>
    <t>SMB_M2_3_INA233_ALRT_N</t>
  </si>
  <si>
    <t xml:space="preserve">U76.2, U1.172, R558.2, </t>
  </si>
  <si>
    <t>SMB_M2_3_ALERT_N_R</t>
  </si>
  <si>
    <t xml:space="preserve">JD2.44, R240.2, </t>
  </si>
  <si>
    <t>SMB_M2_3_3V3SB_DAT_R</t>
  </si>
  <si>
    <t xml:space="preserve">U2.124, R4363.2, </t>
  </si>
  <si>
    <t>SMB_M2_3_3V3SB_DAT</t>
  </si>
  <si>
    <t xml:space="preserve">R901.1, R4363.1, R560.2, R316.2, </t>
  </si>
  <si>
    <t>SMB_M2_3_3V3SB_CLK</t>
  </si>
  <si>
    <t xml:space="preserve">U2.140, R899.1, R559.2, R314.2, </t>
  </si>
  <si>
    <t>SMB_M2_2_P1V8_DAT</t>
  </si>
  <si>
    <t xml:space="preserve">R890.2, R4299.1, </t>
  </si>
  <si>
    <t>SMB_M2_2_P1V8_CLK</t>
  </si>
  <si>
    <t xml:space="preserve">JD2.115, R888.2, </t>
  </si>
  <si>
    <t>SMB_M2_2_INA233_ALRT_N_D</t>
  </si>
  <si>
    <t xml:space="preserve">U70.12, U73.3, R1322.1, </t>
  </si>
  <si>
    <t>SMB_M2_2_INA233_ALRT_N</t>
  </si>
  <si>
    <t xml:space="preserve">U73.2, U1.173, R535.2, </t>
  </si>
  <si>
    <t>SMB_M2_2_ALERT_N_R</t>
  </si>
  <si>
    <t xml:space="preserve">JD2.119, R217.2, </t>
  </si>
  <si>
    <t>SMB_M2_2_ALERT_N</t>
  </si>
  <si>
    <t xml:space="preserve">U2.223, R217.1, R278.2, </t>
  </si>
  <si>
    <t>SMB_M2_2_ALERT_LVC_N_R</t>
  </si>
  <si>
    <t xml:space="preserve">U2.101, R174.1, R207.2, </t>
  </si>
  <si>
    <t>SMB_M2_2_3V3SB_DAT_R</t>
  </si>
  <si>
    <t xml:space="preserve">U2.141, R4369.2, </t>
  </si>
  <si>
    <t>SMB_M2_2_3V3SB_DAT</t>
  </si>
  <si>
    <t xml:space="preserve">R891.1, R4369.1, R537.2, R313.2, </t>
  </si>
  <si>
    <t>SMB_M2_2_3V3SB_CLK</t>
  </si>
  <si>
    <t xml:space="preserve">U2.107, R889.1, R536.2, R311.2, </t>
  </si>
  <si>
    <t>SMB_M2_11_P1V8_DAT_R2</t>
  </si>
  <si>
    <t xml:space="preserve">U44.3, R944.1, R951.2, </t>
  </si>
  <si>
    <t>SMB_M2_11_P1V8_DAT</t>
  </si>
  <si>
    <t xml:space="preserve">R944.2, R4308.1, </t>
  </si>
  <si>
    <t>SMB_M2_11_P1V8_CLK_R2</t>
  </si>
  <si>
    <t xml:space="preserve">U44.2, R942.1, R950.2, </t>
  </si>
  <si>
    <t>SMB_M2_11_P1V8_CLK</t>
  </si>
  <si>
    <t xml:space="preserve">JD6.40, R942.2, </t>
  </si>
  <si>
    <t>SMB_M2_11_INA233_ALRT_N_R</t>
  </si>
  <si>
    <t xml:space="preserve">U30.3, R742.1, R741.1, </t>
  </si>
  <si>
    <t>SMB_M2_11_INA233_ALRT_N_D</t>
  </si>
  <si>
    <t xml:space="preserve">U85.4, U86.3, R1342.1, </t>
  </si>
  <si>
    <t>SMB_M2_11_INA233_ALRT_N</t>
  </si>
  <si>
    <t xml:space="preserve">U86.2, U1.24, R742.2, </t>
  </si>
  <si>
    <t>SMB_M2_11_ALERT_LVC_N_R</t>
  </si>
  <si>
    <t xml:space="preserve">U2.47, R186.2, R197.2, </t>
  </si>
  <si>
    <t>SMB_M2_11_ALERT_LVC_N</t>
  </si>
  <si>
    <t xml:space="preserve">U1.299, R186.1, </t>
  </si>
  <si>
    <t>SMB_M2_11_3V3SB_DAT_R1</t>
  </si>
  <si>
    <t xml:space="preserve">U44.6, R945.2, </t>
  </si>
  <si>
    <t>SMB_M2_11_3V3SB_DAT_R</t>
  </si>
  <si>
    <t xml:space="preserve">U2.36, R4359.2, </t>
  </si>
  <si>
    <t>SMB_M2_11_3V3SB_DAT</t>
  </si>
  <si>
    <t xml:space="preserve">R945.1, R4359.1, R744.2, R309.2, </t>
  </si>
  <si>
    <t>SMB_M2_11_3V3SB_CLK_R3</t>
  </si>
  <si>
    <t xml:space="preserve">U30.5, R743.1, </t>
  </si>
  <si>
    <t>SMB_M2_11_3V3SB_CLK_R1</t>
  </si>
  <si>
    <t xml:space="preserve">U44.7, R943.2, </t>
  </si>
  <si>
    <t>SMB_M2_11_3V3SB_CLK</t>
  </si>
  <si>
    <t xml:space="preserve">U2.104, R943.1, R743.2, R308.2, </t>
  </si>
  <si>
    <t>SMB_M2_10_P1V8_DAT_R2</t>
  </si>
  <si>
    <t xml:space="preserve">U43.3, R940.1, R949.2, </t>
  </si>
  <si>
    <t>SMB_M2_10_P1V8_CLK_R2</t>
  </si>
  <si>
    <t xml:space="preserve">U43.2, R938.1, R948.2, </t>
  </si>
  <si>
    <t>SMB_M2_10_INA233_ALRT_N_R</t>
  </si>
  <si>
    <t xml:space="preserve">U29.3, R719.1, R718.1, </t>
  </si>
  <si>
    <t>SMB_M2_10_INA233_ALRT_N_D</t>
  </si>
  <si>
    <t xml:space="preserve">U80.12, U83.3, R1338.1, </t>
  </si>
  <si>
    <t>SMB_M2_10_INA233_ALRT_N</t>
  </si>
  <si>
    <t xml:space="preserve">U83.2, U1.79, R719.2, </t>
  </si>
  <si>
    <t>SMB_M2_10_ALERT_LVC_N_R</t>
  </si>
  <si>
    <t xml:space="preserve">U2.100, R187.1, R198.2, </t>
  </si>
  <si>
    <t>SMB_M2_10_3V3SB_DAT_R3</t>
  </si>
  <si>
    <t xml:space="preserve">U29.4, R721.1, </t>
  </si>
  <si>
    <t>SMB_M2_10_3V3SB_DAT_R1</t>
  </si>
  <si>
    <t xml:space="preserve">U43.6, R941.2, </t>
  </si>
  <si>
    <t>SMB_M2_10_3V3SB_DAT_R</t>
  </si>
  <si>
    <t xml:space="preserve">U2.53, R4365.2, </t>
  </si>
  <si>
    <t>SMB_M2_10_3V3SB_DAT</t>
  </si>
  <si>
    <t xml:space="preserve">R941.1, R4365.1, R721.2, R307.2, </t>
  </si>
  <si>
    <t>SMB_M2_10_3V3SB_CLK_R3</t>
  </si>
  <si>
    <t xml:space="preserve">U29.5, R720.1, </t>
  </si>
  <si>
    <t>SMB_M2_10_3V3SB_CLK_R1</t>
  </si>
  <si>
    <t xml:space="preserve">U43.7, R939.2, </t>
  </si>
  <si>
    <t>SMB_M2_10_3V3SB_CLK</t>
  </si>
  <si>
    <t xml:space="preserve">U2.70, R939.1, R720.2, R306.2, </t>
  </si>
  <si>
    <t>SMB_M2_1_P1V8_DAT</t>
  </si>
  <si>
    <t xml:space="preserve">R886.2, R4298.1, </t>
  </si>
  <si>
    <t>SMB_M2_1_P1V8_CLK</t>
  </si>
  <si>
    <t xml:space="preserve">JD1.40, R884.2, </t>
  </si>
  <si>
    <t>SMB_M2_1_INA233_ALRT_N_R</t>
  </si>
  <si>
    <t xml:space="preserve">U20.3, R512.1, R511.1, </t>
  </si>
  <si>
    <t>SMB_M2_1_INA233_ALRT_N_D</t>
  </si>
  <si>
    <t xml:space="preserve">U75.1, U74.3, R1324.1, </t>
  </si>
  <si>
    <t>SMB_M2_1_INA233_ALRT_N</t>
  </si>
  <si>
    <t xml:space="preserve">U74.2, U1.316, R512.2, </t>
  </si>
  <si>
    <t>SMB_M2_1_ALERT_N_R</t>
  </si>
  <si>
    <t xml:space="preserve">JD1.44, R239.2, </t>
  </si>
  <si>
    <t>SMB_M2_1_ALERT_LVC_N</t>
  </si>
  <si>
    <t xml:space="preserve">U1.348, R192.1, </t>
  </si>
  <si>
    <t>SMB_M2_1_3V3SB_DAT_R</t>
  </si>
  <si>
    <t xml:space="preserve">U2.90, R4364.2, </t>
  </si>
  <si>
    <t>SMB_M2_1_3V3SB_DAT</t>
  </si>
  <si>
    <t xml:space="preserve">R887.1, R4364.1, R514.2, R305.2, </t>
  </si>
  <si>
    <t>SMB_M2_1_3V3SB_CLK</t>
  </si>
  <si>
    <t xml:space="preserve">U2.142, R885.1, R513.2, R304.2, </t>
  </si>
  <si>
    <t>SMB_E1S_0_P3V3_DAT</t>
  </si>
  <si>
    <t xml:space="preserve">R1115.2, R1098.2, R1013.2, </t>
  </si>
  <si>
    <t>SMB_E1S_0_P3V3_CLK</t>
  </si>
  <si>
    <t xml:space="preserve">R1114.2, R1097.2, R1015.2, </t>
  </si>
  <si>
    <t>SMB_BIC_CPLD_M2_8/9_DAT_R2</t>
  </si>
  <si>
    <t xml:space="preserve">U2.202, R1796.2, </t>
  </si>
  <si>
    <t>SMB_BIC_CPLD_M2_8/9_CLK</t>
  </si>
  <si>
    <t xml:space="preserve">U2.235, R41.1, </t>
  </si>
  <si>
    <t>SMB_BIC_CPLD_M2_6/7_DAT_R2</t>
  </si>
  <si>
    <t xml:space="preserve">U2.185, R1798.1, </t>
  </si>
  <si>
    <t>SMB_BIC_CPLD_M2_4/5_DAT_R</t>
  </si>
  <si>
    <t xml:space="preserve">U1.96, R34.2, R79.2, </t>
  </si>
  <si>
    <t>SMB_BIC_CPLD_M2_4/5_DAT</t>
  </si>
  <si>
    <t xml:space="preserve">R1795.1, R34.1, </t>
  </si>
  <si>
    <t>SMB_BIC_CPLD_M2_4/5_CLK_R</t>
  </si>
  <si>
    <t xml:space="preserve">U1.97, R33.2, R77.2, </t>
  </si>
  <si>
    <t>SMB_BIC_CPLD_M2_4/5_CLK</t>
  </si>
  <si>
    <t xml:space="preserve">U2.217, R33.1, </t>
  </si>
  <si>
    <t>SMB_BIC_CPLD_M2_2/3_DAT_R2</t>
  </si>
  <si>
    <t xml:space="preserve">U2.186, R1797.1, </t>
  </si>
  <si>
    <t>SMB_BIC_CPLD_M2_2/3_DAT</t>
  </si>
  <si>
    <t xml:space="preserve">R1797.2, R40.1, </t>
  </si>
  <si>
    <t>SMB_BIC_CPLD_M2_2/3_CLK</t>
  </si>
  <si>
    <t xml:space="preserve">U2.199, R39.1, </t>
  </si>
  <si>
    <t>SMB_BIC_CPLD_M2_10/11_DAT_R2</t>
  </si>
  <si>
    <t xml:space="preserve">U2.219, R1799.1, </t>
  </si>
  <si>
    <t>SMB_BIC_CPLD_M2_10/11_DAT_R</t>
  </si>
  <si>
    <t xml:space="preserve">U1.340, R30.2, R88.2, </t>
  </si>
  <si>
    <t>SMB_BIC_CPLD_M2_10/11_DAT</t>
  </si>
  <si>
    <t xml:space="preserve">R1799.2, R30.1, </t>
  </si>
  <si>
    <t>SMB_BIC_CPLD_M2_10/11_CLK_R</t>
  </si>
  <si>
    <t xml:space="preserve">U1.323, R28.2, R86.2, </t>
  </si>
  <si>
    <t>SMB_BIC_CPLD_M2_10/11_CLK</t>
  </si>
  <si>
    <t xml:space="preserve">U2.203, R28.1, </t>
  </si>
  <si>
    <t>RST_PESW_M2_9_N_R</t>
  </si>
  <si>
    <t xml:space="preserve">U31.460, R805.2, R1397.2, </t>
  </si>
  <si>
    <t>RST_PESW_M2_9_N</t>
  </si>
  <si>
    <t xml:space="preserve">R4484.1, R4482.1, R805.1, </t>
  </si>
  <si>
    <t>RST_PESW_M2_8_N_R</t>
  </si>
  <si>
    <t xml:space="preserve">U31.422, R803.2, R1396.2, </t>
  </si>
  <si>
    <t>RST_PESW_M2_8_N</t>
  </si>
  <si>
    <t xml:space="preserve">R4479.1, R4477.1, R803.1, </t>
  </si>
  <si>
    <t>RST_PESW_M2_7_N_R</t>
  </si>
  <si>
    <t xml:space="preserve">U31.146, R800.2, R1395.2, </t>
  </si>
  <si>
    <t>RST_PESW_M2_7_N</t>
  </si>
  <si>
    <t xml:space="preserve">R4474.1, R4472.1, R800.1, </t>
  </si>
  <si>
    <t>RST_PESW_M2_6_N_R</t>
  </si>
  <si>
    <t xml:space="preserve">U31.185, R799.2, R1394.2, </t>
  </si>
  <si>
    <t>RST_PESW_M2_6_N</t>
  </si>
  <si>
    <t xml:space="preserve">R4469.1, R4467.1, R799.1, </t>
  </si>
  <si>
    <t>RST_PESW_M2_5_N_R</t>
  </si>
  <si>
    <t xml:space="preserve">U31.224, R798.2, R1393.2, </t>
  </si>
  <si>
    <t>RST_PESW_M2_5_N</t>
  </si>
  <si>
    <t xml:space="preserve">R4464.1, R4462.1, R798.1, </t>
  </si>
  <si>
    <t>RST_PESW_M2_4_N_R</t>
  </si>
  <si>
    <t xml:space="preserve">U31.186, R797.2, R1392.2, </t>
  </si>
  <si>
    <t>RST_PESW_M2_3_N</t>
  </si>
  <si>
    <t xml:space="preserve">R4454.1, R4452.1, R796.1, </t>
  </si>
  <si>
    <t>RST_PESW_M2_2_N_R</t>
  </si>
  <si>
    <t xml:space="preserve">U31.226, R795.2, R1390.2, </t>
  </si>
  <si>
    <t>RST_PESW_M2_2_N</t>
  </si>
  <si>
    <t xml:space="preserve">R4449.1, R4447.1, R795.1, </t>
  </si>
  <si>
    <t>RST_PESW_M2_11_N_R</t>
  </si>
  <si>
    <t xml:space="preserve">U31.1278, R811.2, R1399.2, </t>
  </si>
  <si>
    <t>RST_PESW_M2_11_N</t>
  </si>
  <si>
    <t xml:space="preserve">R4494.1, R4492.1, R811.1, </t>
  </si>
  <si>
    <t>RST_PESW_M2_10_N_R</t>
  </si>
  <si>
    <t xml:space="preserve">U31.421, R807.2, R1398.2, </t>
  </si>
  <si>
    <t>RST_PESW_M2_10_N</t>
  </si>
  <si>
    <t xml:space="preserve">R4489.1, R4487.1, R807.1, </t>
  </si>
  <si>
    <t>RST_PESW_M2_1_N_R1</t>
  </si>
  <si>
    <t xml:space="preserve">R4498.2, U163.2, R4442.2, </t>
  </si>
  <si>
    <t>RST_PESW_M2_1_N</t>
  </si>
  <si>
    <t xml:space="preserve">R4444.1, R4442.1, R794.1, </t>
  </si>
  <si>
    <t>RST_PESW_M2_1_LVC_N_R1</t>
  </si>
  <si>
    <t xml:space="preserve">U163.1, R4441.1, </t>
  </si>
  <si>
    <t>RST_PESW_M2_1_LVC_N_R</t>
  </si>
  <si>
    <t xml:space="preserve">U163.4, R4444.2, R4443.1, R1439.2, </t>
  </si>
  <si>
    <t>RST_PESW_M2_1_LVC_N</t>
  </si>
  <si>
    <t xml:space="preserve">JD1.50, R4443.2, R4441.2, </t>
  </si>
  <si>
    <t>RESERVED_M2_5_PLN_N</t>
  </si>
  <si>
    <t xml:space="preserve">JD3.8, R592.1, R589.2, </t>
  </si>
  <si>
    <t>PWRGD_P3V3_M2_9_R</t>
  </si>
  <si>
    <t xml:space="preserve">U16.6, R465.1, R464.2, </t>
  </si>
  <si>
    <t>PWRGD_P3V3_M2_9</t>
  </si>
  <si>
    <t xml:space="preserve">U42.5, U2.157, U1.286, R465.2, Q68.2, </t>
  </si>
  <si>
    <t>PWRGD_P3V3_M2_8_R</t>
  </si>
  <si>
    <t xml:space="preserve">U15.6, R462.1, R461.2, </t>
  </si>
  <si>
    <t>PWRGD_P3V3_M2_8</t>
  </si>
  <si>
    <t xml:space="preserve">U41.5, U2.212, U1.267, R462.2, Q67.2, </t>
  </si>
  <si>
    <t>PWRGD_P3V3_M2_7_R</t>
  </si>
  <si>
    <t xml:space="preserve">U14.6, R459.1, R458.2, </t>
  </si>
  <si>
    <t>PWRGD_P3V3_M2_5</t>
  </si>
  <si>
    <t xml:space="preserve">U38.5, U2.8, U1.46, R453.2, Q64.2, </t>
  </si>
  <si>
    <t>PWRGD_P3V3_M2_4</t>
  </si>
  <si>
    <t xml:space="preserve">U37.5, U2.9, U1.48, R450.2, Q63.2, </t>
  </si>
  <si>
    <t>PWRGD_P3V3_M2_3</t>
  </si>
  <si>
    <t xml:space="preserve">U36.5, U2.80, U1.28, R447.2, Q62.2, </t>
  </si>
  <si>
    <t>PWRGD_P3V3_M2_11_R</t>
  </si>
  <si>
    <t xml:space="preserve">U18.6, R471.1, R470.2, </t>
  </si>
  <si>
    <t>PWRGD_P3V3_M2_11</t>
  </si>
  <si>
    <t xml:space="preserve">U44.5, U2.289, U1.287, R471.2, Q70.2, </t>
  </si>
  <si>
    <t>PWRGD_P3V3_M2_10</t>
  </si>
  <si>
    <t xml:space="preserve">U43.5, U2.159, U1.269, R468.2, Q69.2, </t>
  </si>
  <si>
    <t>PWRGD_P3V3_M2_1</t>
  </si>
  <si>
    <t xml:space="preserve">U34.5, U2.15, U1.29, R441.2, Q60.2, </t>
  </si>
  <si>
    <t>PWRGD_P3V3_E1S_1</t>
  </si>
  <si>
    <t xml:space="preserve">U1.332, R1092.2, </t>
  </si>
  <si>
    <t>PWRGD_P12V_E1S_0</t>
  </si>
  <si>
    <t xml:space="preserve">U2.271, U1.63, R1083.2, </t>
  </si>
  <si>
    <t>PU_M2_9_VIO_1V8</t>
  </si>
  <si>
    <t xml:space="preserve">JD5.22, R685.2, </t>
  </si>
  <si>
    <t>PU_M2_9_PLA_S3_N</t>
  </si>
  <si>
    <t xml:space="preserve">JD5.30, R687.2, </t>
  </si>
  <si>
    <t>PU_M2_9_CLKREQ_N</t>
  </si>
  <si>
    <t xml:space="preserve">JD5.52, R692.2, </t>
  </si>
  <si>
    <t>PU_M2_8_VIO_1V8</t>
  </si>
  <si>
    <t xml:space="preserve">JD5.97, R662.2, </t>
  </si>
  <si>
    <t>PU_M2_8_PLA_S3_N</t>
  </si>
  <si>
    <t xml:space="preserve">JD5.105, R664.2, </t>
  </si>
  <si>
    <t>PU_M2_8_CLKREQ_N</t>
  </si>
  <si>
    <t xml:space="preserve">JD5.127, R669.2, </t>
  </si>
  <si>
    <t>PU_M2_7_VIO_1V8</t>
  </si>
  <si>
    <t xml:space="preserve">JD4.22, R639.2, </t>
  </si>
  <si>
    <t>PU_M2_7_PLA_S3_N</t>
  </si>
  <si>
    <t xml:space="preserve">JD4.30, R641.2, </t>
  </si>
  <si>
    <t>PU_M2_7_CLKREQ_N</t>
  </si>
  <si>
    <t xml:space="preserve">JD4.52, R646.2, </t>
  </si>
  <si>
    <t>PU_M2_6_VIO_1V8</t>
  </si>
  <si>
    <t xml:space="preserve">JD4.97, R616.2, </t>
  </si>
  <si>
    <t>PU_M2_6_PLA_S3_N</t>
  </si>
  <si>
    <t xml:space="preserve">JD4.105, R618.2, </t>
  </si>
  <si>
    <t>PU_M2_6_CLKREQ_N</t>
  </si>
  <si>
    <t xml:space="preserve">JD4.127, R623.2, </t>
  </si>
  <si>
    <t>PU_M2_11_VIO_1V8</t>
  </si>
  <si>
    <t xml:space="preserve">JD6.22, R731.2, </t>
  </si>
  <si>
    <t>PU_M2_11_PLA_S3_N</t>
  </si>
  <si>
    <t xml:space="preserve">JD6.30, R733.2, </t>
  </si>
  <si>
    <t>PU_M2_11_CLKREQ_N</t>
  </si>
  <si>
    <t xml:space="preserve">JD6.52, R738.2, </t>
  </si>
  <si>
    <t>PU_M2_10_VIO_1V8</t>
  </si>
  <si>
    <t xml:space="preserve">JD6.97, R708.2, </t>
  </si>
  <si>
    <t>PU_M2_10_PLA_S3_N</t>
  </si>
  <si>
    <t xml:space="preserve">JD6.105, R710.2, </t>
  </si>
  <si>
    <t>PU_M2_10_CLKREQ_N</t>
  </si>
  <si>
    <t xml:space="preserve">JD6.127, R715.2, </t>
  </si>
  <si>
    <t>PU_INA233_M2_9_A1</t>
  </si>
  <si>
    <t xml:space="preserve">U28.1, R702.2, </t>
  </si>
  <si>
    <t>PU_INA233_M2_8_A1</t>
  </si>
  <si>
    <t xml:space="preserve">U27.1, R679.2, </t>
  </si>
  <si>
    <t>PU_INA233_M2_8_A0</t>
  </si>
  <si>
    <t xml:space="preserve">U27.2, R678.2, </t>
  </si>
  <si>
    <t>PU_INA233_M2_7_A1</t>
  </si>
  <si>
    <t xml:space="preserve">U26.1, R656.2, </t>
  </si>
  <si>
    <t>PU_INA233_M2_7_A0</t>
  </si>
  <si>
    <t xml:space="preserve">U26.2, R655.2, </t>
  </si>
  <si>
    <t>PU_INA233_M2_6_A1</t>
  </si>
  <si>
    <t xml:space="preserve">U25.1, R633.2, </t>
  </si>
  <si>
    <t>PU_INA233_M2_6_A0</t>
  </si>
  <si>
    <t xml:space="preserve">U25.2, R632.2, </t>
  </si>
  <si>
    <t>PU_INA233_M2_11_A1</t>
  </si>
  <si>
    <t xml:space="preserve">U30.1, R748.2, </t>
  </si>
  <si>
    <t>PU_INA233_M2_11_A0</t>
  </si>
  <si>
    <t xml:space="preserve">U30.2, R747.2, </t>
  </si>
  <si>
    <t>PU_INA233_M2_10_A1</t>
  </si>
  <si>
    <t xml:space="preserve">U29.1, R725.2, </t>
  </si>
  <si>
    <t>PU_INA233_M2_10_A0</t>
  </si>
  <si>
    <t xml:space="preserve">U29.2, R724.2, </t>
  </si>
  <si>
    <t>PD_M2_7_PWRDIS</t>
  </si>
  <si>
    <t xml:space="preserve">JD4.6, R637.1, R634.2, </t>
  </si>
  <si>
    <t>PD_M2_1_PWRDIS</t>
  </si>
  <si>
    <t xml:space="preserve">JD1.6, R499.1, R496.2, </t>
  </si>
  <si>
    <t>P3V3_M2_9_SR</t>
  </si>
  <si>
    <t xml:space="preserve">U16.5, C156.1, </t>
  </si>
  <si>
    <t>P3V3_M2_9_L</t>
  </si>
  <si>
    <t xml:space="preserve">JD5.2, JD5.4, JD5.12, JD5.14, JD5.16, JD5.18, </t>
  </si>
  <si>
    <t>P3V3_M2_9_EN_R</t>
  </si>
  <si>
    <t xml:space="preserve">U85.3, R1413.1, </t>
  </si>
  <si>
    <t>P3V3_M2_9_EN</t>
  </si>
  <si>
    <t xml:space="preserve">U16.2, R1413.2, R1058.1, </t>
  </si>
  <si>
    <t>P3V3_M2_9_BLEED</t>
  </si>
  <si>
    <t xml:space="preserve">U16.7, R466.1, </t>
  </si>
  <si>
    <t>P3V3_M2_8_L</t>
  </si>
  <si>
    <t xml:space="preserve">JD5.77, JD5.79, JD5.87, JD5.89, JD5.91, JD5.93, </t>
  </si>
  <si>
    <t>P3V3_M2_8_EN_R</t>
  </si>
  <si>
    <t xml:space="preserve">U80.8, R1412.1, </t>
  </si>
  <si>
    <t>P3V3_M2_8_EN</t>
  </si>
  <si>
    <t xml:space="preserve">U15.2, R1412.2, R1059.1, </t>
  </si>
  <si>
    <t>P3V3_M2_8_BLEED</t>
  </si>
  <si>
    <t xml:space="preserve">U15.7, R463.1, </t>
  </si>
  <si>
    <t>P3V3_M2_8</t>
  </si>
  <si>
    <t xml:space="preserve">U27.8, U15.8, U15.9, U15.10, U15.11, U15.12, </t>
  </si>
  <si>
    <t>P3V3_M2_7_L</t>
  </si>
  <si>
    <t xml:space="preserve">JD4.2, JD4.4, JD4.12, JD4.14, JD4.16, JD4.18, </t>
  </si>
  <si>
    <t>P3V3_M2_7_EN_R</t>
  </si>
  <si>
    <t xml:space="preserve">U80.6, R1411.1, </t>
  </si>
  <si>
    <t>P3V3_M2_7_EN</t>
  </si>
  <si>
    <t xml:space="preserve">U14.2, R1411.2, R1060.1, </t>
  </si>
  <si>
    <t>P3V3_M2_7_BLEED</t>
  </si>
  <si>
    <t xml:space="preserve">U14.7, R460.1, </t>
  </si>
  <si>
    <t>P3V3_M2_7</t>
  </si>
  <si>
    <t xml:space="preserve">U26.8, U14.8, U14.9, U14.10, U14.11, U14.12, </t>
  </si>
  <si>
    <t>P3V3_M2_6_L</t>
  </si>
  <si>
    <t xml:space="preserve">JD4.77, JD4.79, JD4.87, JD4.89, JD4.91, JD4.93, </t>
  </si>
  <si>
    <t>P3V3_M2_6_EN_R</t>
  </si>
  <si>
    <t xml:space="preserve">U75.11, R1410.1, </t>
  </si>
  <si>
    <t>P3V3_M2_6_EN</t>
  </si>
  <si>
    <t xml:space="preserve">U13.2, R1410.2, R1061.1, </t>
  </si>
  <si>
    <t>P3V3_M2_6_BLEED</t>
  </si>
  <si>
    <t xml:space="preserve">U13.7, R457.1, </t>
  </si>
  <si>
    <t>P3V3_M2_6</t>
  </si>
  <si>
    <t xml:space="preserve">U25.8, U13.8, U13.9, U13.10, U13.11, U13.12, </t>
  </si>
  <si>
    <t>P3V3_M2_5_EN_R</t>
  </si>
  <si>
    <t xml:space="preserve">U80.3, R1409.1, </t>
  </si>
  <si>
    <t>P3V3_M2_5_EN</t>
  </si>
  <si>
    <t xml:space="preserve">U12.2, R1409.2, R1050.1, </t>
  </si>
  <si>
    <t>P3V3_M2_4_EN_R</t>
  </si>
  <si>
    <t xml:space="preserve">U75.8, R1408.1, </t>
  </si>
  <si>
    <t>P3V3_M2_3_EN_R</t>
  </si>
  <si>
    <t xml:space="preserve">U75.6, R1407.1, </t>
  </si>
  <si>
    <t>P3V3_M2_2_EN_R</t>
  </si>
  <si>
    <t xml:space="preserve">U70.11, R1406.1, </t>
  </si>
  <si>
    <t>P3V3_M2_2_EN</t>
  </si>
  <si>
    <t xml:space="preserve">U9.2, R1406.2, R1053.1, </t>
  </si>
  <si>
    <t>P3V3_M2_11_SR</t>
  </si>
  <si>
    <t xml:space="preserve">U18.5, C170.1, </t>
  </si>
  <si>
    <t>P3V3_M2_11_L</t>
  </si>
  <si>
    <t xml:space="preserve">JD6.2, JD6.4, JD6.12, JD6.14, JD6.16, JD6.18, </t>
  </si>
  <si>
    <t>P3V3_M2_11_EN_R</t>
  </si>
  <si>
    <t xml:space="preserve">U85.6, R1415.1, </t>
  </si>
  <si>
    <t>P3V3_M2_11_EN</t>
  </si>
  <si>
    <t xml:space="preserve">U18.2, R1415.2, R1056.1, </t>
  </si>
  <si>
    <t>P3V3_M2_11_BLEED</t>
  </si>
  <si>
    <t xml:space="preserve">U18.7, R472.1, </t>
  </si>
  <si>
    <t>P3V3_M2_11</t>
  </si>
  <si>
    <t xml:space="preserve">U30.8, U18.8, U18.9, U18.10, U18.11, U18.12, </t>
  </si>
  <si>
    <t>P3V3_M2_10_L</t>
  </si>
  <si>
    <t xml:space="preserve">JD6.77, JD6.79, JD6.87, JD6.89, JD6.91, JD6.93, </t>
  </si>
  <si>
    <t>P3V3_M2_10_EN_R</t>
  </si>
  <si>
    <t xml:space="preserve">U80.11, R1414.1, </t>
  </si>
  <si>
    <t>P3V3_M2_10_EN</t>
  </si>
  <si>
    <t xml:space="preserve">U17.2, R1414.2, R1057.1, </t>
  </si>
  <si>
    <t>P3V3_M2_10_BLEED</t>
  </si>
  <si>
    <t xml:space="preserve">U17.7, R469.1, </t>
  </si>
  <si>
    <t>P3V3_M2_10</t>
  </si>
  <si>
    <t xml:space="preserve">U29.8, U17.8, U17.9, U17.10, U17.11, U17.12, </t>
  </si>
  <si>
    <t>P3V3_M2_1_EN_R</t>
  </si>
  <si>
    <t xml:space="preserve">U75.3, R1405.1, </t>
  </si>
  <si>
    <t>P3V3_CPLD_M2_9_EN_R</t>
  </si>
  <si>
    <t xml:space="preserve">U2.193, R145.1, </t>
  </si>
  <si>
    <t>P3V3_CPLD_M2_8_EN</t>
  </si>
  <si>
    <t xml:space="preserve">U80.10, R137.1, </t>
  </si>
  <si>
    <t>P3V3_CPLD_M2_7_EN</t>
  </si>
  <si>
    <t xml:space="preserve">U80.5, R138.2, </t>
  </si>
  <si>
    <t>P3V3_CPLD_M2_6_EN_R</t>
  </si>
  <si>
    <t xml:space="preserve">U2.214, R152.2, </t>
  </si>
  <si>
    <t>P3V3_CPLD_M2_6_EN</t>
  </si>
  <si>
    <t xml:space="preserve">U75.13, R152.1, </t>
  </si>
  <si>
    <t>P3V3_CPLD_M2_5_EN</t>
  </si>
  <si>
    <t xml:space="preserve">U80.2, R183.2, </t>
  </si>
  <si>
    <t>P3V3_CPLD_M2_4_EN</t>
  </si>
  <si>
    <t xml:space="preserve">U75.10, R182.1, </t>
  </si>
  <si>
    <t>P3V3_CPLD_M2_3_EN</t>
  </si>
  <si>
    <t xml:space="preserve">U75.5, R156.1, </t>
  </si>
  <si>
    <t>P3V3_CPLD_M2_2_EN</t>
  </si>
  <si>
    <t xml:space="preserve">U70.13, R184.1, </t>
  </si>
  <si>
    <t>P3V3_CPLD_M2_11_EN_R</t>
  </si>
  <si>
    <t xml:space="preserve">U2.195, R136.1, </t>
  </si>
  <si>
    <t>P3V3_CPLD_M2_10_EN_R</t>
  </si>
  <si>
    <t xml:space="preserve">U2.196, R151.2, </t>
  </si>
  <si>
    <t>P3V3_CPLD_M2_10_EN</t>
  </si>
  <si>
    <t xml:space="preserve">U80.13, R151.1, </t>
  </si>
  <si>
    <t>P3V3_CPLD_M2_1_EN</t>
  </si>
  <si>
    <t xml:space="preserve">U75.2, R167.1, </t>
  </si>
  <si>
    <t>P3V3_CPLD_E1S_1_EN</t>
  </si>
  <si>
    <t xml:space="preserve">U53.2, R181.2, R1064.1, </t>
  </si>
  <si>
    <t>P3V3_CPLD_E1S_0_EN_R</t>
  </si>
  <si>
    <t xml:space="preserve">U2.45, R165.1, </t>
  </si>
  <si>
    <t>P12V_E1S_1_EN_R</t>
  </si>
  <si>
    <t xml:space="preserve">U70.6, R1403.1, </t>
  </si>
  <si>
    <t>P12V_E1S_1_EN</t>
  </si>
  <si>
    <t xml:space="preserve">U51.2, R1403.2, </t>
  </si>
  <si>
    <t>P12V_E1S_0_EN_R</t>
  </si>
  <si>
    <t xml:space="preserve">U70.3, R1402.1, </t>
  </si>
  <si>
    <t>P12V_E1S_0_EN</t>
  </si>
  <si>
    <t xml:space="preserve">U50.2, R1402.2, </t>
  </si>
  <si>
    <t>P12V_CPLD_E1S_1_EN_R</t>
  </si>
  <si>
    <t xml:space="preserve">U2.237, R1614.2, </t>
  </si>
  <si>
    <t>P12V_CPLD_E1S_1_EN</t>
  </si>
  <si>
    <t xml:space="preserve">U70.5, R1614.1, R1062.1, </t>
  </si>
  <si>
    <t>P12V_CPLD_E1S_0_EN</t>
  </si>
  <si>
    <t xml:space="preserve">U70.2, R263.1, R1063.1, </t>
  </si>
  <si>
    <t>M2_9_VIO_CFG</t>
  </si>
  <si>
    <t xml:space="preserve">JD5.73, R693.2, </t>
  </si>
  <si>
    <t>M2_9_LED</t>
  </si>
  <si>
    <t xml:space="preserve">JD5.10, R682.2, </t>
  </si>
  <si>
    <t>M2_8_VIO_CFG</t>
  </si>
  <si>
    <t xml:space="preserve">JD5.148, R670.2, </t>
  </si>
  <si>
    <t>M2_8_LED</t>
  </si>
  <si>
    <t xml:space="preserve">JD5.85, R659.2, </t>
  </si>
  <si>
    <t>M2_7_VIO_CFG</t>
  </si>
  <si>
    <t xml:space="preserve">JD4.73, R647.2, </t>
  </si>
  <si>
    <t>M2_7_LED</t>
  </si>
  <si>
    <t xml:space="preserve">JD4.10, R636.2, </t>
  </si>
  <si>
    <t>M2_6_VIO_CFG</t>
  </si>
  <si>
    <t xml:space="preserve">JD4.148, R624.2, </t>
  </si>
  <si>
    <t>M2_6_LED</t>
  </si>
  <si>
    <t xml:space="preserve">JD4.85, R613.2, </t>
  </si>
  <si>
    <t>M2_11_VIO_CFG</t>
  </si>
  <si>
    <t xml:space="preserve">JD6.73, R739.2, </t>
  </si>
  <si>
    <t>M2_11_LED</t>
  </si>
  <si>
    <t xml:space="preserve">JD6.10, R728.2, </t>
  </si>
  <si>
    <t>M2_10_VIO_CFG</t>
  </si>
  <si>
    <t xml:space="preserve">JD6.148, R716.2, </t>
  </si>
  <si>
    <t>M2_10_LED</t>
  </si>
  <si>
    <t xml:space="preserve">JD6.85, R705.2, </t>
  </si>
  <si>
    <t>LED_E1S_0_BIC_N</t>
  </si>
  <si>
    <t xml:space="preserve">U2.144, R107.2, </t>
  </si>
  <si>
    <t>JTAG_CPLD_M2_9_TMS</t>
  </si>
  <si>
    <t xml:space="preserve">JD5.67, R268.2, </t>
  </si>
  <si>
    <t>JTAG_CPLD_M2_9_TCK_R</t>
  </si>
  <si>
    <t xml:space="preserve">U2.274, R238.1, </t>
  </si>
  <si>
    <t>JTAG_CPLD_M2_8_TCK_R</t>
  </si>
  <si>
    <t xml:space="preserve">U2.257, R216.1, </t>
  </si>
  <si>
    <t>JTAG_CPLD_M2_7_TMS</t>
  </si>
  <si>
    <t xml:space="preserve">JD4.67, R267.1, </t>
  </si>
  <si>
    <t>JTAG_CPLD_M2_7_TCK_R</t>
  </si>
  <si>
    <t xml:space="preserve">U2.258, R236.1, </t>
  </si>
  <si>
    <t>JTAG_CPLD_M2_5_TRST_R</t>
  </si>
  <si>
    <t xml:space="preserve">U2.264, R225.1, </t>
  </si>
  <si>
    <t>JTAG_CPLD_M2_5_TRST</t>
  </si>
  <si>
    <t xml:space="preserve">JD3.20, R225.2, </t>
  </si>
  <si>
    <t>JTAG_CPLD_M2_5_TMS_R</t>
  </si>
  <si>
    <t xml:space="preserve">U2.265, R231.1, </t>
  </si>
  <si>
    <t>JTAG_CPLD_M2_5_TDO_R</t>
  </si>
  <si>
    <t xml:space="preserve">JD3.26, R594.2, </t>
  </si>
  <si>
    <t>JTAG_CPLD_M2_5_TDO</t>
  </si>
  <si>
    <t xml:space="preserve">U2.167, R594.1, </t>
  </si>
  <si>
    <t>JTAG_CPLD_M2_4_TRST</t>
  </si>
  <si>
    <t xml:space="preserve">JD3.95, R247.1, </t>
  </si>
  <si>
    <t>JTAG_CPLD_M2_4_TMS_R</t>
  </si>
  <si>
    <t xml:space="preserve">U2.286, R253.2, </t>
  </si>
  <si>
    <t>JTAG_CPLD_M2_4_TMS</t>
  </si>
  <si>
    <t xml:space="preserve">JD3.142, R253.1, </t>
  </si>
  <si>
    <t>JTAG_CPLD_M2_4_TDO_R</t>
  </si>
  <si>
    <t xml:space="preserve">JD3.101, R571.2, </t>
  </si>
  <si>
    <t>JTAG_CPLD_M2_4_TDO</t>
  </si>
  <si>
    <t xml:space="preserve">U2.181, R571.1, </t>
  </si>
  <si>
    <t>JTAG_CPLD_M2_3_TRST</t>
  </si>
  <si>
    <t xml:space="preserve">JD2.20, R224.1, </t>
  </si>
  <si>
    <t>JTAG_CPLD_M2_3_TDO_R</t>
  </si>
  <si>
    <t xml:space="preserve">JD2.26, R548.2, </t>
  </si>
  <si>
    <t>JTAG_CPLD_M2_3_TDO</t>
  </si>
  <si>
    <t xml:space="preserve">U2.169, R548.1, </t>
  </si>
  <si>
    <t>JTAG_CPLD_M2_3_TCK_R</t>
  </si>
  <si>
    <t xml:space="preserve">U2.240, R234.1, </t>
  </si>
  <si>
    <t>JTAG_CPLD_M2_2_TRST_R</t>
  </si>
  <si>
    <t xml:space="preserve">U2.282, R246.1, </t>
  </si>
  <si>
    <t>JTAG_CPLD_M2_2_TMS_R</t>
  </si>
  <si>
    <t xml:space="preserve">U2.266, R252.1, </t>
  </si>
  <si>
    <t>JTAG_CPLD_M2_2_TDO_R</t>
  </si>
  <si>
    <t xml:space="preserve">JD2.101, R525.2, </t>
  </si>
  <si>
    <t>JTAG_CPLD_M2_11_TRST</t>
  </si>
  <si>
    <t xml:space="preserve">JD6.20, R228.1, </t>
  </si>
  <si>
    <t>JTAG_CPLD_M2_11_TMS</t>
  </si>
  <si>
    <t xml:space="preserve">JD6.67, R269.1, </t>
  </si>
  <si>
    <t>JTAG_CPLD_M2_10_TMS</t>
  </si>
  <si>
    <t xml:space="preserve">JD6.142, R255.1, </t>
  </si>
  <si>
    <t>JTAG_CPLD_M2_1_TRST_R</t>
  </si>
  <si>
    <t xml:space="preserve">U2.245, R223.1, </t>
  </si>
  <si>
    <t>JTAG_CPLD_M2_1_TRST</t>
  </si>
  <si>
    <t xml:space="preserve">JD1.20, R223.2, </t>
  </si>
  <si>
    <t>JTAG_CPLD_M2_1_TMS_R</t>
  </si>
  <si>
    <t xml:space="preserve">U2.246, R229.1, </t>
  </si>
  <si>
    <t>JTAG_CPLD_M2_1_TDO_R</t>
  </si>
  <si>
    <t xml:space="preserve">JD1.26, R502.2, </t>
  </si>
  <si>
    <t>JTAG_CPLD_M2_1_TDO</t>
  </si>
  <si>
    <t xml:space="preserve">U2.150, R502.1, </t>
  </si>
  <si>
    <t>I2C_SSD_0_RST_N_R</t>
  </si>
  <si>
    <t xml:space="preserve">U1.209, R1425.2, </t>
  </si>
  <si>
    <t>I2C_SSD_0_RST_N</t>
  </si>
  <si>
    <t xml:space="preserve">JD7.9, R1425.1, R1428.2, R1427.1, </t>
  </si>
  <si>
    <t>FM_PESW_M2_9_P3V3_EN_R</t>
  </si>
  <si>
    <t xml:space="preserve">U31.72, R814.2, R1379.2, </t>
  </si>
  <si>
    <t>FM_PESW_M2_9_P3V3_EN</t>
  </si>
  <si>
    <t xml:space="preserve">U2.130, R814.1, </t>
  </si>
  <si>
    <t>FM_PESW_M2_8_P3V3_EN_R</t>
  </si>
  <si>
    <t xml:space="preserve">U31.1513, R813.2, R1378.2, </t>
  </si>
  <si>
    <t>FM_PESW_M2_8_P3V3_EN</t>
  </si>
  <si>
    <t xml:space="preserve">U2.129, R813.1, </t>
  </si>
  <si>
    <t>FM_PESW_M2_7_P3V3_EN_R</t>
  </si>
  <si>
    <t xml:space="preserve">U31.1514, R812.2, R1377.2, </t>
  </si>
  <si>
    <t>FM_PESW_M2_7_P3V3_EN</t>
  </si>
  <si>
    <t xml:space="preserve">U2.109, R812.1, </t>
  </si>
  <si>
    <t>FM_PESW_M2_6_P3V3_EN_R</t>
  </si>
  <si>
    <t xml:space="preserve">U31.70, R810.2, R1376.2, </t>
  </si>
  <si>
    <t>FM_PESW_M2_6_P3V3_EN</t>
  </si>
  <si>
    <t xml:space="preserve">U2.110, R810.1, </t>
  </si>
  <si>
    <t>FM_PESW_M2_5_P3V3_EN_R</t>
  </si>
  <si>
    <t xml:space="preserve">U31.1511, R809.2, R1375.2, </t>
  </si>
  <si>
    <t>FM_PESW_M2_5_P3V3_EN</t>
  </si>
  <si>
    <t xml:space="preserve">U2.114, R809.1, </t>
  </si>
  <si>
    <t>FM_PESW_M2_4_P3V3_EN_R</t>
  </si>
  <si>
    <t xml:space="preserve">U31.1512, R808.2, R1374.2, </t>
  </si>
  <si>
    <t>FM_PESW_M2_4_P3V3_EN</t>
  </si>
  <si>
    <t xml:space="preserve">U2.91, R808.1, </t>
  </si>
  <si>
    <t>FM_PESW_M2_3_P3V3_EN_R</t>
  </si>
  <si>
    <t xml:space="preserve">U31.69, R806.2, R1373.2, </t>
  </si>
  <si>
    <t>FM_PESW_M2_3_P3V3_EN</t>
  </si>
  <si>
    <t xml:space="preserve">U2.111, R806.1, </t>
  </si>
  <si>
    <t>FM_PESW_M2_2_P3V3_EN_R</t>
  </si>
  <si>
    <t xml:space="preserve">U31.349, R804.2, R1372.2, </t>
  </si>
  <si>
    <t>FM_PESW_M2_2_P3V3_EN</t>
  </si>
  <si>
    <t xml:space="preserve">U2.112, R804.1, </t>
  </si>
  <si>
    <t>FM_PESW_M2_11_P3V3_EN_R</t>
  </si>
  <si>
    <t xml:space="preserve">U31.150, R816.2, R1381.2, </t>
  </si>
  <si>
    <t>FM_PESW_M2_11_P3V3_EN</t>
  </si>
  <si>
    <t xml:space="preserve">U2.127, R816.1, </t>
  </si>
  <si>
    <t>FM_PESW_M2_10_P3V3_EN_R</t>
  </si>
  <si>
    <t xml:space="preserve">U31.71, R815.2, R1380.2, </t>
  </si>
  <si>
    <t>FM_PESW_M2_10_P3V3_EN</t>
  </si>
  <si>
    <t xml:space="preserve">U2.128, R815.1, </t>
  </si>
  <si>
    <t>FM_PESW_M2_1_P3V3_EN_R</t>
  </si>
  <si>
    <t xml:space="preserve">U31.389, R802.2, R1371.2, </t>
  </si>
  <si>
    <t>FM_PESW_M2_1_P3V3_EN</t>
  </si>
  <si>
    <t xml:space="preserve">U2.131, R802.1, </t>
  </si>
  <si>
    <t>FM_PESW_E1S_1_P12V_EN_R</t>
  </si>
  <si>
    <t xml:space="preserve">U31.390, R824.2, R1385.2, </t>
  </si>
  <si>
    <t>FM_PESW_E1S_1_P12V_EN</t>
  </si>
  <si>
    <t xml:space="preserve">U2.248, R824.1, </t>
  </si>
  <si>
    <t>FM_PESW_E1S_0_P12V_EN_R</t>
  </si>
  <si>
    <t xml:space="preserve">U31.350, R821.2, R1384.2, </t>
  </si>
  <si>
    <t>FM_PESW_E1S_0_P12V_EN</t>
  </si>
  <si>
    <t xml:space="preserve">U2.323, R821.1, </t>
  </si>
  <si>
    <t>FM_P3V3_M2_9_BIC_CPLD_EN_R</t>
  </si>
  <si>
    <t xml:space="preserve">U1.170, R96.2, </t>
  </si>
  <si>
    <t>FM_P3V3_M2_8_BIC_CPLD_EN_R</t>
  </si>
  <si>
    <t xml:space="preserve">U1.132, R106.2, </t>
  </si>
  <si>
    <t>FM_P3V3_M2_8_BIC_CPLD_EN</t>
  </si>
  <si>
    <t xml:space="preserve">U2.179, R106.1, R1077.1, </t>
  </si>
  <si>
    <t>FM_P3V3_M2_7_BIC_CPLD_EN_R</t>
  </si>
  <si>
    <t xml:space="preserve">U1.152, R92.2, </t>
  </si>
  <si>
    <t>FM_P3V3_M2_5_BIC_CPLD_EN</t>
  </si>
  <si>
    <t xml:space="preserve">U2.230, R112.2, R1068.1, </t>
  </si>
  <si>
    <t>FM_P3V3_M2_4_BIC_CPLD_EN_R</t>
  </si>
  <si>
    <t xml:space="preserve">U1.331, R110.1, </t>
  </si>
  <si>
    <t>FM_P3V3_M2_4_BIC_CPLD_EN</t>
  </si>
  <si>
    <t xml:space="preserve">U2.249, R110.2, R1069.1, </t>
  </si>
  <si>
    <t>FM_P3V3_M2_3_BIC_CPLD_EN_R</t>
  </si>
  <si>
    <t xml:space="preserve">U1.230, R109.1, </t>
  </si>
  <si>
    <t>FM_P3V3_M2_3_BIC_CPLD_EN</t>
  </si>
  <si>
    <t xml:space="preserve">U2.268, R109.2, R1070.1, </t>
  </si>
  <si>
    <t>FM_P3V3_M2_11_BIC_CPLD_EN_R</t>
  </si>
  <si>
    <t xml:space="preserve">U1.133, R104.2, </t>
  </si>
  <si>
    <t>FM_P3V3_M2_11_BIC_CPLD_EN</t>
  </si>
  <si>
    <t xml:space="preserve">U2.162, R104.1, R1074.1, </t>
  </si>
  <si>
    <t>FM_P3V3_M2_10_BIC_CPLD_EN_R</t>
  </si>
  <si>
    <t xml:space="preserve">U1.151, R105.2, </t>
  </si>
  <si>
    <t>FM_P3V3_M2_10_BIC_CPLD_EN</t>
  </si>
  <si>
    <t xml:space="preserve">U2.178, R105.1, R1075.1, </t>
  </si>
  <si>
    <t>FM_P3V3_M2_1_BIC_CPLD_EN</t>
  </si>
  <si>
    <t xml:space="preserve">U2.287, R95.2, R1072.1, </t>
  </si>
  <si>
    <t>FM_P12V_E1S_1_BIC_CPLD_EN_R</t>
  </si>
  <si>
    <t xml:space="preserve">U1.190, R102.2, </t>
  </si>
  <si>
    <t>E1S_LED_1_N_R</t>
  </si>
  <si>
    <t xml:space="preserve">U2.160, R134.2, </t>
  </si>
  <si>
    <t>E1S_1_LED_PESW_CPLD_N_R</t>
  </si>
  <si>
    <t xml:space="preserve">U31.1115, R854.2, R1672.2, </t>
  </si>
  <si>
    <t>E1S_1_LED_PESW_CPLD_N</t>
  </si>
  <si>
    <t xml:space="preserve">U2.247, R854.1, </t>
  </si>
  <si>
    <t>E1S_0_LED_PESW_CPLD_N_R</t>
  </si>
  <si>
    <t xml:space="preserve">U31.1153, R852.2, R1671.2, </t>
  </si>
  <si>
    <t>E1S_0_LED_PESW_CPLD_N</t>
  </si>
  <si>
    <t xml:space="preserve">U2.267, R852.1, </t>
  </si>
  <si>
    <t>COM_CPLD_M2_9_TX_R</t>
  </si>
  <si>
    <t xml:space="preserve">U2.227, R4318.1, </t>
  </si>
  <si>
    <t>COM_CPLD_M2_9_TX</t>
  </si>
  <si>
    <t xml:space="preserve">R4318.2, R688.2, </t>
  </si>
  <si>
    <t>COM_CPLD_M2_9_RX</t>
  </si>
  <si>
    <t xml:space="preserve">U2.297, R690.2, </t>
  </si>
  <si>
    <t>COM_CPLD_M2_8_TX_R</t>
  </si>
  <si>
    <t xml:space="preserve">U2.318, R4317.2, </t>
  </si>
  <si>
    <t>COM_CPLD_M2_8_TX</t>
  </si>
  <si>
    <t xml:space="preserve">R4317.1, R665.2, </t>
  </si>
  <si>
    <t>COM_CPLD_M2_8_RX</t>
  </si>
  <si>
    <t xml:space="preserve">U2.314, R667.2, </t>
  </si>
  <si>
    <t>COM_CPLD_M2_7_TX_R</t>
  </si>
  <si>
    <t xml:space="preserve">U2.317, R4316.2, </t>
  </si>
  <si>
    <t>COM_CPLD_M2_7_TX</t>
  </si>
  <si>
    <t xml:space="preserve">R4316.1, R642.2, </t>
  </si>
  <si>
    <t>COM_CPLD_M2_7_RX</t>
  </si>
  <si>
    <t xml:space="preserve">U2.243, R644.2, </t>
  </si>
  <si>
    <t>COM_CPLD_M2_6_TX_R</t>
  </si>
  <si>
    <t xml:space="preserve">U2.281, R4315.1, </t>
  </si>
  <si>
    <t>COM_CPLD_M2_6_TX</t>
  </si>
  <si>
    <t xml:space="preserve">R4315.2, R619.2, </t>
  </si>
  <si>
    <t>COM_CPLD_M2_6_RX</t>
  </si>
  <si>
    <t xml:space="preserve">U2.261, R621.2, </t>
  </si>
  <si>
    <t>COM_CPLD_M2_5_TX_R</t>
  </si>
  <si>
    <t xml:space="preserve">U2.244, R4314.1, </t>
  </si>
  <si>
    <t>COM_CPLD_M2_5_TX</t>
  </si>
  <si>
    <t xml:space="preserve">R4314.2, R596.2, </t>
  </si>
  <si>
    <t>COM_CPLD_M2_4_TX_R</t>
  </si>
  <si>
    <t xml:space="preserve">U2.299, R4313.2, </t>
  </si>
  <si>
    <t>COM_CPLD_M2_4_TX</t>
  </si>
  <si>
    <t xml:space="preserve">R4313.1, R573.2, </t>
  </si>
  <si>
    <t>COM_CPLD_M2_4_RX</t>
  </si>
  <si>
    <t xml:space="preserve">U2.278, R575.2, </t>
  </si>
  <si>
    <t>COM_CPLD_M2_3_TX_R</t>
  </si>
  <si>
    <t xml:space="preserve">U2.316, R4312.2, </t>
  </si>
  <si>
    <t>COM_CPLD_M2_2_TX_R</t>
  </si>
  <si>
    <t xml:space="preserve">U2.298, R4311.2, </t>
  </si>
  <si>
    <t>COM_CPLD_M2_2_TX</t>
  </si>
  <si>
    <t xml:space="preserve">R4311.1, R527.2, </t>
  </si>
  <si>
    <t>COM_CPLD_M2_2_RX</t>
  </si>
  <si>
    <t xml:space="preserve">U2.313, R529.2, </t>
  </si>
  <si>
    <t>COM_CPLD_M2_11_TX_R</t>
  </si>
  <si>
    <t xml:space="preserve">U2.300, R4320.2, </t>
  </si>
  <si>
    <t>COM_CPLD_M2_11_TX</t>
  </si>
  <si>
    <t xml:space="preserve">R4320.1, R734.2, </t>
  </si>
  <si>
    <t>COM_CPLD_M2_11_RX</t>
  </si>
  <si>
    <t xml:space="preserve">U2.226, R736.2, </t>
  </si>
  <si>
    <t>COM_CPLD_M2_10_TX_R</t>
  </si>
  <si>
    <t xml:space="preserve">U2.263, R4319.1, </t>
  </si>
  <si>
    <t>COM_CPLD_M2_10_TX</t>
  </si>
  <si>
    <t xml:space="preserve">R4319.2, R711.2, </t>
  </si>
  <si>
    <t>COM_CPLD_M2_10_RX</t>
  </si>
  <si>
    <t xml:space="preserve">U2.225, R713.2, </t>
  </si>
  <si>
    <t>COM_CPLD_M2_1_TX_R</t>
  </si>
  <si>
    <t xml:space="preserve">U2.315, R4310.2, </t>
  </si>
  <si>
    <t>COM_CPLD_M2_1_TX</t>
  </si>
  <si>
    <t xml:space="preserve">R4310.1, R504.2, </t>
  </si>
  <si>
    <t>CLKBUF_M2_9_OE_N_R</t>
  </si>
  <si>
    <t xml:space="preserve">U2.194, R140.1, </t>
  </si>
  <si>
    <t>CLKBUF_M2_9_OE_N</t>
  </si>
  <si>
    <t xml:space="preserve">U4.53, R140.2, R350.2, </t>
  </si>
  <si>
    <t>CLKBUF_M2_8_OE_N</t>
  </si>
  <si>
    <t xml:space="preserve">U4.52, R153.1, R351.2, </t>
  </si>
  <si>
    <t>CLKBUF_M2_7_OE_N</t>
  </si>
  <si>
    <t xml:space="preserve">U4.45, R147.2, R352.2, </t>
  </si>
  <si>
    <t>CLKBUF_M2_6_OE_N</t>
  </si>
  <si>
    <t xml:space="preserve">U4.44, R141.1, R353.2, </t>
  </si>
  <si>
    <t>CLKBUF_M2_5_OE_N</t>
  </si>
  <si>
    <t xml:space="preserve">U4.37, R142.2, R354.2, </t>
  </si>
  <si>
    <t>CLKBUF_M2_4_OE_N_R</t>
  </si>
  <si>
    <t xml:space="preserve">U2.231, R154.2, </t>
  </si>
  <si>
    <t>CLKBUF_M2_4_OE_N</t>
  </si>
  <si>
    <t xml:space="preserve">U4.36, R154.1, R355.2, </t>
  </si>
  <si>
    <t>CLKBUF_M2_3_OE_N_R</t>
  </si>
  <si>
    <t xml:space="preserve">U2.211, R148.1, </t>
  </si>
  <si>
    <t>CLKBUF_M2_2_OE_N_R</t>
  </si>
  <si>
    <t xml:space="preserve">U2.250, R143.2, </t>
  </si>
  <si>
    <t>CLKBUF_M2_2_OE_N</t>
  </si>
  <si>
    <t xml:space="preserve">U4.28, R143.1, R357.2, </t>
  </si>
  <si>
    <t>CLKBUF_M2_11_OE_N</t>
  </si>
  <si>
    <t xml:space="preserve">U4.62, R146.2, R348.2, </t>
  </si>
  <si>
    <t>CLKBUF_M2_10_OE_N</t>
  </si>
  <si>
    <t xml:space="preserve">U4.61, R139.1, R349.2, </t>
  </si>
  <si>
    <t>CLKBUF_M2_1_OE_N</t>
  </si>
  <si>
    <t xml:space="preserve">U4.20, R144.2, R358.2, </t>
  </si>
  <si>
    <t>BIC_OCP_DISABLE_9_N</t>
  </si>
  <si>
    <t xml:space="preserve">U84.5, U84.6, R1339.1, D15.2, </t>
  </si>
  <si>
    <t>BIC_OCP_DISABLE_8_N</t>
  </si>
  <si>
    <t xml:space="preserve">U82.5, U82.6, R1335.1, D2.2, </t>
  </si>
  <si>
    <t>BIC_OCP_DISABLE_7_N</t>
  </si>
  <si>
    <t xml:space="preserve">U81.5, U81.6, R1333.1, D14.2, </t>
  </si>
  <si>
    <t>BIC_OCP_DISABLE_6_N</t>
  </si>
  <si>
    <t xml:space="preserve">U78.5, U78.6, R1329.1, D12.2, </t>
  </si>
  <si>
    <t>BIC_OCP_DISABLE_5_N</t>
  </si>
  <si>
    <t xml:space="preserve">U79.5, U79.6, R1331.1, D13.2, </t>
  </si>
  <si>
    <t>BIC_OCP_DISABLE_4_N</t>
  </si>
  <si>
    <t xml:space="preserve">U77.5, U77.6, R1327.1, D11.2, </t>
  </si>
  <si>
    <t>BIC_OCP_DISABLE_3_N</t>
  </si>
  <si>
    <t xml:space="preserve">U76.5, U76.6, R1325.1, D10.2, </t>
  </si>
  <si>
    <t>BIC_OCP_DISABLE_2_N</t>
  </si>
  <si>
    <t xml:space="preserve">U73.5, U73.6, R1321.1, D8.2, </t>
  </si>
  <si>
    <t>BIC_OCP_DISABLE_11_N</t>
  </si>
  <si>
    <t xml:space="preserve">U86.5, U86.6, R1341.1, D4.2, </t>
  </si>
  <si>
    <t>BIC_OCP_DISABLE_10_N</t>
  </si>
  <si>
    <t xml:space="preserve">U83.5, U83.6, R1337.1, D3.2, </t>
  </si>
  <si>
    <t>BIC_OCP_DISABLE_1_N</t>
  </si>
  <si>
    <t xml:space="preserve">U74.5, U74.6, R1323.1, D9.2, </t>
  </si>
  <si>
    <t>UART_LEVEL_SHIFT_M2_0_OE</t>
  </si>
  <si>
    <t xml:space="preserve">R4599.2, R4593.2, Q59.3, </t>
  </si>
  <si>
    <t>UART_CP2108_M2_0_TX</t>
  </si>
  <si>
    <t xml:space="preserve">R4595.1, R1650.2, </t>
  </si>
  <si>
    <t>UART_1V8_M2_0_TX_R</t>
  </si>
  <si>
    <t xml:space="preserve">U99.9, R1761.2, R4322.1, </t>
  </si>
  <si>
    <t>UART_1V8_M2_0_TX</t>
  </si>
  <si>
    <t xml:space="preserve">R4322.2, R482.2, </t>
  </si>
  <si>
    <t>UART_1V8_M2_0_RX</t>
  </si>
  <si>
    <t xml:space="preserve">R4598.2, R484.2, </t>
  </si>
  <si>
    <t>SMB_M2_0_P1V8_DAT</t>
  </si>
  <si>
    <t xml:space="preserve">R882.2, R4297.1, </t>
  </si>
  <si>
    <t>SMB_M2_0_P1V8_CLK</t>
  </si>
  <si>
    <t xml:space="preserve">JD1.115, R880.2, </t>
  </si>
  <si>
    <t>SMB_M2_0_INA233_ALRT_N_D</t>
  </si>
  <si>
    <t xml:space="preserve">U70.9, U72.3, R1320.1, </t>
  </si>
  <si>
    <t>SMB_M2_0_INA233_ALRT_N</t>
  </si>
  <si>
    <t xml:space="preserve">U72.2, U1.35, R489.2, </t>
  </si>
  <si>
    <t>SMB_M2_0_ALERT_N_R</t>
  </si>
  <si>
    <t xml:space="preserve">JD1.119, R213.2, </t>
  </si>
  <si>
    <t>SMB_M2_0_ALERT_N</t>
  </si>
  <si>
    <t xml:space="preserve">U2.275, R213.1, R280.2, </t>
  </si>
  <si>
    <t>SMB_M2_0_ALERT_LVC_N_R</t>
  </si>
  <si>
    <t xml:space="preserve">U2.49, R193.1, R209.2, </t>
  </si>
  <si>
    <t>SMB_M2_0_ALERT_LVC_N</t>
  </si>
  <si>
    <t xml:space="preserve">U1.227, R193.2, </t>
  </si>
  <si>
    <t>SMB_M2_0_3V3SB_DAT</t>
  </si>
  <si>
    <t xml:space="preserve">R883.1, R4370.1, R491.2, R303.2, </t>
  </si>
  <si>
    <t>SMB_M2_0_3V3SB_CLK</t>
  </si>
  <si>
    <t xml:space="preserve">U2.108, R881.1, R490.2, R302.2, </t>
  </si>
  <si>
    <t>SMB_BIC_CPLD_M2_0/1_DAT_R2</t>
  </si>
  <si>
    <t xml:space="preserve">U2.200, R1794.2, </t>
  </si>
  <si>
    <t>SMB_BIC_CPLD_M2_0/1_DAT_R</t>
  </si>
  <si>
    <t xml:space="preserve">U1.27, R27.2, R70.2, </t>
  </si>
  <si>
    <t>SMB_BIC_CPLD_M2_0/1_CLK_R</t>
  </si>
  <si>
    <t xml:space="preserve">U1.31, R26.2, R68.2, </t>
  </si>
  <si>
    <t>SMB_BIC_CPLD_M2_0/1_CLK</t>
  </si>
  <si>
    <t xml:space="preserve">U2.184, R26.1, </t>
  </si>
  <si>
    <t>RST_PESW_M2_0_N_R1</t>
  </si>
  <si>
    <t xml:space="preserve">R4495.2, U162.2, R4436.2, </t>
  </si>
  <si>
    <t>RST_PESW_M2_0_N_R</t>
  </si>
  <si>
    <t xml:space="preserve">U31.347, R793.2, R1388.2, </t>
  </si>
  <si>
    <t>RST_PESW_M2_0_N</t>
  </si>
  <si>
    <t xml:space="preserve">R4437.1, R4436.1, R793.1, </t>
  </si>
  <si>
    <t>RST_PESW_M2_0_LVC_N_R1</t>
  </si>
  <si>
    <t xml:space="preserve">U162.1, R4438.1, </t>
  </si>
  <si>
    <t>RST_PESW_M2_0_LVC_N_R</t>
  </si>
  <si>
    <t xml:space="preserve">U162.4, R4437.2, R4435.1, R985.2, </t>
  </si>
  <si>
    <t>P3V3_M2_0_EN_R</t>
  </si>
  <si>
    <t xml:space="preserve">U70.8, R1404.1, </t>
  </si>
  <si>
    <t>P3V3_M2_0_EN</t>
  </si>
  <si>
    <t xml:space="preserve">U7.2, R1404.2, R1055.1, </t>
  </si>
  <si>
    <t>P3V3_CPLD_M2_0_EN</t>
  </si>
  <si>
    <t xml:space="preserve">U70.10, R168.2, </t>
  </si>
  <si>
    <t>JTAG_CPLD_M2_0_TRST</t>
  </si>
  <si>
    <t xml:space="preserve">JD1.95, R245.1, </t>
  </si>
  <si>
    <t>JTAG_CPLD_M2_0_TMS</t>
  </si>
  <si>
    <t xml:space="preserve">JD1.142, R251.1, </t>
  </si>
  <si>
    <t>JTAG_CPLD_M2_0_TDO_R</t>
  </si>
  <si>
    <t xml:space="preserve">JD1.101, R479.2, </t>
  </si>
  <si>
    <t>JTAG_CPLD_M2_0_TDO</t>
  </si>
  <si>
    <t xml:space="preserve">U2.164, R479.1, </t>
  </si>
  <si>
    <t>JTAG_CPLD_M2_0_TDI</t>
  </si>
  <si>
    <t xml:space="preserve">JD1.99, R256.1, </t>
  </si>
  <si>
    <t>FM_PESW_M2_0_P3V3_EN_R</t>
  </si>
  <si>
    <t xml:space="preserve">U31.351, R801.2, R1370.2, </t>
  </si>
  <si>
    <t>FM_PESW_M2_0_P3V3_EN</t>
  </si>
  <si>
    <t xml:space="preserve">U2.92, R801.1, </t>
  </si>
  <si>
    <t>FM_P3V3_M2_1_BIC_CPLD_EN_R</t>
  </si>
  <si>
    <t xml:space="preserve">U1.16, R95.1, </t>
  </si>
  <si>
    <t>FM_P3V3_M2_0_BIC_CPLD_EN_R</t>
  </si>
  <si>
    <t xml:space="preserve">U1.32, R93.1, </t>
  </si>
  <si>
    <t>COM_CPLD_M2_0_TX_R</t>
  </si>
  <si>
    <t xml:space="preserve">U2.262, R4309.1, </t>
  </si>
  <si>
    <t>COM_CPLD_M2_0_TX</t>
  </si>
  <si>
    <t xml:space="preserve">R4309.2, R481.2, </t>
  </si>
  <si>
    <t>COM_CPLD_M2_0_RX</t>
  </si>
  <si>
    <t xml:space="preserve">U2.295, R483.2, </t>
  </si>
  <si>
    <t>CLKBUF_M2_0_OE_N</t>
  </si>
  <si>
    <t xml:space="preserve">U4.19, R155.1, R359.2, </t>
  </si>
  <si>
    <t>BIC_OCP_DISABLE_0_N</t>
  </si>
  <si>
    <t xml:space="preserve">U72.5, U72.6, R1319.1, D7.2, </t>
  </si>
  <si>
    <t>P0V84_VINSEN</t>
  </si>
  <si>
    <t xml:space="preserve">PU17.38, PR1881.1, PR1865.2, PR1862.1, PC199.1, </t>
  </si>
  <si>
    <t>P0V84_SVDATA</t>
  </si>
  <si>
    <t xml:space="preserve">PU17.18, PR1887.2, </t>
  </si>
  <si>
    <t>P0V84_SVCLK</t>
  </si>
  <si>
    <t xml:space="preserve">PU17.17, PR1886.2, </t>
  </si>
  <si>
    <t>P0V84_SVALERT</t>
  </si>
  <si>
    <t xml:space="preserve">PU17.19, PR1888.2, </t>
  </si>
  <si>
    <t>PESW_SYS_ERROR_3V3_R_N</t>
  </si>
  <si>
    <t xml:space="preserve">U175.4, R4541.1, </t>
  </si>
  <si>
    <t>PESW_SYS_ERROR_3V3_N</t>
  </si>
  <si>
    <t xml:space="preserve">U1.33, R4541.2, R4542.2, </t>
  </si>
  <si>
    <t>SMB_BIC_CPLD_SENSOR_DAT_2_R</t>
  </si>
  <si>
    <t xml:space="preserve">R4536.2, R4533.1, </t>
  </si>
  <si>
    <t>SMB_BIC_CPLD_SENSOR_CLK_2_R</t>
  </si>
  <si>
    <t xml:space="preserve">R4535.2, R4534.1, </t>
  </si>
  <si>
    <t>SMB_REPEATER_EN</t>
  </si>
  <si>
    <t xml:space="preserve">U174.5, R4524.1, </t>
  </si>
  <si>
    <t>SMB_BIC_SENSOR_SCL</t>
  </si>
  <si>
    <t xml:space="preserve">R4516.2, R4520.2, R4534.2, </t>
  </si>
  <si>
    <t>SMB_BIC_SENSOR_DAT</t>
  </si>
  <si>
    <t xml:space="preserve">R4517.2, R4521.2, R4533.2, </t>
  </si>
  <si>
    <t>PESW_SYS_ERROR_R_N</t>
  </si>
  <si>
    <t xml:space="preserve">U31.1396, R4507.2, </t>
  </si>
  <si>
    <t>PESW_SYS_ERROR_N</t>
  </si>
  <si>
    <t xml:space="preserve">U175.2, R4507.1, R4736.2, </t>
  </si>
  <si>
    <t>VR_P3V3_3_ALERT_R_N</t>
  </si>
  <si>
    <t xml:space="preserve">R4427.2, PU3.18, PR1875.2, </t>
  </si>
  <si>
    <t>VR_P3V3_3_ALERT_N</t>
  </si>
  <si>
    <t xml:space="preserve">U161.4, R4427.1, </t>
  </si>
  <si>
    <t>VR_P3V3_2_ALERT_R_N</t>
  </si>
  <si>
    <t xml:space="preserve">R4426.2, PU2.18, PR1876.2, </t>
  </si>
  <si>
    <t>VR_P3V3_2_ALERT_N</t>
  </si>
  <si>
    <t xml:space="preserve">U161.2, R4426.1, </t>
  </si>
  <si>
    <t>VR_P3V3_1_ALERT_R_N</t>
  </si>
  <si>
    <t xml:space="preserve">R4425.2, PU1.18, PR1877.2, </t>
  </si>
  <si>
    <t>VR_P3V3_1_ALERT_N</t>
  </si>
  <si>
    <t xml:space="preserve">U161.1, R4425.1, </t>
  </si>
  <si>
    <t>VR_P1V8_ALERT_R_N</t>
  </si>
  <si>
    <t xml:space="preserve">PU5.18, R4428.2, PR1878.2, </t>
  </si>
  <si>
    <t>VR_P1V8_ALERT_N</t>
  </si>
  <si>
    <t xml:space="preserve">U161.5, R4428.1, </t>
  </si>
  <si>
    <t>VR_ALRT_BIC_DETECT_R</t>
  </si>
  <si>
    <t xml:space="preserve">U161.11, R4431.1, </t>
  </si>
  <si>
    <t>VR_ALRT_BIC_DETECT_N</t>
  </si>
  <si>
    <t xml:space="preserve">U1.4, R4431.2, </t>
  </si>
  <si>
    <t>VR_ALERT_AND3_R</t>
  </si>
  <si>
    <t xml:space="preserve">U161.8, R4432.1, </t>
  </si>
  <si>
    <t>VR_ALERT_AND3</t>
  </si>
  <si>
    <t xml:space="preserve">U161.12, R4432.2, </t>
  </si>
  <si>
    <t>VR_ALERT_AND2_R</t>
  </si>
  <si>
    <t xml:space="preserve">U161.6, R4430.1, </t>
  </si>
  <si>
    <t>VR_ALERT_AND2</t>
  </si>
  <si>
    <t xml:space="preserve">U161.10, R4430.2, </t>
  </si>
  <si>
    <t>VR_ALERT_AND1_R</t>
  </si>
  <si>
    <t xml:space="preserve">U161.3, R4429.1, </t>
  </si>
  <si>
    <t>VR_ALERT_AND1</t>
  </si>
  <si>
    <t xml:space="preserve">U161.9, R4429.2, </t>
  </si>
  <si>
    <t>SMB_VR_P0V84_ALERT_R_N</t>
  </si>
  <si>
    <t xml:space="preserve">PU17.11, PR188.2, PR1879.1, </t>
  </si>
  <si>
    <t>UART_MUX_RESET_R_N</t>
  </si>
  <si>
    <t xml:space="preserve">U160.4, R4423.1, </t>
  </si>
  <si>
    <t>UART_MUX_RESET_N</t>
  </si>
  <si>
    <t xml:space="preserve">U98.64, U64.64, U63.64, U62.64, R4423.2, </t>
  </si>
  <si>
    <t>UART_MUX_BIC_RESET_N_R2</t>
  </si>
  <si>
    <t xml:space="preserve">U160.2, R4421.2, </t>
  </si>
  <si>
    <t>UART_MUX_BIC_RESET_N</t>
  </si>
  <si>
    <t xml:space="preserve">R115.2, R4434.2, R4421.1, </t>
  </si>
  <si>
    <t>BIC_REMOTE_DEBUG_SELECT_N_R2</t>
  </si>
  <si>
    <t xml:space="preserve">U160.1, R4424.2, R4422.2, </t>
  </si>
  <si>
    <t>JTAG_BIC_CPLD_M2_TCK_R</t>
  </si>
  <si>
    <t xml:space="preserve">R4418.1, U87.4, </t>
  </si>
  <si>
    <t>JTAG_TI_TMS_R1</t>
  </si>
  <si>
    <t xml:space="preserve">U2.39, R4386.2, </t>
  </si>
  <si>
    <t>JTAG_TI_TDO_R1</t>
  </si>
  <si>
    <t xml:space="preserve">U2.79, R4387.1, </t>
  </si>
  <si>
    <t>JTAG_TI_TCK_R1</t>
  </si>
  <si>
    <t xml:space="preserve">U2.40, R4385.2, </t>
  </si>
  <si>
    <t>FM_BIC_PESW_RECOVERY_1_R</t>
  </si>
  <si>
    <t xml:space="preserve">U1.247, R4358.2, </t>
  </si>
  <si>
    <t>FM_BIC_PESW_RECOVERY_0_R</t>
  </si>
  <si>
    <t xml:space="preserve">U1.246, R4357.2, </t>
  </si>
  <si>
    <t>BIC_REMOTE_DEBUG_SELECT_N_R1</t>
  </si>
  <si>
    <t xml:space="preserve">U157.2, R4413.2, </t>
  </si>
  <si>
    <t>UART_PESW_USIN_1V8_R</t>
  </si>
  <si>
    <t xml:space="preserve">U57.9, R1760.2, R4321.1, </t>
  </si>
  <si>
    <t>P5V_STBY_FUSE_SNUBBER</t>
  </si>
  <si>
    <t xml:space="preserve">R4296.1, C1228.2, </t>
  </si>
  <si>
    <t>CC1_PD</t>
  </si>
  <si>
    <t xml:space="preserve">SKT2.33, R1728.1, </t>
  </si>
  <si>
    <t>SMB_PESW_P1V8_RCVY_DAT_R3</t>
  </si>
  <si>
    <t xml:space="preserve">U156.3, R1743.1, </t>
  </si>
  <si>
    <t>SMB_PESW_P1V8_RCVY_DAT</t>
  </si>
  <si>
    <t xml:space="preserve">R1743.2, R1447.1, </t>
  </si>
  <si>
    <t>SMB_PESW_P1V8_RCVY_CLK_R3</t>
  </si>
  <si>
    <t xml:space="preserve">U156.2, R1741.1, </t>
  </si>
  <si>
    <t>SMB_PESW_P1V8_RCVY_CLK</t>
  </si>
  <si>
    <t xml:space="preserve">R1741.2, R1446.1, </t>
  </si>
  <si>
    <t>SMB_BIC_CPLD1_PESW_DAT_R1</t>
  </si>
  <si>
    <t xml:space="preserve">U156.6, R1744.2, </t>
  </si>
  <si>
    <t>SMB_BIC_CPLD1_PESW_DAT</t>
  </si>
  <si>
    <t xml:space="preserve">R1744.1, R1010.2, R185.2, </t>
  </si>
  <si>
    <t>SMB_BIC_CPLD1_PESW_CLK_R1</t>
  </si>
  <si>
    <t xml:space="preserve">U156.7, R1742.2, </t>
  </si>
  <si>
    <t>SMB_BIC_CPLD1_PESW_CLK</t>
  </si>
  <si>
    <t xml:space="preserve">R1742.1, R1011.2, R166.2, </t>
  </si>
  <si>
    <t>UART_USB_RESET</t>
  </si>
  <si>
    <t xml:space="preserve">U152.18, R1737.1, R1738.2, </t>
  </si>
  <si>
    <t>UART_PESW_USOUT_3V3_R</t>
  </si>
  <si>
    <t xml:space="preserve">U57.5, R4643.2, </t>
  </si>
  <si>
    <t>UART_PESW_USIN_3V3_R</t>
  </si>
  <si>
    <t xml:space="preserve">U57.4, R4641.2, </t>
  </si>
  <si>
    <t>UART_PESW_OE</t>
  </si>
  <si>
    <t xml:space="preserve">R1735.1, R1734.2, Q57.2, </t>
  </si>
  <si>
    <t>UART_PESW_USOUT_TYPEC_3V3</t>
  </si>
  <si>
    <t xml:space="preserve">U152.2, R1731.2, </t>
  </si>
  <si>
    <t>UART_PESW_USIN_TYPEC_3V3</t>
  </si>
  <si>
    <t xml:space="preserve">U152.30, R1730.2, </t>
  </si>
  <si>
    <t>CC2_PD</t>
  </si>
  <si>
    <t xml:space="preserve">SKT2.14, R1729.1, </t>
  </si>
  <si>
    <t>VPLL</t>
  </si>
  <si>
    <t xml:space="preserve">U153.8, C1072.1, L17.2, C1071.1, </t>
  </si>
  <si>
    <t>VPHY</t>
  </si>
  <si>
    <t xml:space="preserve">U153.3, C1070.1, L16.2, C1069.1, </t>
  </si>
  <si>
    <t>USB2_VCCCORE</t>
  </si>
  <si>
    <t xml:space="preserve">U153.38, C967.2, </t>
  </si>
  <si>
    <t>USB2_VCCA</t>
  </si>
  <si>
    <t xml:space="preserve">U153.37, C968.2, </t>
  </si>
  <si>
    <t>USB2_TEST</t>
  </si>
  <si>
    <t xml:space="preserve">U153.42, R1740.2, </t>
  </si>
  <si>
    <t>USB_HUB_DATAOUT</t>
  </si>
  <si>
    <t xml:space="preserve">U154.4, R1714.1, R1722.2, R1718.1, </t>
  </si>
  <si>
    <t>USB_HUB_DATA_R</t>
  </si>
  <si>
    <t xml:space="preserve">U153.43, R1714.2, R1713.2, </t>
  </si>
  <si>
    <t>USB_HUB_DATA</t>
  </si>
  <si>
    <t xml:space="preserve">U154.3, R1713.1, </t>
  </si>
  <si>
    <t>USB_HUB_CS_R</t>
  </si>
  <si>
    <t xml:space="preserve">U153.45, R1711.2, </t>
  </si>
  <si>
    <t>USB_HUB_CS</t>
  </si>
  <si>
    <t xml:space="preserve">U154.1, R1711.1, R1720.2, R1716.1, </t>
  </si>
  <si>
    <t>USB_HUB_CLK_R</t>
  </si>
  <si>
    <t xml:space="preserve">U153.44, R1712.2, </t>
  </si>
  <si>
    <t>USB_HUB_CLK</t>
  </si>
  <si>
    <t xml:space="preserve">U154.2, R1712.1, R1721.2, R1717.1, </t>
  </si>
  <si>
    <t>JTAG_M2_TRST</t>
  </si>
  <si>
    <t xml:space="preserve">U2.17, R1702.2, R1701.2, </t>
  </si>
  <si>
    <t>JTAG_M2_TMS</t>
  </si>
  <si>
    <t xml:space="preserve">U2.10, R1700.2, R1699.2, </t>
  </si>
  <si>
    <t>JTAG_M2_TDO</t>
  </si>
  <si>
    <t xml:space="preserve">R175.1, R1698.2, R1697.2, </t>
  </si>
  <si>
    <t>JTAG_M2_TDI</t>
  </si>
  <si>
    <t xml:space="preserve">U2.84, R1696.2, R1695.2, </t>
  </si>
  <si>
    <t>JTAG_M2_TCK</t>
  </si>
  <si>
    <t xml:space="preserve">U87.2, R1694.2, R1693.2, </t>
  </si>
  <si>
    <t>JTAG_FT4232_TRST_R</t>
  </si>
  <si>
    <t xml:space="preserve">U153.17, R1707.1, </t>
  </si>
  <si>
    <t>JTAG_FT4232_TRST</t>
  </si>
  <si>
    <t xml:space="preserve">R1707.2, R1701.1, </t>
  </si>
  <si>
    <t>JTAG_FT4232_TMS_R</t>
  </si>
  <si>
    <t xml:space="preserve">U153.16, R1706.1, </t>
  </si>
  <si>
    <t>JTAG_FT4232_TMS</t>
  </si>
  <si>
    <t xml:space="preserve">R1706.2, R1699.1, </t>
  </si>
  <si>
    <t>JTAG_FT4232_TDO_R</t>
  </si>
  <si>
    <t xml:space="preserve">U153.15, R1705.1, </t>
  </si>
  <si>
    <t>JTAG_FT4232_TDO</t>
  </si>
  <si>
    <t xml:space="preserve">R1705.2, R1697.1, </t>
  </si>
  <si>
    <t>JTAG_FT4232_TDI_R</t>
  </si>
  <si>
    <t xml:space="preserve">U153.14, R1704.1, </t>
  </si>
  <si>
    <t>JTAG_FT4232_TDI</t>
  </si>
  <si>
    <t xml:space="preserve">R1704.2, R1695.1, </t>
  </si>
  <si>
    <t>JTAG_FT4232_TCK_R</t>
  </si>
  <si>
    <t xml:space="preserve">U153.13, R1703.1, </t>
  </si>
  <si>
    <t>JTAG_FT4232_TCK</t>
  </si>
  <si>
    <t xml:space="preserve">R1703.2, R1694.1, </t>
  </si>
  <si>
    <t>HUB_XTAL_EN</t>
  </si>
  <si>
    <t xml:space="preserve">OSC3.1, R1724.1, C1074.1, </t>
  </si>
  <si>
    <t>FT232_RESET_N</t>
  </si>
  <si>
    <t xml:space="preserve">U153.34, R1725.2, R1727.2, </t>
  </si>
  <si>
    <t>FT232_REF</t>
  </si>
  <si>
    <t xml:space="preserve">U153.5, R1710.2, </t>
  </si>
  <si>
    <t>OSC1_VDD_R</t>
  </si>
  <si>
    <t xml:space="preserve">R118.2, C6.1, </t>
  </si>
  <si>
    <t>P5V_STBY_FUSE</t>
  </si>
  <si>
    <t xml:space="preserve">SKT2.10, SKT2.15, SKT2.32, SKT2.34, D16.2, U150.5, </t>
  </si>
  <si>
    <t>VCC_5V</t>
  </si>
  <si>
    <t xml:space="preserve">L15.1, U152.19, C958.1, C957.1, </t>
  </si>
  <si>
    <t>3V3OUT</t>
  </si>
  <si>
    <t xml:space="preserve">U152.1, U152.16, C1084.1, </t>
  </si>
  <si>
    <t>UART_PESW_USIN_1V8</t>
  </si>
  <si>
    <t xml:space="preserve">R4321.2, R822.1, </t>
  </si>
  <si>
    <t>P0V84_BOOT1</t>
  </si>
  <si>
    <t xml:space="preserve">PU18.33, PC206.1, </t>
  </si>
  <si>
    <t>CP2108_PESW_UART_TX</t>
  </si>
  <si>
    <t xml:space="preserve">U98.48, R1747.2, R1592.1, </t>
  </si>
  <si>
    <t>CP2108_PESW_UART_RX</t>
  </si>
  <si>
    <t xml:space="preserve">U98.49, R1591.1, </t>
  </si>
  <si>
    <t>P0V84_IINSEN</t>
  </si>
  <si>
    <t xml:space="preserve">PU17.37, PR1885.1, PR1881.2, </t>
  </si>
  <si>
    <t>SMB_VR_P0V84_SDA</t>
  </si>
  <si>
    <t xml:space="preserve">PU17.9, PR184.2, PR193.1, </t>
  </si>
  <si>
    <t>SMB_VR_P0V84_SCL</t>
  </si>
  <si>
    <t xml:space="preserve">PU17.10, PR185.2, PR194.1, </t>
  </si>
  <si>
    <t>SMB_VR_P0V84_ALERT_N</t>
  </si>
  <si>
    <t xml:space="preserve">U161.13, PR1879.2, </t>
  </si>
  <si>
    <t>P5V_STBY_VIN</t>
  </si>
  <si>
    <t xml:space="preserve">PL26.2, PU6.3, PC392.1, PC390.1, PC393.1, </t>
  </si>
  <si>
    <t>P5V_STBY_VCC</t>
  </si>
  <si>
    <t xml:space="preserve">PU6.13, PC388.1, PR85.2, </t>
  </si>
  <si>
    <t>P5V_STBY_REF</t>
  </si>
  <si>
    <t xml:space="preserve">PU6.8, PC395.1, </t>
  </si>
  <si>
    <t>P5V_STBY_PH</t>
  </si>
  <si>
    <t xml:space="preserve">PU6.2, PU6.11, PL25.1, PC396.2, </t>
  </si>
  <si>
    <t>P5V_STBY_MODE</t>
  </si>
  <si>
    <t xml:space="preserve">PU6.12, PR82.1, </t>
  </si>
  <si>
    <t>P5V_STBY_FB_R</t>
  </si>
  <si>
    <t xml:space="preserve">PR321.2, PC389.2, PR84.1, </t>
  </si>
  <si>
    <t>P5V_STBY_FB_G</t>
  </si>
  <si>
    <t xml:space="preserve">PR84.2, PG7.2, </t>
  </si>
  <si>
    <t>P5V_STBY_FB</t>
  </si>
  <si>
    <t xml:space="preserve">PU6.6, PR321.1, PC389.1, PR86.2, </t>
  </si>
  <si>
    <t>P5V_STBY_EN</t>
  </si>
  <si>
    <t xml:space="preserve">PU6.5, PR1873.1, PR1874.2, R1732.2, </t>
  </si>
  <si>
    <t>P5V_STBY_CS</t>
  </si>
  <si>
    <t xml:space="preserve">PU6.4, PR83.1, </t>
  </si>
  <si>
    <t>P5V_STBY_BST_R</t>
  </si>
  <si>
    <t xml:space="preserve">PR80.2, PC396.1, </t>
  </si>
  <si>
    <t>P5V_STBY_BST</t>
  </si>
  <si>
    <t xml:space="preserve">PU6.10, PR80.1, </t>
  </si>
  <si>
    <t>P5V_STBY</t>
  </si>
  <si>
    <t xml:space="preserve">L15.2, F1.1, PL25.2, PR209.1, PG7.1, PC386.1, </t>
  </si>
  <si>
    <t>P0V84_VREF_2</t>
  </si>
  <si>
    <t xml:space="preserve">PU19.39, PR205.2, PG22.1, PC375.1, </t>
  </si>
  <si>
    <t>P0V84_VREF_1</t>
  </si>
  <si>
    <t xml:space="preserve">PU18.39, PR204.2, PG21.1, PC207.1, </t>
  </si>
  <si>
    <t>P0V84_VREF</t>
  </si>
  <si>
    <t xml:space="preserve">PU17.40, PR196.1, PC193.1, PG22.2, PG21.2, PC368.1, </t>
  </si>
  <si>
    <t>P0V84_VR_FAULT_N</t>
  </si>
  <si>
    <t xml:space="preserve">PU17.33, PR192.1, </t>
  </si>
  <si>
    <t>P0V84_VOS</t>
  </si>
  <si>
    <t xml:space="preserve">PU19.1, PU18.1, PR212.2, </t>
  </si>
  <si>
    <t>P0V84_VDD2</t>
  </si>
  <si>
    <t xml:space="preserve">PU19.3, PU19.35, PR1870.2, PC377.1, </t>
  </si>
  <si>
    <t>P0V84_VDD1</t>
  </si>
  <si>
    <t xml:space="preserve">PU18.3, PU18.35, PR210.2, PC209.1, </t>
  </si>
  <si>
    <t>P0V84_VCC</t>
  </si>
  <si>
    <t xml:space="preserve">PU17.39, PR203.1, PC201.1, PC369.1, </t>
  </si>
  <si>
    <t>P0V84_TSEN_R</t>
  </si>
  <si>
    <t xml:space="preserve">PU17.36, PR191.1, </t>
  </si>
  <si>
    <t>P0V84_TSEN_B</t>
  </si>
  <si>
    <t xml:space="preserve">PU17.35, PC353.1, PR1846.1, </t>
  </si>
  <si>
    <t>P0V84_TSEN</t>
  </si>
  <si>
    <t xml:space="preserve">PR206.1, PR1866.1, PR1846.2, </t>
  </si>
  <si>
    <t>P0V84_TAO_FLT2</t>
  </si>
  <si>
    <t xml:space="preserve">PU19.36, PR1866.2, </t>
  </si>
  <si>
    <t>P0V84_TAO_FLT1</t>
  </si>
  <si>
    <t xml:space="preserve">PU18.36, PR206.2, </t>
  </si>
  <si>
    <t>P0V84_SW1</t>
  </si>
  <si>
    <t xml:space="preserve">PL15.1, PU18.10, PU18.11, PU18.12, PU18.13, PU18.14, </t>
  </si>
  <si>
    <t>P0V84_SB2</t>
  </si>
  <si>
    <t xml:space="preserve">PR1872.1, PC378.2, </t>
  </si>
  <si>
    <t>P0V84_PVDD</t>
  </si>
  <si>
    <t xml:space="preserve">PU19.4, PU18.4, PR210.1, PR1870.1, PC376.1, PC217.1, </t>
  </si>
  <si>
    <t>P0V84_PIN_ALT_RESET_N</t>
  </si>
  <si>
    <t xml:space="preserve">PU17.15, PR186.2, </t>
  </si>
  <si>
    <t>P0V84_LSET2</t>
  </si>
  <si>
    <t xml:space="preserve">PU19.37, PR1868.2, </t>
  </si>
  <si>
    <t>P0V84_LSET1</t>
  </si>
  <si>
    <t xml:space="preserve">PU18.37, PR208.2, </t>
  </si>
  <si>
    <t>P0V84_BOOT2_RC</t>
  </si>
  <si>
    <t xml:space="preserve">PR1867.2, PC374.2, </t>
  </si>
  <si>
    <t>P0V84_BOOT2_R</t>
  </si>
  <si>
    <t xml:space="preserve">PU19.32, PR1867.1, </t>
  </si>
  <si>
    <t>P0V84_BOOT2</t>
  </si>
  <si>
    <t xml:space="preserve">PU19.33, PC374.1, </t>
  </si>
  <si>
    <t>P0V84_BOOT1_RC</t>
  </si>
  <si>
    <t xml:space="preserve">PR207.2, PC206.2, </t>
  </si>
  <si>
    <t>P0V84_BOOT1_R</t>
  </si>
  <si>
    <t xml:space="preserve">PU18.32, PR207.1, </t>
  </si>
  <si>
    <t>P0V84_AVSP</t>
  </si>
  <si>
    <t xml:space="preserve">PU17.21, PC195.1, PR190.2, </t>
  </si>
  <si>
    <t>P0V84_AVR_RDY</t>
  </si>
  <si>
    <t xml:space="preserve">PU17.12, PR202.1, </t>
  </si>
  <si>
    <t>P0V84_AVR_EN</t>
  </si>
  <si>
    <t xml:space="preserve">PU17.13, PR195.1, PC197.1, </t>
  </si>
  <si>
    <t>P0V84_APWM2</t>
  </si>
  <si>
    <t xml:space="preserve">PU19.34, PU17.7, </t>
  </si>
  <si>
    <t>P0V84_APWM1</t>
  </si>
  <si>
    <t xml:space="preserve">PU18.34, PU17.8, </t>
  </si>
  <si>
    <t>P0V84_ACSP8</t>
  </si>
  <si>
    <t xml:space="preserve">PU17.30, PR1804.1, </t>
  </si>
  <si>
    <t>P0V84_ACSP4</t>
  </si>
  <si>
    <t xml:space="preserve">PU17.26, PR1803.2, </t>
  </si>
  <si>
    <t>P0V84_ACSP3</t>
  </si>
  <si>
    <t xml:space="preserve">PU17.25, PR1802.2, </t>
  </si>
  <si>
    <t>P0V84_ACSP2</t>
  </si>
  <si>
    <t xml:space="preserve">PU19.38, PU17.24, PR205.1, </t>
  </si>
  <si>
    <t>P0V84_ACSP1</t>
  </si>
  <si>
    <t xml:space="preserve">PU18.38, PU17.23, PR204.1, </t>
  </si>
  <si>
    <t>AGND_P5V_STBY</t>
  </si>
  <si>
    <t xml:space="preserve">PU6.7, PR83.2, PR82.2, PG8.1, PR86.1, PC395.2, </t>
  </si>
  <si>
    <t>SMB_PESW_TWI_RCVY_DAT</t>
  </si>
  <si>
    <t xml:space="preserve">U31.1238, R1447.2, R1670.2, </t>
  </si>
  <si>
    <t>SMB_PESW_TWI_RCVY_CLK</t>
  </si>
  <si>
    <t xml:space="preserve">U31.1120, R1446.2, R1669.2, </t>
  </si>
  <si>
    <t>BIC_OCP_DISABLE_SSD1_N</t>
  </si>
  <si>
    <t xml:space="preserve">U71.5, U71.6, R1317.1, D6.2, </t>
  </si>
  <si>
    <t>BIC_OCP_DISABLE_SSD0_N</t>
  </si>
  <si>
    <t xml:space="preserve">U69.5, U69.6, R1315.1, D5.2, </t>
  </si>
  <si>
    <t>JTAG_BIC_CPLD_M2_TCK</t>
  </si>
  <si>
    <t xml:space="preserve">R4418.2, U2.86, </t>
  </si>
  <si>
    <t>EEPROM_ADDRESS_2</t>
  </si>
  <si>
    <t xml:space="preserve">U58.3, R1167.1, R1162.2, </t>
  </si>
  <si>
    <t>EEPROM_ADDRESS_1</t>
  </si>
  <si>
    <t xml:space="preserve">U58.2, R1166.1, R1161.2, </t>
  </si>
  <si>
    <t>EEPROM_ADDRESS_0</t>
  </si>
  <si>
    <t xml:space="preserve">U58.1, R1165.1, R1160.2, </t>
  </si>
  <si>
    <t>BIC_REMOTE_DEBUG_SELECT_N_R</t>
  </si>
  <si>
    <t xml:space="preserve">U1.306, R1421.2, </t>
  </si>
  <si>
    <t>SMB_SSD1_INA233_ALRT_N_D</t>
  </si>
  <si>
    <t xml:space="preserve">U70.4, U71.3, R1318.1, </t>
  </si>
  <si>
    <t>RST_MB_LVC_N_R</t>
  </si>
  <si>
    <t xml:space="preserve">U92.4, R1359.1, </t>
  </si>
  <si>
    <t>RST_MB_LVC_N_1</t>
  </si>
  <si>
    <t xml:space="preserve">U31.1118, R1400.2, </t>
  </si>
  <si>
    <t>RST_MB_LVC_N_0</t>
  </si>
  <si>
    <t xml:space="preserve">U31.1157, R1401.2, </t>
  </si>
  <si>
    <t>RST_MB_LVC_N</t>
  </si>
  <si>
    <t xml:space="preserve">R4730.1, R1401.1, R1400.1, R1359.2, R1358.2, </t>
  </si>
  <si>
    <t>PD_REF_CLK_M1_RXI_P</t>
  </si>
  <si>
    <t xml:space="preserve">U31.310, R1369.2, </t>
  </si>
  <si>
    <t>PD_REF_CLK_M1_RXI_N</t>
  </si>
  <si>
    <t xml:space="preserve">U31.311, R1368.2, </t>
  </si>
  <si>
    <t>PD_REF_CLK_M0_RXI_P</t>
  </si>
  <si>
    <t xml:space="preserve">U31.272, R1367.2, </t>
  </si>
  <si>
    <t>PD_REF_CLK_M0_RXI_N</t>
  </si>
  <si>
    <t xml:space="preserve">U31.273, R1366.2, </t>
  </si>
  <si>
    <t>PD_REF_CLK_H3_RXI_P</t>
  </si>
  <si>
    <t xml:space="preserve">U31.116, R1365.2, </t>
  </si>
  <si>
    <t>PD_REF_CLK_H3_RXI_N</t>
  </si>
  <si>
    <t xml:space="preserve">U31.117, R1364.2, </t>
  </si>
  <si>
    <t>PD_REF_CLK_H2_RXI_P</t>
  </si>
  <si>
    <t xml:space="preserve">U31.154, R1363.2, </t>
  </si>
  <si>
    <t>PD_REF_CLK_H2_RXI_N</t>
  </si>
  <si>
    <t xml:space="preserve">U31.155, R1362.2, </t>
  </si>
  <si>
    <t>PD_REF_CLK_H0_RXI_P</t>
  </si>
  <si>
    <t xml:space="preserve">U31.76, R1361.2, </t>
  </si>
  <si>
    <t>PD_REF_CLK_H0_RXI_N</t>
  </si>
  <si>
    <t xml:space="preserve">U31.77, R1360.2, </t>
  </si>
  <si>
    <t>P1V8</t>
  </si>
  <si>
    <t xml:space="preserve">U45.1, U44.1, U43.1, U42.1, U41.1, U40.1, </t>
  </si>
  <si>
    <t>FM_PLD_VCCIO_2_4_5_P3V3SB_R</t>
  </si>
  <si>
    <t xml:space="preserve">U1.5, R1418.1, </t>
  </si>
  <si>
    <t>FM_PLD_VCCIO_2_4_5_P1V8_R</t>
  </si>
  <si>
    <t xml:space="preserve">U1.7, R1419.1, </t>
  </si>
  <si>
    <t>FM_BIC_PESW_MULTI_CONFIG3_R</t>
  </si>
  <si>
    <t xml:space="preserve">U1.346, R65.2, </t>
  </si>
  <si>
    <t>FM_BIC_PESW_MULTI_CONFIG2_R</t>
  </si>
  <si>
    <t xml:space="preserve">U1.327, R64.2, </t>
  </si>
  <si>
    <t>FM_BIC_PESW_MULTI_CONFIG0_R</t>
  </si>
  <si>
    <t xml:space="preserve">U1.354, R62.2, </t>
  </si>
  <si>
    <t>CARD_TYPE_DETECTION2</t>
  </si>
  <si>
    <t xml:space="preserve">U1.135, R1047.1, R1040.2, CN1.11, </t>
  </si>
  <si>
    <t>CARD_TYPE_DETECTION1</t>
  </si>
  <si>
    <t xml:space="preserve">U1.112, R1041.1, R1048.2, CN1.10, </t>
  </si>
  <si>
    <t>CARD_TYPE_DETECTION0</t>
  </si>
  <si>
    <t xml:space="preserve">U1.333, R1049.1, R1042.2, CN1.9, </t>
  </si>
  <si>
    <t>XTAL_25M_ZL30281_XB_R</t>
  </si>
  <si>
    <t xml:space="preserve">R332.1, U3.11, R331.2, </t>
  </si>
  <si>
    <t>XTAL_25M_ZL30281_XA</t>
  </si>
  <si>
    <t xml:space="preserve">C70.1, X1.1, U3.10, R331.1, </t>
  </si>
  <si>
    <t>VCCIO_PLD_2_4_5</t>
  </si>
  <si>
    <t xml:space="preserve">Q4.3, Q2.3, R289.2, R288.2, U2.115, U2.133, </t>
  </si>
  <si>
    <t>USB2_HUB2_OC4_N</t>
  </si>
  <si>
    <t xml:space="preserve">U60.54, R1229.2, </t>
  </si>
  <si>
    <t>USB_HUB3_RESET_N</t>
  </si>
  <si>
    <t xml:space="preserve">R4512.2, R4734.2, R4513.2, R4417.2, C1288.1, </t>
  </si>
  <si>
    <t>UART_PESW_USOUT_R</t>
  </si>
  <si>
    <t xml:space="preserve">U31.1476, R867.2, R819.2, </t>
  </si>
  <si>
    <t>UART_PESW_USOUT_3V3</t>
  </si>
  <si>
    <t xml:space="preserve">R1746.2, R4651.2, R4643.1, R1731.1, R1673.2, </t>
  </si>
  <si>
    <t>UART_PESW_USIN_R</t>
  </si>
  <si>
    <t xml:space="preserve">U31.1517, R822.2, R865.2, </t>
  </si>
  <si>
    <t>UART_PESW_USIN_3V3</t>
  </si>
  <si>
    <t xml:space="preserve">R1745.2, R4650.2, R4641.1, R1730.1, R158.2, </t>
  </si>
  <si>
    <t>UART_BIC_TXD_REMOTE_R</t>
  </si>
  <si>
    <t xml:space="preserve">U1.351, R49.1, </t>
  </si>
  <si>
    <t>UART_BIC_TXD_REMOTE</t>
  </si>
  <si>
    <t xml:space="preserve">U2.50, R49.2, </t>
  </si>
  <si>
    <t>UART_BIC_TXD_R</t>
  </si>
  <si>
    <t xml:space="preserve">U1.154, R51.1, </t>
  </si>
  <si>
    <t>UART_BIC_TXD_CPLD</t>
  </si>
  <si>
    <t xml:space="preserve">U2.51, R51.2, </t>
  </si>
  <si>
    <t>UART_BIC_RXD_REMOTE_R</t>
  </si>
  <si>
    <t xml:space="preserve">U2.67, R176.1, </t>
  </si>
  <si>
    <t>UART_BIC_RXD_REMOTE</t>
  </si>
  <si>
    <t xml:space="preserve">U1.249, R176.2, </t>
  </si>
  <si>
    <t>UART_BIC_RXD_CPLD_R</t>
  </si>
  <si>
    <t xml:space="preserve">U2.85, R196.1, </t>
  </si>
  <si>
    <t>UART_BIC_RXD_CPLD</t>
  </si>
  <si>
    <t xml:space="preserve">U1.153, R196.2, </t>
  </si>
  <si>
    <t>TWI_PESW_EEPROM_DAT_0</t>
  </si>
  <si>
    <t xml:space="preserve">U31.1082, U58.5, R1668.1, </t>
  </si>
  <si>
    <t>TWI_PESW_EEPROM_CLK_0</t>
  </si>
  <si>
    <t xml:space="preserve">U31.1080, U58.6, R1667.1, </t>
  </si>
  <si>
    <t>SSD1_UNUSED_C_B8</t>
  </si>
  <si>
    <t xml:space="preserve">R1134.2, C825.1, </t>
  </si>
  <si>
    <t>SSD1_UNUSED_C_B7</t>
  </si>
  <si>
    <t xml:space="preserve">R1133.2, C824.1, </t>
  </si>
  <si>
    <t>SSD1_UNUSED_B8</t>
  </si>
  <si>
    <t xml:space="preserve">JD8.36, R1134.1, </t>
  </si>
  <si>
    <t>SSD1_UNUSED_B7</t>
  </si>
  <si>
    <t xml:space="preserve">JD8.35, R1133.1, </t>
  </si>
  <si>
    <t>SSD1_PRSNT_LVC_N</t>
  </si>
  <si>
    <t xml:space="preserve">U31.1473, R1310.2, </t>
  </si>
  <si>
    <t>SSD0_UNUSED_C_B8</t>
  </si>
  <si>
    <t xml:space="preserve">R1108.2, C819.1, </t>
  </si>
  <si>
    <t>SSD0_UNUSED_C_B7</t>
  </si>
  <si>
    <t xml:space="preserve">R1107.2, C818.1, </t>
  </si>
  <si>
    <t>SSD0_UNUSED_C_A15</t>
  </si>
  <si>
    <t xml:space="preserve">R1110.2, C821.1, </t>
  </si>
  <si>
    <t>SSD0_UNUSED_C_A14</t>
  </si>
  <si>
    <t xml:space="preserve">R1109.2, C820.1, </t>
  </si>
  <si>
    <t>SSD0_UNUSED_B8</t>
  </si>
  <si>
    <t xml:space="preserve">JD7.36, R1108.1, </t>
  </si>
  <si>
    <t>SSD0_UNUSED_B7</t>
  </si>
  <si>
    <t xml:space="preserve">JD7.35, R1107.1, </t>
  </si>
  <si>
    <t>SSD0_UNUSED_A15</t>
  </si>
  <si>
    <t xml:space="preserve">JD7.15, R1110.1, </t>
  </si>
  <si>
    <t>SSD0_UNUSED_A14</t>
  </si>
  <si>
    <t xml:space="preserve">JD7.14, R1109.1, </t>
  </si>
  <si>
    <t>SSD0_LED_R_ATTN</t>
  </si>
  <si>
    <t xml:space="preserve">JD7.10, R1431.1, R1094.2, R1100.1, </t>
  </si>
  <si>
    <t>SPI_PESW_FLASH_DAT_3</t>
  </si>
  <si>
    <t xml:space="preserve">R1148.2, R843.1, </t>
  </si>
  <si>
    <t>SPI_PESW_FLASH_DAT_2_R</t>
  </si>
  <si>
    <t xml:space="preserve">U31.1481, R841.2, </t>
  </si>
  <si>
    <t>SPI_PESW_FLASH_DAT_0_R</t>
  </si>
  <si>
    <t xml:space="preserve">U31.1480, R837.2, </t>
  </si>
  <si>
    <t>SPI_PESW_FLASH_DAT_0</t>
  </si>
  <si>
    <t xml:space="preserve">R837.1, R1150.2, </t>
  </si>
  <si>
    <t>SPI_PESW_FLASH_CSB_0</t>
  </si>
  <si>
    <t xml:space="preserve">SKT1.1, R1146.2, U56.1, R834.1, </t>
  </si>
  <si>
    <t>SMB_SSD1_INA233_ALRT_N</t>
  </si>
  <si>
    <t xml:space="preserve">U71.2, U1.212, R1139.2, </t>
  </si>
  <si>
    <t>SMB_SSD0_INA233_ALRT_N_D</t>
  </si>
  <si>
    <t xml:space="preserve">U70.1, U69.3, R1316.1, </t>
  </si>
  <si>
    <t>SMB_SSD0_INA233_ALRT_N</t>
  </si>
  <si>
    <t xml:space="preserve">U69.2, U1.8, R1113.2, </t>
  </si>
  <si>
    <t>SMB_SENSOR_ZL30281_DAT_R1</t>
  </si>
  <si>
    <t xml:space="preserve">U46.3, R958.1, R961.2, </t>
  </si>
  <si>
    <t>SMB_SENSOR_ZL30281_DAT</t>
  </si>
  <si>
    <t xml:space="preserve">R958.2, R346.1, R4544.2, </t>
  </si>
  <si>
    <t>SMB_SENSOR_ZL30281_CLK_R1</t>
  </si>
  <si>
    <t xml:space="preserve">U46.2, R956.1, R960.2, </t>
  </si>
  <si>
    <t>SMB_SENSOR_ZL30281_CLK</t>
  </si>
  <si>
    <t xml:space="preserve">R956.2, R347.1, R4543.2, </t>
  </si>
  <si>
    <t>SMB_SENSOR_DB1200_DAT_R1</t>
  </si>
  <si>
    <t xml:space="preserve">U4.12, R346.2, </t>
  </si>
  <si>
    <t>SMB_SENSOR_DB1200_CLK_R1</t>
  </si>
  <si>
    <t xml:space="preserve">U4.13, R347.2, </t>
  </si>
  <si>
    <t>SMB_PESW_P1V8_DAT_R3</t>
  </si>
  <si>
    <t xml:space="preserve">U45.3, R954.1, </t>
  </si>
  <si>
    <t>SMB_PESW_P1V8_DAT_R2</t>
  </si>
  <si>
    <t xml:space="preserve">U31.1083, R778.2, R773.2, </t>
  </si>
  <si>
    <t>SMB_PESW_P1V8_DAT</t>
  </si>
  <si>
    <t xml:space="preserve">R954.2, R778.1, </t>
  </si>
  <si>
    <t>SMB_PESW_P1V8_CLK_R3</t>
  </si>
  <si>
    <t xml:space="preserve">U45.2, R952.1, </t>
  </si>
  <si>
    <t>SMB_PESW_P1V8_CLK</t>
  </si>
  <si>
    <t xml:space="preserve">R952.2, R783.1, </t>
  </si>
  <si>
    <t>SMB_PESW_3V3SB_DAT_R1</t>
  </si>
  <si>
    <t xml:space="preserve">U45.6, R955.2, </t>
  </si>
  <si>
    <t>SMB_PESW_3V3SB_DAT</t>
  </si>
  <si>
    <t xml:space="preserve">R955.1, R37.1, </t>
  </si>
  <si>
    <t>SMB_PESW_3V3SB_CLK_R1</t>
  </si>
  <si>
    <t xml:space="preserve">U45.7, R953.2, </t>
  </si>
  <si>
    <t>SMB_PESW_3V3SB_CLK</t>
  </si>
  <si>
    <t xml:space="preserve">R953.1, R36.1, </t>
  </si>
  <si>
    <t>SMB_IPMB_3V3SB_DAT_R</t>
  </si>
  <si>
    <t xml:space="preserve">R23.1, CN3.85, </t>
  </si>
  <si>
    <t>SMB_IPMB_3V3SB_DAT</t>
  </si>
  <si>
    <t xml:space="preserve">R4355.1, R23.2, R73.2, </t>
  </si>
  <si>
    <t>SMB_IPMB_3V3SB_CLK_R</t>
  </si>
  <si>
    <t xml:space="preserve">R21.1, CN3.84, </t>
  </si>
  <si>
    <t>SMB_IPMB_3V3SB_CLK</t>
  </si>
  <si>
    <t xml:space="preserve">R4356.1, R21.2, R71.2, </t>
  </si>
  <si>
    <t>SMB_BMC_CPLD_3V3SB_DAT_R1</t>
  </si>
  <si>
    <t xml:space="preserve">R8.1, CN1.85, </t>
  </si>
  <si>
    <t>SMB_BMC_CPLD_3V3SB_DAT</t>
  </si>
  <si>
    <t xml:space="preserve">R4371.1, R8.2, R2.2, </t>
  </si>
  <si>
    <t>SMB_BMC_CPLD_3V3SB_CLK_R1</t>
  </si>
  <si>
    <t xml:space="preserve">R7.1, CN1.84, </t>
  </si>
  <si>
    <t>SMB_BMC_CPLD_3V3SB_CLK</t>
  </si>
  <si>
    <t xml:space="preserve">U2.126, R7.2, R1.2, </t>
  </si>
  <si>
    <t>SMB_BIC_CPLD_SENSOR_DAT_R1</t>
  </si>
  <si>
    <t xml:space="preserve">U46.6, R959.2, </t>
  </si>
  <si>
    <t>SMB_BIC_CPLD_SENSOR_DAT</t>
  </si>
  <si>
    <t xml:space="preserve">R4540.1, R25.1, </t>
  </si>
  <si>
    <t>SMB_BIC_CPLD_SENSOR_CLK_R1</t>
  </si>
  <si>
    <t xml:space="preserve">U46.7, R957.2, </t>
  </si>
  <si>
    <t>SMB_BIC_CPLD_SENSOR_CLK</t>
  </si>
  <si>
    <t xml:space="preserve">R4539.1, R38.1, </t>
  </si>
  <si>
    <t>SMB_BIC_CPLD_1_DAT_R1</t>
  </si>
  <si>
    <t xml:space="preserve">U2.64, R185.1, </t>
  </si>
  <si>
    <t>SMB_BIC_CPLD_1_CLK_R1</t>
  </si>
  <si>
    <t xml:space="preserve">U2.81, R166.1, </t>
  </si>
  <si>
    <t>SMB_BIC_CPLD_0_DAT_R1</t>
  </si>
  <si>
    <t xml:space="preserve">U2.33, R194.2, </t>
  </si>
  <si>
    <t>SMB_BIC_CPLD_0_CLK_R1</t>
  </si>
  <si>
    <t xml:space="preserve">U2.102, R195.1, </t>
  </si>
  <si>
    <t>SGPIO_LOAD_N_R</t>
  </si>
  <si>
    <t xml:space="preserve">R17.2, CN3.9, </t>
  </si>
  <si>
    <t>SGPIO_LOAD_N</t>
  </si>
  <si>
    <t xml:space="preserve">U2.272, R17.1, </t>
  </si>
  <si>
    <t>SGPIO_DATA_OUT_R</t>
  </si>
  <si>
    <t xml:space="preserve">R18.2, CN3.11, </t>
  </si>
  <si>
    <t>SGPIO_DATA_OUT</t>
  </si>
  <si>
    <t xml:space="preserve">U2.238, R18.1, </t>
  </si>
  <si>
    <t>SGPIO_CLK_R</t>
  </si>
  <si>
    <t xml:space="preserve">R19.2, CN3.12, </t>
  </si>
  <si>
    <t>SGPIO_CLK</t>
  </si>
  <si>
    <t xml:space="preserve">U2.255, R19.1, </t>
  </si>
  <si>
    <t>RST_PESW_SSD1_N_R</t>
  </si>
  <si>
    <t xml:space="preserve">U31.348, R791.2, R1387.2, </t>
  </si>
  <si>
    <t>RST_PESW_SSD1_N</t>
  </si>
  <si>
    <t xml:space="preserve">U89.2, R791.1, </t>
  </si>
  <si>
    <t>RST_PESW_SSD0_N_R</t>
  </si>
  <si>
    <t xml:space="preserve">U31.388, R789.2, R1386.2, </t>
  </si>
  <si>
    <t>RST_PESW_SSD0_LVC_N</t>
  </si>
  <si>
    <t xml:space="preserve">JD7.38, R1304.2, </t>
  </si>
  <si>
    <t>RST_MB_N_R</t>
  </si>
  <si>
    <t xml:space="preserve">R24.1, R16.2, CN3.8, </t>
  </si>
  <si>
    <t>RST_MB_N</t>
  </si>
  <si>
    <t xml:space="preserve">U92.2, U2.6, R16.1, </t>
  </si>
  <si>
    <t>RECOVERYB_1_G</t>
  </si>
  <si>
    <t xml:space="preserve">R977.1, Q12.2, C774.1, </t>
  </si>
  <si>
    <t>RECOVERYB_0_G</t>
  </si>
  <si>
    <t xml:space="preserve">R971.1, Q10.2, C772.1, </t>
  </si>
  <si>
    <t>PWRGD_P3V3_STBY3_R</t>
  </si>
  <si>
    <t xml:space="preserve">R1349.2, PU3.13, PR30.1, </t>
  </si>
  <si>
    <t>PWRGD_P3V3_STBY3</t>
  </si>
  <si>
    <t xml:space="preserve">U2.59, U1.210, R1349.1, </t>
  </si>
  <si>
    <t>PWRGD_P3V3_STBY2_R</t>
  </si>
  <si>
    <t xml:space="preserve">R1346.2, PU2.13, PR16.1, </t>
  </si>
  <si>
    <t>PWRGD_P3V3_STBY2</t>
  </si>
  <si>
    <t xml:space="preserve">U2.22, U1.192, R1346.1, </t>
  </si>
  <si>
    <t>PWRGD_P3V3_STBY1_R</t>
  </si>
  <si>
    <t xml:space="preserve">R1343.2, PU1.13, PR2.1, </t>
  </si>
  <si>
    <t>PWRGD_P3V3_STBY1</t>
  </si>
  <si>
    <t xml:space="preserve">U2.23, U1.211, R1343.1, </t>
  </si>
  <si>
    <t>PWRGD_P3V3_M2_ALL</t>
  </si>
  <si>
    <t xml:space="preserve">R163.1, R1039.1, Q14.2, </t>
  </si>
  <si>
    <t>PWRGD_P1V8_R</t>
  </si>
  <si>
    <t xml:space="preserve">PU5.13, R1352.2, PR44.1, </t>
  </si>
  <si>
    <t>PWRGD_P1V8</t>
  </si>
  <si>
    <t xml:space="preserve">U45.5, U156.5, U3.30, U2.3, U1.83, R1352.1, </t>
  </si>
  <si>
    <t>PWRGD_P0V84</t>
  </si>
  <si>
    <t xml:space="preserve">U2.156, U1.174, PR202.2, PR183.2, </t>
  </si>
  <si>
    <t>PWRGD_CLK_ZL30281</t>
  </si>
  <si>
    <t xml:space="preserve">U3.4, U2.251, </t>
  </si>
  <si>
    <t>PWRBRK_N_R</t>
  </si>
  <si>
    <t xml:space="preserve">R4.2, CN1.8, </t>
  </si>
  <si>
    <t>PWRBRK_N</t>
  </si>
  <si>
    <t xml:space="preserve">U2.254, R4.1, R287.2, </t>
  </si>
  <si>
    <t>PU_ZL30281_IF0</t>
  </si>
  <si>
    <t xml:space="preserve">U3.32, R339.1, R333.2, </t>
  </si>
  <si>
    <t>PU_REMOTE_DEBUG_SELECT</t>
  </si>
  <si>
    <t xml:space="preserve">SW1.1, R119.2, </t>
  </si>
  <si>
    <t>PU_LEVEL_SHIFT_OE</t>
  </si>
  <si>
    <t xml:space="preserve">U57.2, R4646.1, </t>
  </si>
  <si>
    <t>PU_DB1200_HI_BW</t>
  </si>
  <si>
    <t xml:space="preserve">U4.5, R369.1, R364.2, </t>
  </si>
  <si>
    <t>PU_CPLD_PROGRAMN</t>
  </si>
  <si>
    <t xml:space="preserve">U2.66, R191.1, </t>
  </si>
  <si>
    <t>PU_CPLD_JTAGENB</t>
  </si>
  <si>
    <t xml:space="preserve">U2.65, R172.1, </t>
  </si>
  <si>
    <t>PU_CLK_BUF_100M</t>
  </si>
  <si>
    <t xml:space="preserve">U4.4, R368.1, R363.2, </t>
  </si>
  <si>
    <t>PESW_MULTI_CONFIG4_R</t>
  </si>
  <si>
    <t xml:space="preserve">U31.385, R838.2, </t>
  </si>
  <si>
    <t>PESW_MULTI_CONFIG4</t>
  </si>
  <si>
    <t xml:space="preserve">R838.1, R966.2, Q8.1, </t>
  </si>
  <si>
    <t>PESW_MULTI_CONFIG3_R</t>
  </si>
  <si>
    <t xml:space="preserve">U31.423, R836.2, </t>
  </si>
  <si>
    <t>PESW_MULTI_CONFIG3</t>
  </si>
  <si>
    <t xml:space="preserve">R836.1, R981.2, Q13.1, </t>
  </si>
  <si>
    <t>PESW_MULTI_CONFIG2_R</t>
  </si>
  <si>
    <t xml:space="preserve">U31.425, R833.2, </t>
  </si>
  <si>
    <t>PESW_MULTI_CONFIG2</t>
  </si>
  <si>
    <t xml:space="preserve">R833.1, R975.2, Q11.1, </t>
  </si>
  <si>
    <t>PESW_MULTI_CONFIG1_R</t>
  </si>
  <si>
    <t xml:space="preserve">U31.424, R830.2, </t>
  </si>
  <si>
    <t>PESW_MULTI_CONFIG1</t>
  </si>
  <si>
    <t xml:space="preserve">R830.1, R969.2, Q9.1, </t>
  </si>
  <si>
    <t>PESW_MULTI_CONFIG0_R</t>
  </si>
  <si>
    <t xml:space="preserve">U31.386, R828.2, </t>
  </si>
  <si>
    <t>PESW_MULTI_CONFIG0</t>
  </si>
  <si>
    <t xml:space="preserve">R828.1, R965.2, Q7.1, </t>
  </si>
  <si>
    <t>PESW_LED_HB_R</t>
  </si>
  <si>
    <t xml:space="preserve">LED2.1, R866.1, </t>
  </si>
  <si>
    <t>PESW_LED_HB_D</t>
  </si>
  <si>
    <t xml:space="preserve">U32.6, LED2.2, </t>
  </si>
  <si>
    <t>PESW_LED_HB</t>
  </si>
  <si>
    <t xml:space="preserve">U31.1478, U32.2, R835.2, </t>
  </si>
  <si>
    <t>PESW_CONFIG4_G</t>
  </si>
  <si>
    <t xml:space="preserve">R964.1, Q8.2, C770.1, </t>
  </si>
  <si>
    <t>PESW_CONFIG3_G</t>
  </si>
  <si>
    <t xml:space="preserve">R980.1, Q13.2, C775.1, </t>
  </si>
  <si>
    <t>PESW_CONFIG2_G</t>
  </si>
  <si>
    <t xml:space="preserve">R974.1, Q11.2, C773.1, </t>
  </si>
  <si>
    <t>PESW_CONFIG1_G</t>
  </si>
  <si>
    <t xml:space="preserve">R968.1, Q9.2, C771.1, </t>
  </si>
  <si>
    <t>PESW_CONFIG0_G</t>
  </si>
  <si>
    <t xml:space="preserve">R962.1, Q7.2, C769.1, </t>
  </si>
  <si>
    <t>PD_ZL30281_TEST</t>
  </si>
  <si>
    <t xml:space="preserve">U3.26, R338.1, </t>
  </si>
  <si>
    <t>PD_ZL30281_IF1</t>
  </si>
  <si>
    <t xml:space="preserve">U3.1, R340.1, R334.2, </t>
  </si>
  <si>
    <t>PD_ZL30281_AC1</t>
  </si>
  <si>
    <t xml:space="preserve">U3.27, R341.1, R335.2, </t>
  </si>
  <si>
    <t>PD_ZL30281_AC0</t>
  </si>
  <si>
    <t xml:space="preserve">U3.28, R342.1, R336.2, </t>
  </si>
  <si>
    <t>PD_EEPROM_WC_N</t>
  </si>
  <si>
    <t xml:space="preserve">U58.7, R1164.1, R1163.2, </t>
  </si>
  <si>
    <t>PD_CLK_BUF_SMB_SA1</t>
  </si>
  <si>
    <t xml:space="preserve">U4.14, R366.2, R361.1, </t>
  </si>
  <si>
    <t>PD_CLK_BUF_SMB_SA0</t>
  </si>
  <si>
    <t xml:space="preserve">U4.11, R365.2, R360.1, </t>
  </si>
  <si>
    <t>P3V3_STBY3_VIN</t>
  </si>
  <si>
    <t xml:space="preserve">PL7.1, PU3.1, PU3.2, PU3.3, PU3.23, PU3.34, </t>
  </si>
  <si>
    <t>P3V3_STBY3_VDIFF_RC</t>
  </si>
  <si>
    <t xml:space="preserve">PR41.1, PC70.2, </t>
  </si>
  <si>
    <t>P3V3_STBY3_VDIFF</t>
  </si>
  <si>
    <t xml:space="preserve">PR40.1, PC70.1, PU3.10, </t>
  </si>
  <si>
    <t>P3V3_STBY3_VDD</t>
  </si>
  <si>
    <t xml:space="preserve">PU3.22, PR29.1, PC50.2, </t>
  </si>
  <si>
    <t>P3V3_STBY3_VBET</t>
  </si>
  <si>
    <t xml:space="preserve">PU3.15, PR36.2, </t>
  </si>
  <si>
    <t>P3V3_STBY3_SW</t>
  </si>
  <si>
    <t xml:space="preserve">PL9.1, PU3.26, PU3.27, PU3.28, PU3.29, PU3.30, </t>
  </si>
  <si>
    <t>P3V3_STBY3_SDA</t>
  </si>
  <si>
    <t xml:space="preserve">R1351.2, PU3.19, </t>
  </si>
  <si>
    <t>P3V3_STBY3_SCL</t>
  </si>
  <si>
    <t xml:space="preserve">R1350.2, PU3.20, </t>
  </si>
  <si>
    <t>P3V3_STBY3_RT/SYNC</t>
  </si>
  <si>
    <t xml:space="preserve">PU3.17, PR34.2, </t>
  </si>
  <si>
    <t>P3V3_STBY3_PVCC</t>
  </si>
  <si>
    <t xml:space="preserve">PU3.24, PR29.2, PC49.2, </t>
  </si>
  <si>
    <t>P3V3_STBY3_PH</t>
  </si>
  <si>
    <t xml:space="preserve">PU3.4, PR33.1, </t>
  </si>
  <si>
    <t>P3V3_STBY3_FB_RC</t>
  </si>
  <si>
    <t xml:space="preserve">PR42.1, PC71.2, </t>
  </si>
  <si>
    <t>P3V3_STBY3_FB</t>
  </si>
  <si>
    <t xml:space="preserve">PR41.2, PR40.2, PC72.1, PC71.1, PU3.8, </t>
  </si>
  <si>
    <t>P3V3_STBY3_COMP</t>
  </si>
  <si>
    <t xml:space="preserve">PR42.2, PC72.2, PU3.9, </t>
  </si>
  <si>
    <t>P3V3_STBY3_BOOT_R</t>
  </si>
  <si>
    <t xml:space="preserve">PR33.2, PC59.2, </t>
  </si>
  <si>
    <t>P3V3_STBY3_BOOT</t>
  </si>
  <si>
    <t xml:space="preserve">PU3.6, PC59.1, </t>
  </si>
  <si>
    <t>P3V3_STBY3_ADDR</t>
  </si>
  <si>
    <t xml:space="preserve">PU3.14, PR38.2, </t>
  </si>
  <si>
    <t>P3V3_STBY3</t>
  </si>
  <si>
    <t xml:space="preserve">Q55.1, PL9.2, U91.5, U55.6, U26.6, U25.6, </t>
  </si>
  <si>
    <t>P3V3_STBY2_VIN</t>
  </si>
  <si>
    <t xml:space="preserve">PL4.1, PU2.1, PU2.2, PU2.3, PU2.23, PU2.34, </t>
  </si>
  <si>
    <t>P3V3_STBY2_VDIFF_RC</t>
  </si>
  <si>
    <t xml:space="preserve">PR27.1, PC46.2, </t>
  </si>
  <si>
    <t>P3V3_STBY2_VDIFF</t>
  </si>
  <si>
    <t xml:space="preserve">PR26.1, PC46.1, PU2.10, </t>
  </si>
  <si>
    <t>P3V3_STBY2_VDD</t>
  </si>
  <si>
    <t xml:space="preserve">PU2.22, PR15.1, PC26.2, </t>
  </si>
  <si>
    <t>P3V3_STBY2_VBET</t>
  </si>
  <si>
    <t xml:space="preserve">PU2.15, PR22.2, </t>
  </si>
  <si>
    <t>P3V3_STBY2_SW</t>
  </si>
  <si>
    <t xml:space="preserve">PL6.1, PU2.26, PU2.27, PU2.28, PU2.29, PU2.30, </t>
  </si>
  <si>
    <t>P3V3_STBY2_SDA</t>
  </si>
  <si>
    <t xml:space="preserve">R1348.2, PU2.19, </t>
  </si>
  <si>
    <t>P3V3_STBY2_SCL</t>
  </si>
  <si>
    <t xml:space="preserve">R1347.2, PU2.20, </t>
  </si>
  <si>
    <t>P3V3_STBY2_RT/SYNC</t>
  </si>
  <si>
    <t xml:space="preserve">PU2.17, PR20.2, </t>
  </si>
  <si>
    <t>P3V3_STBY2_PVCC</t>
  </si>
  <si>
    <t xml:space="preserve">PU2.24, PR15.2, PC25.2, </t>
  </si>
  <si>
    <t>P3V3_STBY2_PH</t>
  </si>
  <si>
    <t xml:space="preserve">PU2.4, PR19.1, </t>
  </si>
  <si>
    <t>P3V3_STBY2_FB_RC</t>
  </si>
  <si>
    <t xml:space="preserve">PR28.1, PC47.2, </t>
  </si>
  <si>
    <t>P3V3_STBY2_FB</t>
  </si>
  <si>
    <t xml:space="preserve">PR27.2, PR26.2, PC48.1, PC47.1, PU2.8, </t>
  </si>
  <si>
    <t>P3V3_STBY2_COMP</t>
  </si>
  <si>
    <t xml:space="preserve">PR28.2, PC48.2, PU2.9, </t>
  </si>
  <si>
    <t>P3V3_STBY2_BOOT_R</t>
  </si>
  <si>
    <t xml:space="preserve">PR19.2, PC35.2, </t>
  </si>
  <si>
    <t>P3V3_STBY2_BOOT</t>
  </si>
  <si>
    <t xml:space="preserve">PU2.6, PC35.1, </t>
  </si>
  <si>
    <t>P3V3_STBY2_ADDR</t>
  </si>
  <si>
    <t xml:space="preserve">PR24.2, PU2.14, </t>
  </si>
  <si>
    <t>P3V3_STBY2</t>
  </si>
  <si>
    <t xml:space="preserve">Q53.1, PL6.2, U28.6, U27.6, U22.6, U21.6, </t>
  </si>
  <si>
    <t>P3V3_STBY1_VIN</t>
  </si>
  <si>
    <t xml:space="preserve">PL1.1, PU1.1, PU1.2, PU1.3, PU1.23, PU1.34, </t>
  </si>
  <si>
    <t>P3V3_STBY1_VDIFF_RC</t>
  </si>
  <si>
    <t xml:space="preserve">PR13.1, PC22.2, </t>
  </si>
  <si>
    <t>P3V3_STBY1_VDIFF</t>
  </si>
  <si>
    <t xml:space="preserve">PR12.1, PC22.1, PU1.10, </t>
  </si>
  <si>
    <t>P3V3_STBY1_VDD</t>
  </si>
  <si>
    <t xml:space="preserve">PU1.22, PR1.1, PC2.2, </t>
  </si>
  <si>
    <t>P3V3_STBY1_VBET</t>
  </si>
  <si>
    <t xml:space="preserve">PU1.15, PR8.2, </t>
  </si>
  <si>
    <t>P3V3_STBY1_SW</t>
  </si>
  <si>
    <t xml:space="preserve">PL3.1, PU1.26, PU1.27, PU1.28, PU1.29, PU1.30, </t>
  </si>
  <si>
    <t>P3V3_STBY1_SDA</t>
  </si>
  <si>
    <t xml:space="preserve">R1345.2, PU1.19, </t>
  </si>
  <si>
    <t>P3V3_STBY1_SCL</t>
  </si>
  <si>
    <t xml:space="preserve">R1344.2, PU1.20, </t>
  </si>
  <si>
    <t>P3V3_STBY1_RT/SYNC</t>
  </si>
  <si>
    <t xml:space="preserve">PU1.17, PR6.2, </t>
  </si>
  <si>
    <t>P3V3_STBY1_PVCC</t>
  </si>
  <si>
    <t xml:space="preserve">PU1.24, PR1.2, PC1.2, </t>
  </si>
  <si>
    <t>P3V3_STBY1_PH</t>
  </si>
  <si>
    <t xml:space="preserve">PU1.4, PR3.1, </t>
  </si>
  <si>
    <t>P3V3_STBY1_FB_RC</t>
  </si>
  <si>
    <t xml:space="preserve">PR14.1, PC23.2, </t>
  </si>
  <si>
    <t>P3V3_STBY1_FB</t>
  </si>
  <si>
    <t xml:space="preserve">PR13.2, PR12.2, PC24.1, PC23.1, PU1.8, </t>
  </si>
  <si>
    <t>P3V3_STBY1_COMP</t>
  </si>
  <si>
    <t xml:space="preserve">PR14.2, PC24.2, PU1.9, </t>
  </si>
  <si>
    <t>P3V3_STBY1_BOOT_R</t>
  </si>
  <si>
    <t xml:space="preserve">PR3.2, PC11.2, </t>
  </si>
  <si>
    <t>P3V3_STBY1_BOOT</t>
  </si>
  <si>
    <t xml:space="preserve">PU1.6, PC11.1, </t>
  </si>
  <si>
    <t>P3V3_STBY1_ADDR</t>
  </si>
  <si>
    <t xml:space="preserve">PU1.14, PR10.2, </t>
  </si>
  <si>
    <t>P3V3_STBY1</t>
  </si>
  <si>
    <t xml:space="preserve">U46.1, U99.6, U57.6, U155.6, U155.7, U110.6, </t>
  </si>
  <si>
    <t>P3V3_CLK_BUF_VDDR</t>
  </si>
  <si>
    <t xml:space="preserve">U4.8, R1424.2, C84.1, C85.1, </t>
  </si>
  <si>
    <t>P3V3_CLK_BUF_VDDA</t>
  </si>
  <si>
    <t xml:space="preserve">U4.1, R1423.2, C83.1, C82.1, </t>
  </si>
  <si>
    <t>P3V3_CLK_BUF</t>
  </si>
  <si>
    <t xml:space="preserve">U4.24, U4.25, U4.32, U4.40, U4.49, U4.56, </t>
  </si>
  <si>
    <t>P3V3_AUX_SCALED</t>
  </si>
  <si>
    <t xml:space="preserve">R133.2, R132.1, U1.136, C26.1, </t>
  </si>
  <si>
    <t>P3V3_AUX</t>
  </si>
  <si>
    <t xml:space="preserve">U46.8, U45.8, U44.8, U43.8, U42.8, U41.8, </t>
  </si>
  <si>
    <t>P1V8_VSEN+</t>
  </si>
  <si>
    <t xml:space="preserve">PU5.12, PR49.1, PC86.1, </t>
  </si>
  <si>
    <t>P1V8_VIN</t>
  </si>
  <si>
    <t xml:space="preserve">PL10.1, PU5.1, PU5.2, PU5.3, PU5.23, PU5.34, </t>
  </si>
  <si>
    <t>P1V8_VDIFF_RC</t>
  </si>
  <si>
    <t xml:space="preserve">PR55.2, PC95.1, </t>
  </si>
  <si>
    <t>P1V8_VDIFF</t>
  </si>
  <si>
    <t xml:space="preserve">PU5.10, PR54.2, PC95.2, </t>
  </si>
  <si>
    <t>P1V8_VDD</t>
  </si>
  <si>
    <t xml:space="preserve">PU5.22, PR43.1, PC74.2, </t>
  </si>
  <si>
    <t>P1V8_VBET</t>
  </si>
  <si>
    <t xml:space="preserve">PU5.15, PR50.2, </t>
  </si>
  <si>
    <t>P1V8_SW</t>
  </si>
  <si>
    <t xml:space="preserve">PL11.1, PU5.26, PU5.27, PU5.28, PU5.29, PU5.30, </t>
  </si>
  <si>
    <t>P1V8_SN</t>
  </si>
  <si>
    <t xml:space="preserve">PR53.2, PC94.2, </t>
  </si>
  <si>
    <t>P1V8_SDA</t>
  </si>
  <si>
    <t xml:space="preserve">PU5.19, R1354.2, </t>
  </si>
  <si>
    <t>P1V8_SCL</t>
  </si>
  <si>
    <t xml:space="preserve">PU5.20, R1353.2, </t>
  </si>
  <si>
    <t>P1V8_RT/SYNC</t>
  </si>
  <si>
    <t xml:space="preserve">PU5.17, PR48.2, </t>
  </si>
  <si>
    <t>P1V8_PVCC</t>
  </si>
  <si>
    <t xml:space="preserve">PU5.24, PR43.2, PC73.2, </t>
  </si>
  <si>
    <t>P1V8_PH</t>
  </si>
  <si>
    <t xml:space="preserve">PU5.4, PR45.1, </t>
  </si>
  <si>
    <t>P1V8_FB</t>
  </si>
  <si>
    <t xml:space="preserve">PU5.8, PR55.1, PR54.1, PC97.2, PC96.2, </t>
  </si>
  <si>
    <t>P1V8_COMP</t>
  </si>
  <si>
    <t xml:space="preserve">PU5.9, PR56.1, PC97.1, </t>
  </si>
  <si>
    <t>P1V8_BOOT</t>
  </si>
  <si>
    <t xml:space="preserve">PU5.6, PC85.1, </t>
  </si>
  <si>
    <t>P1V8_BIC_SCALED</t>
  </si>
  <si>
    <t xml:space="preserve">R131.1, U1.115, R130.2, C25.1, </t>
  </si>
  <si>
    <t>P1V8_ADDR</t>
  </si>
  <si>
    <t xml:space="preserve">PU5.14, PR52.2, </t>
  </si>
  <si>
    <t>P12V_STBY</t>
  </si>
  <si>
    <t xml:space="preserve">PL26.1, PL10.2, PR1873.2, PL7.2, PL4.2, PL1.2, </t>
  </si>
  <si>
    <t>P12V_BIC_SCALED</t>
  </si>
  <si>
    <t xml:space="preserve">R127.2, U1.116, R129.1, C24.1, </t>
  </si>
  <si>
    <t>P0V84_VIN</t>
  </si>
  <si>
    <t xml:space="preserve">PU19.25, PU19.26, PU19.27, PU19.28, PU19.29, PU19.30, </t>
  </si>
  <si>
    <t>P0V84_ADDR</t>
  </si>
  <si>
    <t xml:space="preserve">PR197.1, PU17.34, PR196.2, PC196.1, </t>
  </si>
  <si>
    <t>P0V84</t>
  </si>
  <si>
    <t xml:space="preserve">L21.1, L20.1, L19.1, L18.1, U31.52, U31.54, </t>
  </si>
  <si>
    <t>OSC1_VDD</t>
  </si>
  <si>
    <t xml:space="preserve">R118.1, OSC1.4, L1.1, C4.1, </t>
  </si>
  <si>
    <t>OCP_DISABLE_R_N</t>
  </si>
  <si>
    <t xml:space="preserve">U1.314, R42.2, </t>
  </si>
  <si>
    <t>LED_P3V3_M2_ALL_GOOD_R</t>
  </si>
  <si>
    <t xml:space="preserve">LED4.1, R1038.2, </t>
  </si>
  <si>
    <t>LED_P3V3_M2_ALL_GOOD</t>
  </si>
  <si>
    <t xml:space="preserve">LED4.2, Q14.3, </t>
  </si>
  <si>
    <t>LED_P12V</t>
  </si>
  <si>
    <t xml:space="preserve">R1037.2, LED3.2, </t>
  </si>
  <si>
    <t>JTAG_TI_TDO</t>
  </si>
  <si>
    <t xml:space="preserve">R4387.2, R60.2, BICCN1.2, </t>
  </si>
  <si>
    <t>JTAG_TI_TDI</t>
  </si>
  <si>
    <t xml:space="preserve">U2.25, R59.2, R89.2, BICCN1.3, </t>
  </si>
  <si>
    <t>JTAG_CPLD_TMS</t>
  </si>
  <si>
    <t xml:space="preserve">R180.2, R310.2, CN5.6, </t>
  </si>
  <si>
    <t>JTAG_CPLD_TDO</t>
  </si>
  <si>
    <t xml:space="preserve">R161.2, R315.2, CN5.2, </t>
  </si>
  <si>
    <t>JTAG_CPLD_TDI</t>
  </si>
  <si>
    <t xml:space="preserve">U2.42, R321.1, </t>
  </si>
  <si>
    <t>JTAG_CPLD_TCK_R</t>
  </si>
  <si>
    <t xml:space="preserve">U2.43, R164.1, </t>
  </si>
  <si>
    <t>JTAG_BIC_M2_TDO</t>
  </si>
  <si>
    <t xml:space="preserve">U1.186, R1698.1, </t>
  </si>
  <si>
    <t>JTAG_BIC_M2_TCK_R</t>
  </si>
  <si>
    <t xml:space="preserve">R54.2, U1.335, </t>
  </si>
  <si>
    <t>JTAG_BIC_M2_TCK</t>
  </si>
  <si>
    <t xml:space="preserve">R54.1, R1693.1, </t>
  </si>
  <si>
    <t>HUB1_V5</t>
  </si>
  <si>
    <t xml:space="preserve">U59.62, R1168.2, </t>
  </si>
  <si>
    <t>HUB1_GREEN_C2_1</t>
  </si>
  <si>
    <t xml:space="preserve">U59.59, R1203.2, </t>
  </si>
  <si>
    <t>HUB1_GREEN_C1_1</t>
  </si>
  <si>
    <t xml:space="preserve">U59.60, R1199.2, </t>
  </si>
  <si>
    <t>GND</t>
  </si>
  <si>
    <t xml:space="preserve">SKT2.1, SKT2.18, SKT2.19, SKT2.20, SKT2.21, SKT2.22, </t>
  </si>
  <si>
    <t>FM_POWER_EN_R</t>
  </si>
  <si>
    <t xml:space="preserve">R5.1, R12.1, R10.2, CN1.78, </t>
  </si>
  <si>
    <t>FM_POWER_EN</t>
  </si>
  <si>
    <t xml:space="preserve">U2.78, U1.352, R5.2, </t>
  </si>
  <si>
    <t>FM_PLD_VCCIO_2_4_5_P3V3SB</t>
  </si>
  <si>
    <t xml:space="preserve">R296.2, R1418.2, R297.1, R294.2, </t>
  </si>
  <si>
    <t>FM_P3V3_STBY3_EN</t>
  </si>
  <si>
    <t xml:space="preserve">R159.1, PU3.21, PR31.2, PR32.2, </t>
  </si>
  <si>
    <t>FM_P3V3_STBY2_EN</t>
  </si>
  <si>
    <t xml:space="preserve">R179.2, PU2.21, PR17.2, PR18.2, </t>
  </si>
  <si>
    <t>FM_P3V3_STBY1_EN</t>
  </si>
  <si>
    <t xml:space="preserve">R178.1, PU1.21, PR4.2, PR5.2, R1732.1, </t>
  </si>
  <si>
    <t>FM_P1V8_EN</t>
  </si>
  <si>
    <t xml:space="preserve">PU5.21, R162.2, PR46.2, PR47.2, </t>
  </si>
  <si>
    <t>FM_P0V84_EN_R</t>
  </si>
  <si>
    <t xml:space="preserve">U2.177, R150.2, </t>
  </si>
  <si>
    <t>FM_P0V84_EN</t>
  </si>
  <si>
    <t xml:space="preserve">R150.1, PR195.2, </t>
  </si>
  <si>
    <t>FM_CLK_BUF_EN_R</t>
  </si>
  <si>
    <t xml:space="preserve">U2.176, R135.1, </t>
  </si>
  <si>
    <t>FM_CLK_BUF_EN_N_R1</t>
  </si>
  <si>
    <t xml:space="preserve">U4.6, R345.2, </t>
  </si>
  <si>
    <t>FM_CLK_BUF_EN</t>
  </si>
  <si>
    <t xml:space="preserve">R362.2, R345.1, R135.2, R367.1, </t>
  </si>
  <si>
    <t>FM_BIC_PESW_RECOVERY_1</t>
  </si>
  <si>
    <t xml:space="preserve">R4358.1, R979.2, Q12.3, </t>
  </si>
  <si>
    <t>FM_BIC_PESW_RECOVERY_0</t>
  </si>
  <si>
    <t xml:space="preserve">R4357.1, R973.2, Q10.3, </t>
  </si>
  <si>
    <t>FM_BIC_PESW_MULTI_CONFIG4</t>
  </si>
  <si>
    <t xml:space="preserve">R57.2, R967.2, Q8.3, </t>
  </si>
  <si>
    <t>FM_BIC_PESW_MULTI_CONFIG3</t>
  </si>
  <si>
    <t xml:space="preserve">R65.1, R982.2, Q13.3, </t>
  </si>
  <si>
    <t>FM_BIC_PESW_MULTI_CONFIG2</t>
  </si>
  <si>
    <t xml:space="preserve">R64.1, R976.2, Q11.3, </t>
  </si>
  <si>
    <t>FM_BIC_PESW_MULTI_CONFIG0</t>
  </si>
  <si>
    <t xml:space="preserve">R62.1, R963.2, Q7.3, </t>
  </si>
  <si>
    <t>EJTAG_TRSTB_R</t>
  </si>
  <si>
    <t xml:space="preserve">U31.456, R855.2, R869.2, </t>
  </si>
  <si>
    <t>EJTAG_TRSTB</t>
  </si>
  <si>
    <t xml:space="preserve">R855.1, JCN1.2, </t>
  </si>
  <si>
    <t>EJTAG_TMS</t>
  </si>
  <si>
    <t xml:space="preserve">U31.341, R1155.2, R863.2, </t>
  </si>
  <si>
    <t>EJTAG_TCK</t>
  </si>
  <si>
    <t xml:space="preserve">U31.419, R1156.2, R860.2, </t>
  </si>
  <si>
    <t>EJTAG_RSTB</t>
  </si>
  <si>
    <t xml:space="preserve">U31.263, R1157.2, R864.2, </t>
  </si>
  <si>
    <t>DUT_TDO_R</t>
  </si>
  <si>
    <t xml:space="preserve">U31.302, R861.2, R849.2, </t>
  </si>
  <si>
    <t>DUT_TDO</t>
  </si>
  <si>
    <t xml:space="preserve">R849.1, JCN1.4, </t>
  </si>
  <si>
    <t>DUT_TDI</t>
  </si>
  <si>
    <t xml:space="preserve">U31.303, R1154.2, R862.2, </t>
  </si>
  <si>
    <t>DUT_TAP_SEL</t>
  </si>
  <si>
    <t xml:space="preserve">U31.457, R870.2, R859.2, </t>
  </si>
  <si>
    <t>COM_MB_TX_R</t>
  </si>
  <si>
    <t xml:space="preserve">R14.2, CN1.69, </t>
  </si>
  <si>
    <t>COM_MB_TX</t>
  </si>
  <si>
    <t xml:space="preserve">CN2.3, U2.34, R14.1, </t>
  </si>
  <si>
    <t>COM_MB_RX_R</t>
  </si>
  <si>
    <t xml:space="preserve">U2.52, R177.1, </t>
  </si>
  <si>
    <t>COM_MB_RX</t>
  </si>
  <si>
    <t xml:space="preserve">CN2.2, R177.2, CN1.68, </t>
  </si>
  <si>
    <t>CLK_100M_SW_SSD1_R</t>
  </si>
  <si>
    <t xml:space="preserve">R770.1, R769.2, R771.1, R768.1, C501.1, </t>
  </si>
  <si>
    <t>CLK_100M_SW_SSD0_R</t>
  </si>
  <si>
    <t xml:space="preserve">R765.1, R764.2, R767.1, R763.1, C497.1, </t>
  </si>
  <si>
    <t>CLK_100M_SW_CLK_BUF_R</t>
  </si>
  <si>
    <t xml:space="preserve">R762.1, R759.1, R761.1, R760.2, C493.1, </t>
  </si>
  <si>
    <t>BOOTSTRAP_R_8</t>
  </si>
  <si>
    <t xml:space="preserve">U31.147, R788.1, </t>
  </si>
  <si>
    <t>BOOTSTRAP_R_7</t>
  </si>
  <si>
    <t xml:space="preserve">U31.227, R787.1, </t>
  </si>
  <si>
    <t>BOOTSTRAP_R_6</t>
  </si>
  <si>
    <t xml:space="preserve">U31.228, R786.1, </t>
  </si>
  <si>
    <t>BOOTSTRAP_R_5</t>
  </si>
  <si>
    <t xml:space="preserve">U31.225, R782.1, </t>
  </si>
  <si>
    <t>BOOTSTRAP_R_4</t>
  </si>
  <si>
    <t xml:space="preserve">U31.188, R781.1, </t>
  </si>
  <si>
    <t>BOOTSTRAP_R_3</t>
  </si>
  <si>
    <t xml:space="preserve">U31.383, R780.1, </t>
  </si>
  <si>
    <t>BOOTSTRAP_R_2</t>
  </si>
  <si>
    <t xml:space="preserve">U31.384, R779.1, </t>
  </si>
  <si>
    <t>BOOTSTRAP_R_14</t>
  </si>
  <si>
    <t xml:space="preserve">U31.306, R777.1, </t>
  </si>
  <si>
    <t>BOOTSTRAP_R_13</t>
  </si>
  <si>
    <t xml:space="preserve">U31.346, R776.1, </t>
  </si>
  <si>
    <t>BOOTSTRAP_R_12</t>
  </si>
  <si>
    <t xml:space="preserve">U31.267, R775.1, </t>
  </si>
  <si>
    <t>BOOTSTRAP_R_11</t>
  </si>
  <si>
    <t xml:space="preserve">U31.343, R774.1, </t>
  </si>
  <si>
    <t>BOOTSTRAP_R_10</t>
  </si>
  <si>
    <t xml:space="preserve">U31.265, R792.1, </t>
  </si>
  <si>
    <t>BOOTSTRAP_R_1</t>
  </si>
  <si>
    <t xml:space="preserve">U31.344, R785.1, </t>
  </si>
  <si>
    <t>BOOTSTRAP_R_0</t>
  </si>
  <si>
    <t xml:space="preserve">U31.187, R784.1, </t>
  </si>
  <si>
    <t>BOOTSTRAP_9</t>
  </si>
  <si>
    <t xml:space="preserve">R790.2, R1450.2, R846.2, </t>
  </si>
  <si>
    <t>BOOTSTRAP_7</t>
  </si>
  <si>
    <t xml:space="preserve">R787.2, R848.2, </t>
  </si>
  <si>
    <t>BOOTSTRAP_6</t>
  </si>
  <si>
    <t xml:space="preserve">R786.2, R850.2, </t>
  </si>
  <si>
    <t>BOOTSTRAP_5</t>
  </si>
  <si>
    <t xml:space="preserve">R782.2, R851.2, </t>
  </si>
  <si>
    <t>BOOTSTRAP_3</t>
  </si>
  <si>
    <t xml:space="preserve">R780.2, R856.2, </t>
  </si>
  <si>
    <t>BOOTSTRAP_2</t>
  </si>
  <si>
    <t xml:space="preserve">R779.2, R857.2, </t>
  </si>
  <si>
    <t>BOOTSTRAP_14</t>
  </si>
  <si>
    <t xml:space="preserve">R777.2, R832.2, CN7.2, </t>
  </si>
  <si>
    <t>BOOTSTRAP_13</t>
  </si>
  <si>
    <t xml:space="preserve">R776.2, R844.2, R829.2, </t>
  </si>
  <si>
    <t>BOOTSTRAP_12</t>
  </si>
  <si>
    <t xml:space="preserve">R775.2, R827.2, R842.2, </t>
  </si>
  <si>
    <t>BOOTSTRAP_11</t>
  </si>
  <si>
    <t xml:space="preserve">R774.2, R1452.2, R826.2, </t>
  </si>
  <si>
    <t>BOOTSTRAP_10</t>
  </si>
  <si>
    <t xml:space="preserve">R792.2, R1451.2, R825.2, </t>
  </si>
  <si>
    <t>BOOTSTRAP_1</t>
  </si>
  <si>
    <t xml:space="preserve">R785.2, CN6.2, </t>
  </si>
  <si>
    <t>BOOTSTRAP_0</t>
  </si>
  <si>
    <t xml:space="preserve">R784.2, R820.2, </t>
  </si>
  <si>
    <t>BOOT_RECOVERYB_P4E_SW_1_R1</t>
  </si>
  <si>
    <t xml:space="preserve">U31.420, R752.2, </t>
  </si>
  <si>
    <t>BOOT_RECOVERYB_P4E_SW_1</t>
  </si>
  <si>
    <t xml:space="preserve">R753.1, R752.1, R749.2, R978.2, Q12.1, </t>
  </si>
  <si>
    <t>BOOT_RECOVERYB_P4E_SW_0_R1</t>
  </si>
  <si>
    <t xml:space="preserve">U31.381, R751.2, </t>
  </si>
  <si>
    <t>BOOT_RECOVERYB_P4E_SW_0</t>
  </si>
  <si>
    <t xml:space="preserve">R754.1, R750.2, R751.1, R972.2, Q10.1, </t>
  </si>
  <si>
    <t>BOARD_REV_1</t>
  </si>
  <si>
    <t xml:space="preserve">U2.16, R1081.2, R1067.1, </t>
  </si>
  <si>
    <t>BOARD_REV_0</t>
  </si>
  <si>
    <t xml:space="preserve">U2.69, R1080.2, R1066.1, </t>
  </si>
  <si>
    <t>BOARD_ID_3</t>
  </si>
  <si>
    <t xml:space="preserve">U1.176, R1802.1, R122.2, </t>
  </si>
  <si>
    <t>BOARD_ID_2</t>
  </si>
  <si>
    <t xml:space="preserve">U1.229, R1801.1, R121.2, </t>
  </si>
  <si>
    <t>BOARD_ID_0</t>
  </si>
  <si>
    <t xml:space="preserve">U1.113, R120.2, R125.1, </t>
  </si>
  <si>
    <t>BIC_REMOTE_DEBUG_SELECT_N</t>
  </si>
  <si>
    <t xml:space="preserve">SW1.2, R124.2, R4733.1, R1421.1, R4422.1, R4413.1, </t>
  </si>
  <si>
    <t>BIC_READY_R</t>
  </si>
  <si>
    <t xml:space="preserve">U1.111, R111.2, R113.1, </t>
  </si>
  <si>
    <t>BIC_OCP_DISABLE_N</t>
  </si>
  <si>
    <t xml:space="preserve">R1726.2, R42.1, D9.1, D8.1, D7.1, D6.1, </t>
  </si>
  <si>
    <t>BIC_DISABLE_N</t>
  </si>
  <si>
    <t xml:space="preserve">U1.265, R123.2, CN4.2, </t>
  </si>
  <si>
    <t>AVDD_33_ZL30281</t>
  </si>
  <si>
    <t xml:space="preserve">U3.9, U3.16, U3.19, U3.22, U3.25, L3.2, </t>
  </si>
  <si>
    <t>AVDD_18_ZL30281</t>
  </si>
  <si>
    <t xml:space="preserve">U3.12, U3.13, U3.17, L2.2, C57.1, C56.1, </t>
  </si>
  <si>
    <t>AVD_1V8_PCIE_Q</t>
  </si>
  <si>
    <t xml:space="preserve">L9.1, L8.1, L7.1, L10.1, U31.47, U31.64, </t>
  </si>
  <si>
    <t>AVD_0V8_DCSU_R</t>
  </si>
  <si>
    <t xml:space="preserve">U31.1469, R871.1, C555.1, C554.1, C553.1, C552.1, </t>
  </si>
  <si>
    <t>AVD_0V8_DCSU_L</t>
  </si>
  <si>
    <t xml:space="preserve">R871.2, R1733.1, </t>
  </si>
  <si>
    <t>AUX_PWR_EN_R</t>
  </si>
  <si>
    <t xml:space="preserve">R6.2, R9.2, R11.1, CN1.12, </t>
  </si>
  <si>
    <t>AUX_PWR_EN</t>
  </si>
  <si>
    <t xml:space="preserve">U2.24, R6.1, </t>
  </si>
  <si>
    <t>SMB_M2_8_P1V8_DAT_R2</t>
  </si>
  <si>
    <t xml:space="preserve">U41.3, R926.1, R933.2, </t>
  </si>
  <si>
    <t>SMB_M2_6_P1V8_CLK_R2</t>
  </si>
  <si>
    <t xml:space="preserve">U39.2, R916.1, R928.2, </t>
  </si>
  <si>
    <t>SMB_M2_6_P1V8_DAT_R2</t>
  </si>
  <si>
    <t xml:space="preserve">U39.3, R918.1, R929.2, </t>
  </si>
  <si>
    <t>SMB_M2_5_P1V8_DAT_R2</t>
  </si>
  <si>
    <t xml:space="preserve">U38.3, R908.1, R915.2, </t>
  </si>
  <si>
    <t>SMB_M2_4_3V3SB_CLK_R1</t>
  </si>
  <si>
    <t xml:space="preserve">U37.7, R903.2, </t>
  </si>
  <si>
    <t>SMB_M2_2_P1V8_CLK_R2</t>
  </si>
  <si>
    <t xml:space="preserve">U35.2, R888.1, R896.2, </t>
  </si>
  <si>
    <t>SMB_REPEAT_SCL_R</t>
  </si>
  <si>
    <t xml:space="preserve">U174.2, R4520.1, R4522.2, </t>
  </si>
  <si>
    <t>SMB_REPEAT_DAT_R</t>
  </si>
  <si>
    <t xml:space="preserve">U174.3, R4521.1, R4523.2, </t>
  </si>
  <si>
    <t>SMB_REPEAT_DAT_R1</t>
  </si>
  <si>
    <t xml:space="preserve">U174.6, R4538.2, </t>
  </si>
  <si>
    <t>SMB_REPEAT_SCL_R1</t>
  </si>
  <si>
    <t xml:space="preserve">U174.7, R4537.2, </t>
  </si>
  <si>
    <t>UART_CP2108_M2_0_RX_R1</t>
  </si>
  <si>
    <t xml:space="preserve">U99.5, R4597.2, </t>
  </si>
  <si>
    <t>UART_CP2108_M2_0_TX_R1</t>
  </si>
  <si>
    <t xml:space="preserve">U99.4, R4595.2, </t>
  </si>
  <si>
    <t>DIR1_M2_9</t>
  </si>
  <si>
    <t xml:space="preserve">U107.10, R4692.2, </t>
  </si>
  <si>
    <t>UART_1V8_M2_3_TX_R</t>
  </si>
  <si>
    <t xml:space="preserve">U102.9, R1777.2, R4631.1, </t>
  </si>
  <si>
    <t>UART_LEVEL_SHIFT_M2_3_OE_R</t>
  </si>
  <si>
    <t xml:space="preserve">U102.2, R4635.1, </t>
  </si>
  <si>
    <t>UART_1V8_M2_2_TX_R</t>
  </si>
  <si>
    <t xml:space="preserve">U101.9, R1776.2, R4624.1, </t>
  </si>
  <si>
    <t>SSD1_UNUSED_A14</t>
  </si>
  <si>
    <t xml:space="preserve">JD8.14, R1135.1, </t>
  </si>
  <si>
    <t>SSD1_PRSNT_R_N</t>
  </si>
  <si>
    <t xml:space="preserve">JD8.12, R1127.1, R1130.2, </t>
  </si>
  <si>
    <t>SSD1_CLKREQ_N</t>
  </si>
  <si>
    <t xml:space="preserve">JD8.11, R1122.2, </t>
  </si>
  <si>
    <t>CLK_100M_SSD1_R_DP</t>
  </si>
  <si>
    <t xml:space="preserve">JD8.43, R1129.2, </t>
  </si>
  <si>
    <t>CLK_100M_SSD1_R_DN</t>
  </si>
  <si>
    <t xml:space="preserve">JD8.42, R1128.2, </t>
  </si>
  <si>
    <t>SMB_E1S_1_P3V3_R1_DAT</t>
  </si>
  <si>
    <t xml:space="preserve">JD8.8, R1124.1, </t>
  </si>
  <si>
    <t>SMB_E1S_1_P3V3_R1_CLK</t>
  </si>
  <si>
    <t xml:space="preserve">JD8.7, R1123.1, </t>
  </si>
  <si>
    <t>SSD1_DUALPORTEN_N</t>
  </si>
  <si>
    <t xml:space="preserve">JD8.37, R1121.2, </t>
  </si>
  <si>
    <t>P12V_E1S_1_L</t>
  </si>
  <si>
    <t>JD8.29, JD8.30, JD8.31, JD8.32, JD8.33, JD8.34, &lt;/p&gt;</t>
  </si>
  <si>
    <t>SSD0_CLKREQ_N</t>
  </si>
  <si>
    <t xml:space="preserve">JD7.11, R1096.2, </t>
  </si>
  <si>
    <t>SMB_E1S_0_P3V3_R1_DAT</t>
  </si>
  <si>
    <t xml:space="preserve">JD7.8, R1098.1, </t>
  </si>
  <si>
    <t>SMB_E1S_0_P3V3_R1_CLK</t>
  </si>
  <si>
    <t xml:space="preserve">JD7.7, R1097.1, </t>
  </si>
  <si>
    <t>SSD0_DUALPORTEN_N</t>
  </si>
  <si>
    <t xml:space="preserve">JD7.37, R1095.2, </t>
  </si>
  <si>
    <t>XTAL_25M_ZL30281_XB</t>
  </si>
  <si>
    <t xml:space="preserve">C71.1, R332.2, X1.3, </t>
  </si>
  <si>
    <t>CLK_100M_SSD1_DN</t>
  </si>
  <si>
    <t xml:space="preserve">R770.2, R1128.1, C502.2, </t>
  </si>
  <si>
    <t>CLK_100M_SSD1_DP</t>
  </si>
  <si>
    <t xml:space="preserve">R769.1, R1129.1, C500.2, </t>
  </si>
  <si>
    <t>CLK_100M_SSD0_DN</t>
  </si>
  <si>
    <t xml:space="preserve">R765.2, R1102.1, C499.2, </t>
  </si>
  <si>
    <t>CLK_100M_SSD0_DP</t>
  </si>
  <si>
    <t xml:space="preserve">R764.1, R1103.1, C495.2, </t>
  </si>
  <si>
    <t>HUB_XTAL_OUT</t>
  </si>
  <si>
    <t xml:space="preserve">OSC3.3, R1739.1, </t>
  </si>
  <si>
    <t>P3E_CPU_P4E_SW_1_RX_DN&lt;8&gt;</t>
  </si>
  <si>
    <t xml:space="preserve">U31.1130, C316.1, </t>
  </si>
  <si>
    <t>P3E_CPU_P4E_SW_1_RX_DP&lt;8&gt;</t>
  </si>
  <si>
    <t xml:space="preserve">U31.1131, C317.1, </t>
  </si>
  <si>
    <t>P3E_CPU_P4E_SW_1_RX_DN&lt;9&gt;</t>
  </si>
  <si>
    <t xml:space="preserve">U31.1168, C318.1, </t>
  </si>
  <si>
    <t>P3E_CPU_P4E_SW_1_RX_DP&lt;9&gt;</t>
  </si>
  <si>
    <t xml:space="preserve">U31.1169, C319.1, </t>
  </si>
  <si>
    <t>P3E_CPU_P4E_SW_1_RX_DN&lt;10&gt;</t>
  </si>
  <si>
    <t xml:space="preserve">U31.1208, C320.1, </t>
  </si>
  <si>
    <t>P3E_CPU_P4E_SW_1_RX_DP&lt;10&gt;</t>
  </si>
  <si>
    <t xml:space="preserve">U31.1209, C321.1, </t>
  </si>
  <si>
    <t>P3E_CPU_P4E_SW_1_RX_DN&lt;11&gt;</t>
  </si>
  <si>
    <t xml:space="preserve">U31.1246, C322.1, </t>
  </si>
  <si>
    <t>P3E_CPU_P4E_SW_1_RX_DP&lt;11&gt;</t>
  </si>
  <si>
    <t xml:space="preserve">U31.1247, C323.1, </t>
  </si>
  <si>
    <t>P3E_CPU_P4E_SW_1_RX_DN&lt;12&gt;</t>
  </si>
  <si>
    <t xml:space="preserve">U31.1286, C324.1, </t>
  </si>
  <si>
    <t>P3E_CPU_P4E_SW_1_RX_DP&lt;12&gt;</t>
  </si>
  <si>
    <t xml:space="preserve">U31.1287, C325.1, </t>
  </si>
  <si>
    <t>P3E_CPU_P4E_SW_1_RX_DN&lt;13&gt;</t>
  </si>
  <si>
    <t xml:space="preserve">U31.1324, C326.1, </t>
  </si>
  <si>
    <t>P3E_CPU_P4E_SW_1_RX_DP&lt;13&gt;</t>
  </si>
  <si>
    <t xml:space="preserve">U31.1325, C327.1, </t>
  </si>
  <si>
    <t>P3E_CPU_P4E_SW_1_RX_DN&lt;14&gt;</t>
  </si>
  <si>
    <t xml:space="preserve">U31.1364, C328.1, </t>
  </si>
  <si>
    <t>P3E_CPU_P4E_SW_1_RX_DP&lt;14&gt;</t>
  </si>
  <si>
    <t xml:space="preserve">U31.1365, C329.1, </t>
  </si>
  <si>
    <t>P3E_CPU_P4E_SW_1_RX_DN&lt;15&gt;</t>
  </si>
  <si>
    <t xml:space="preserve">U31.1402, C330.1, </t>
  </si>
  <si>
    <t>P3E_CPU_P4E_SW_1_RX_DP&lt;15&gt;</t>
  </si>
  <si>
    <t xml:space="preserve">U31.1403, C331.1, </t>
  </si>
  <si>
    <t>SPI_PESW_FLASH_CLK_R</t>
  </si>
  <si>
    <t xml:space="preserve">U31.1482, R831.2, </t>
  </si>
  <si>
    <t>SPI_PESW_FLASH_CSB_0_R</t>
  </si>
  <si>
    <t xml:space="preserve">U31.1518, R834.2, </t>
  </si>
  <si>
    <t>SPI_PESW_FLASH_DAT_1_R</t>
  </si>
  <si>
    <t xml:space="preserve">U31.1520, R839.2, </t>
  </si>
  <si>
    <t>SPI_PESW_FLASH_DAT_3_R</t>
  </si>
  <si>
    <t xml:space="preserve">U31.1521, R843.2, </t>
  </si>
  <si>
    <t>CLK_100M_CPU_SW_DP</t>
  </si>
  <si>
    <t xml:space="preserve">U31.194, R766.2, C496.2, </t>
  </si>
  <si>
    <t>CLK_100M_CPU_SW_DN</t>
  </si>
  <si>
    <t xml:space="preserve">U31.195, R766.1, C498.2, </t>
  </si>
  <si>
    <t>P3E_CPU_P4E_SW_0_RX_DN&lt;3&gt;</t>
  </si>
  <si>
    <t xml:space="preserve">U31.695, C450.1, </t>
  </si>
  <si>
    <t>P3E_CPU_P4E_SW_0_RX_DN&lt;1&gt;</t>
  </si>
  <si>
    <t xml:space="preserve">U31.697, C446.1, </t>
  </si>
  <si>
    <t>P3E_CPU_P4E_SW_0_RX_DP&lt;3&gt;</t>
  </si>
  <si>
    <t xml:space="preserve">U31.734, C451.1, </t>
  </si>
  <si>
    <t>P3E_CPU_P4E_SW_0_RX_DN&lt;2&gt;</t>
  </si>
  <si>
    <t xml:space="preserve">U31.735, C448.1, </t>
  </si>
  <si>
    <t>P3E_CPU_P4E_SW_0_RX_DP&lt;1&gt;</t>
  </si>
  <si>
    <t xml:space="preserve">U31.736, C447.1, </t>
  </si>
  <si>
    <t>P3E_CPU_P4E_SW_0_RX_DN&lt;0&gt;</t>
  </si>
  <si>
    <t xml:space="preserve">U31.737, C444.1, </t>
  </si>
  <si>
    <t>P3E_CPU_P4E_SW_0_RX_DP&lt;2&gt;</t>
  </si>
  <si>
    <t xml:space="preserve">U31.774, C449.1, </t>
  </si>
  <si>
    <t>P3E_CPU_P4E_SW_0_RX_DP&lt;0&gt;</t>
  </si>
  <si>
    <t xml:space="preserve">U31.776, C445.1, </t>
  </si>
  <si>
    <t>P3E_7_TX_DP&lt;2&gt;</t>
  </si>
  <si>
    <t xml:space="preserve">U31.26, C345.1, </t>
  </si>
  <si>
    <t>P3E_6_TX_DP&lt;0&gt;</t>
  </si>
  <si>
    <t xml:space="preserve">U31.28, C333.1, </t>
  </si>
  <si>
    <t>P3E_6_TX_DP&lt;2&gt;</t>
  </si>
  <si>
    <t xml:space="preserve">U31.30, C337.1, </t>
  </si>
  <si>
    <t>P3E_7_TX_DP&lt;1&gt;</t>
  </si>
  <si>
    <t xml:space="preserve">U31.805, C343.1, </t>
  </si>
  <si>
    <t>P3E_7_TX_DN&lt;2&gt;</t>
  </si>
  <si>
    <t xml:space="preserve">U31.806, C344.1, </t>
  </si>
  <si>
    <t>P3E_7_TX_DP&lt;3&gt;</t>
  </si>
  <si>
    <t xml:space="preserve">U31.807, C347.1, </t>
  </si>
  <si>
    <t>P3E_6_TX_DN&lt;0&gt;</t>
  </si>
  <si>
    <t xml:space="preserve">U31.808, C332.1, </t>
  </si>
  <si>
    <t>P3E_6_TX_DP&lt;1&gt;</t>
  </si>
  <si>
    <t xml:space="preserve">U31.809, C335.1, </t>
  </si>
  <si>
    <t>P3E_6_TX_DN&lt;2&gt;</t>
  </si>
  <si>
    <t xml:space="preserve">U31.810, C336.1, </t>
  </si>
  <si>
    <t>P3E_6_TX_DP&lt;3&gt;</t>
  </si>
  <si>
    <t xml:space="preserve">U31.811, C339.1, </t>
  </si>
  <si>
    <t>P3E_7_TX_DN&lt;1&gt;</t>
  </si>
  <si>
    <t xml:space="preserve">U31.844, C342.1, </t>
  </si>
  <si>
    <t>P3E_7_TX_DN&lt;3&gt;</t>
  </si>
  <si>
    <t xml:space="preserve">U31.846, C346.1, </t>
  </si>
  <si>
    <t>P3E_6_TX_DN&lt;1&gt;</t>
  </si>
  <si>
    <t xml:space="preserve">U31.848, C334.1, </t>
  </si>
  <si>
    <t>P3E_6_TX_DN&lt;3&gt;</t>
  </si>
  <si>
    <t xml:space="preserve">U31.850, C338.1, </t>
  </si>
  <si>
    <t>P3E_CPU_P4E_SW_0_RX_DN&lt;9&gt;</t>
  </si>
  <si>
    <t xml:space="preserve">U31.688, C462.1, </t>
  </si>
  <si>
    <t>P3E_CPU_P4E_SW_0_RX_DN&lt;7&gt;</t>
  </si>
  <si>
    <t xml:space="preserve">U31.691, C458.1, </t>
  </si>
  <si>
    <t>P3E_CPU_P4E_SW_0_RX_DN&lt;5&gt;</t>
  </si>
  <si>
    <t xml:space="preserve">U31.693, C454.1, </t>
  </si>
  <si>
    <t>P3E_CPU_P4E_SW_0_RX_DP&lt;9&gt;</t>
  </si>
  <si>
    <t xml:space="preserve">U31.727, C463.1, </t>
  </si>
  <si>
    <t>P3E_CPU_P4E_SW_0_RX_DN&lt;8&gt;</t>
  </si>
  <si>
    <t xml:space="preserve">U31.728, C460.1, </t>
  </si>
  <si>
    <t>P3E_CPU_P4E_SW_0_RX_DP&lt;7&gt;</t>
  </si>
  <si>
    <t xml:space="preserve">U31.730, C459.1, </t>
  </si>
  <si>
    <t>P3E_CPU_P4E_SW_0_RX_DN&lt;6&gt;</t>
  </si>
  <si>
    <t xml:space="preserve">U31.731, C456.1, </t>
  </si>
  <si>
    <t>P3E_CPU_P4E_SW_0_RX_DP&lt;5&gt;</t>
  </si>
  <si>
    <t xml:space="preserve">U31.732, C455.1, </t>
  </si>
  <si>
    <t>P3E_CPU_P4E_SW_0_RX_DN&lt;4&gt;</t>
  </si>
  <si>
    <t xml:space="preserve">U31.733, C452.1, </t>
  </si>
  <si>
    <t>P3E_CPU_P4E_SW_0_RX_DP&lt;8&gt;</t>
  </si>
  <si>
    <t xml:space="preserve">U31.767, C461.1, </t>
  </si>
  <si>
    <t>P3E_CPU_P4E_SW_0_RX_DP&lt;6&gt;</t>
  </si>
  <si>
    <t xml:space="preserve">U31.770, C457.1, </t>
  </si>
  <si>
    <t>P3E_CPU_P4E_SW_0_RX_DP&lt;4&gt;</t>
  </si>
  <si>
    <t xml:space="preserve">U31.772, C453.1, </t>
  </si>
  <si>
    <t>P3E_8_TX_DP&lt;1&gt;</t>
  </si>
  <si>
    <t xml:space="preserve">U31.17, C367.1, </t>
  </si>
  <si>
    <t>P3E_9_TX_DP&lt;3&gt;</t>
  </si>
  <si>
    <t xml:space="preserve">U31.19, C379.1, </t>
  </si>
  <si>
    <t>P3E_9_TX_DP&lt;1&gt;</t>
  </si>
  <si>
    <t xml:space="preserve">U31.21, C375.1, </t>
  </si>
  <si>
    <t>P3E_7_TX_DP&lt;0&gt;</t>
  </si>
  <si>
    <t xml:space="preserve">U31.24, C341.1, </t>
  </si>
  <si>
    <t>P3E_8_TX_DN&lt;1&gt;</t>
  </si>
  <si>
    <t xml:space="preserve">U31.797, C366.1, </t>
  </si>
  <si>
    <t>P3E_8_TX_DP&lt;0&gt;</t>
  </si>
  <si>
    <t xml:space="preserve">U31.798, C365.1, </t>
  </si>
  <si>
    <t>P3E_9_TX_DN&lt;3&gt;</t>
  </si>
  <si>
    <t xml:space="preserve">U31.799, C378.1, </t>
  </si>
  <si>
    <t>P3E_9_TX_DP&lt;2&gt;</t>
  </si>
  <si>
    <t xml:space="preserve">U31.800, C377.1, </t>
  </si>
  <si>
    <t>P3E_9_TX_DN&lt;1&gt;</t>
  </si>
  <si>
    <t xml:space="preserve">U31.801, C374.1, </t>
  </si>
  <si>
    <t>P3E_9_TX_DP&lt;0&gt;</t>
  </si>
  <si>
    <t xml:space="preserve">U31.802, C373.1, </t>
  </si>
  <si>
    <t>P3E_7_TX_DN&lt;0&gt;</t>
  </si>
  <si>
    <t xml:space="preserve">U31.804, C340.1, </t>
  </si>
  <si>
    <t>P3E_8_TX_DN&lt;0&gt;</t>
  </si>
  <si>
    <t xml:space="preserve">U31.837, C364.1, </t>
  </si>
  <si>
    <t>P3E_9_TX_DN&lt;2&gt;</t>
  </si>
  <si>
    <t xml:space="preserve">U31.839, C376.1, </t>
  </si>
  <si>
    <t>P3E_9_TX_DN&lt;0&gt;</t>
  </si>
  <si>
    <t xml:space="preserve">U31.841, C372.1, </t>
  </si>
  <si>
    <t>P3E_CPU_P4E_SW_0_RX_DN&lt;15&gt;</t>
  </si>
  <si>
    <t xml:space="preserve">U31.682, C474.1, </t>
  </si>
  <si>
    <t>P3E_CPU_P4E_SW_0_RX_DN&lt;13&gt;</t>
  </si>
  <si>
    <t xml:space="preserve">U31.684, C470.1, </t>
  </si>
  <si>
    <t>P3E_CPU_P4E_SW_0_RX_DN&lt;11&gt;</t>
  </si>
  <si>
    <t xml:space="preserve">U31.686, C466.1, </t>
  </si>
  <si>
    <t>P3E_CPU_P4E_SW_1_RX_DN&lt;0&gt;</t>
  </si>
  <si>
    <t xml:space="preserve">U31.719, C476.1, </t>
  </si>
  <si>
    <t>P3E_CPU_P4E_SW_0_RX_DP&lt;15&gt;</t>
  </si>
  <si>
    <t xml:space="preserve">U31.721, C475.1, </t>
  </si>
  <si>
    <t>P3E_CPU_P4E_SW_0_RX_DN&lt;14&gt;</t>
  </si>
  <si>
    <t xml:space="preserve">U31.722, C472.1, </t>
  </si>
  <si>
    <t>P3E_CPU_P4E_SW_0_RX_DP&lt;13&gt;</t>
  </si>
  <si>
    <t xml:space="preserve">U31.723, C471.1, </t>
  </si>
  <si>
    <t>P3E_CPU_P4E_SW_0_RX_DN&lt;12&gt;</t>
  </si>
  <si>
    <t xml:space="preserve">U31.724, C468.1, </t>
  </si>
  <si>
    <t>P3E_CPU_P4E_SW_0_RX_DP&lt;11&gt;</t>
  </si>
  <si>
    <t xml:space="preserve">U31.725, C467.1, </t>
  </si>
  <si>
    <t>P3E_CPU_P4E_SW_0_RX_DN&lt;10&gt;</t>
  </si>
  <si>
    <t xml:space="preserve">U31.726, C464.1, </t>
  </si>
  <si>
    <t>P3E_CPU_P4E_SW_1_RX_DP&lt;0&gt;</t>
  </si>
  <si>
    <t xml:space="preserve">U31.758, C477.1, </t>
  </si>
  <si>
    <t>P3E_CPU_P4E_SW_0_RX_DP&lt;14&gt;</t>
  </si>
  <si>
    <t xml:space="preserve">U31.761, C473.1, </t>
  </si>
  <si>
    <t>P3E_CPU_P4E_SW_0_RX_DP&lt;12&gt;</t>
  </si>
  <si>
    <t xml:space="preserve">U31.763, C469.1, </t>
  </si>
  <si>
    <t>P3E_CPU_P4E_SW_0_RX_DP&lt;10&gt;</t>
  </si>
  <si>
    <t xml:space="preserve">U31.765, C465.1, </t>
  </si>
  <si>
    <t>P3E_5_TX_DP&lt;3&gt;</t>
  </si>
  <si>
    <t xml:space="preserve">U31.10, C363.1, </t>
  </si>
  <si>
    <t>P3E_5_TX_DP&lt;1&gt;</t>
  </si>
  <si>
    <t xml:space="preserve">U31.12, C359.1, </t>
  </si>
  <si>
    <t>P3E_8_TX_DP&lt;3&gt;</t>
  </si>
  <si>
    <t xml:space="preserve">U31.15, C371.1, </t>
  </si>
  <si>
    <t>P3E_4_TX_DP&lt;0&gt;</t>
  </si>
  <si>
    <t xml:space="preserve">U31.789, C349.1, </t>
  </si>
  <si>
    <t>P3E_5_TX_DN&lt;3&gt;</t>
  </si>
  <si>
    <t xml:space="preserve">U31.790, C362.1, </t>
  </si>
  <si>
    <t>P3E_5_TX_DP&lt;2&gt;</t>
  </si>
  <si>
    <t xml:space="preserve">U31.791, C361.1, </t>
  </si>
  <si>
    <t>P3E_5_TX_DN&lt;1&gt;</t>
  </si>
  <si>
    <t xml:space="preserve">U31.792, C358.1, </t>
  </si>
  <si>
    <t>P3E_5_TX_DP&lt;0&gt;</t>
  </si>
  <si>
    <t xml:space="preserve">U31.793, C357.1, </t>
  </si>
  <si>
    <t>P3E_8_TX_DN&lt;3&gt;</t>
  </si>
  <si>
    <t xml:space="preserve">U31.795, C370.1, </t>
  </si>
  <si>
    <t>P3E_8_TX_DP&lt;2&gt;</t>
  </si>
  <si>
    <t xml:space="preserve">U31.796, C369.1, </t>
  </si>
  <si>
    <t>P3E_4_TX_DN&lt;0&gt;</t>
  </si>
  <si>
    <t xml:space="preserve">U31.828, C348.1, </t>
  </si>
  <si>
    <t>P3E_5_TX_DN&lt;2&gt;</t>
  </si>
  <si>
    <t xml:space="preserve">U31.830, C360.1, </t>
  </si>
  <si>
    <t>P3E_5_TX_DN&lt;0&gt;</t>
  </si>
  <si>
    <t xml:space="preserve">U31.832, C356.1, </t>
  </si>
  <si>
    <t>P3E_8_TX_DN&lt;2&gt;</t>
  </si>
  <si>
    <t xml:space="preserve">U31.835, C368.1, </t>
  </si>
  <si>
    <t>P3E_CPU_P4E_SW_1_RX_DN&lt;7&gt;</t>
  </si>
  <si>
    <t xml:space="preserve">U31.673, C490.1, </t>
  </si>
  <si>
    <t>P3E_CPU_P4E_SW_1_RX_DN&lt;5&gt;</t>
  </si>
  <si>
    <t xml:space="preserve">U31.675, C486.1, </t>
  </si>
  <si>
    <t>P3E_CPU_P4E_SW_1_RX_DN&lt;3&gt;</t>
  </si>
  <si>
    <t xml:space="preserve">U31.677, C482.1, </t>
  </si>
  <si>
    <t>P3E_CPU_P4E_SW_1_RX_DN&lt;1&gt;</t>
  </si>
  <si>
    <t xml:space="preserve">U31.679, C478.1, </t>
  </si>
  <si>
    <t>P3E_CPU_P4E_SW_1_RX_DP&lt;7&gt;</t>
  </si>
  <si>
    <t xml:space="preserve">U31.712, C491.1, </t>
  </si>
  <si>
    <t>P3E_CPU_P4E_SW_1_RX_DN&lt;6&gt;</t>
  </si>
  <si>
    <t xml:space="preserve">U31.713, C488.1, </t>
  </si>
  <si>
    <t>P3E_CPU_P4E_SW_1_RX_DP&lt;5&gt;</t>
  </si>
  <si>
    <t xml:space="preserve">U31.714, C487.1, </t>
  </si>
  <si>
    <t>P3E_CPU_P4E_SW_1_RX_DN&lt;4&gt;</t>
  </si>
  <si>
    <t xml:space="preserve">U31.715, C484.1, </t>
  </si>
  <si>
    <t>P3E_CPU_P4E_SW_1_RX_DP&lt;3&gt;</t>
  </si>
  <si>
    <t xml:space="preserve">U31.716, C483.1, </t>
  </si>
  <si>
    <t>P3E_CPU_P4E_SW_1_RX_DN&lt;2&gt;</t>
  </si>
  <si>
    <t xml:space="preserve">U31.717, C480.1, </t>
  </si>
  <si>
    <t>P3E_CPU_P4E_SW_1_RX_DP&lt;1&gt;</t>
  </si>
  <si>
    <t xml:space="preserve">U31.718, C479.1, </t>
  </si>
  <si>
    <t>P3E_CPU_P4E_SW_1_RX_DP&lt;6&gt;</t>
  </si>
  <si>
    <t xml:space="preserve">U31.752, C489.1, </t>
  </si>
  <si>
    <t>P3E_CPU_P4E_SW_1_RX_DP&lt;4&gt;</t>
  </si>
  <si>
    <t xml:space="preserve">U31.754, C485.1, </t>
  </si>
  <si>
    <t>P3E_CPU_P4E_SW_1_RX_DP&lt;2&gt;</t>
  </si>
  <si>
    <t xml:space="preserve">U31.756, C481.1, </t>
  </si>
  <si>
    <t>P3E_4_TX_DP&lt;3&gt;</t>
  </si>
  <si>
    <t xml:space="preserve">U31.6, C355.1, </t>
  </si>
  <si>
    <t>P3E_4_TX_DP&lt;1&gt;</t>
  </si>
  <si>
    <t xml:space="preserve">U31.8, C351.1, </t>
  </si>
  <si>
    <t>P3E_4_TX_DN&lt;3&gt;</t>
  </si>
  <si>
    <t xml:space="preserve">U31.786, C354.1, </t>
  </si>
  <si>
    <t>P3E_4_TX_DP&lt;2&gt;</t>
  </si>
  <si>
    <t xml:space="preserve">U31.787, C353.1, </t>
  </si>
  <si>
    <t>P3E_4_TX_DN&lt;1&gt;</t>
  </si>
  <si>
    <t xml:space="preserve">U31.788, C350.1, </t>
  </si>
  <si>
    <t>P3E_4_TX_DN&lt;2&gt;</t>
  </si>
  <si>
    <t xml:space="preserve">U31.826, C352.1, </t>
  </si>
  <si>
    <t>P3E_3_TX_DP&lt;0&gt;</t>
  </si>
  <si>
    <t xml:space="preserve">U31.938, C389.1, </t>
  </si>
  <si>
    <t>P3E_3_TX_DN&lt;0&gt;</t>
  </si>
  <si>
    <t xml:space="preserve">U31.939, C388.1, </t>
  </si>
  <si>
    <t>P3E_3_TX_DN&lt;1&gt;</t>
  </si>
  <si>
    <t xml:space="preserve">U31.977, C390.1, </t>
  </si>
  <si>
    <t>P3E_3_TX_DP&lt;2&gt;</t>
  </si>
  <si>
    <t xml:space="preserve">U31.1016, C393.1, </t>
  </si>
  <si>
    <t>P3E_3_TX_DN&lt;2&gt;</t>
  </si>
  <si>
    <t xml:space="preserve">U31.1017, C392.1, </t>
  </si>
  <si>
    <t>P3E_3_TX_DN&lt;3&gt;</t>
  </si>
  <si>
    <t xml:space="preserve">U31.1055, C394.1, </t>
  </si>
  <si>
    <t>P3E_2_TX_DP&lt;0&gt;</t>
  </si>
  <si>
    <t xml:space="preserve">U31.1094, C381.1, </t>
  </si>
  <si>
    <t>P3E_2_TX_DN&lt;0&gt;</t>
  </si>
  <si>
    <t xml:space="preserve">U31.1095, C380.1, </t>
  </si>
  <si>
    <t>P3E_2_TX_DN&lt;1&gt;</t>
  </si>
  <si>
    <t xml:space="preserve">U31.1133, C382.1, </t>
  </si>
  <si>
    <t>P3E_2_TX_DP&lt;2&gt;</t>
  </si>
  <si>
    <t xml:space="preserve">U31.1172, C385.1, </t>
  </si>
  <si>
    <t>P3E_2_TX_DN&lt;2&gt;</t>
  </si>
  <si>
    <t xml:space="preserve">U31.1173, C384.1, </t>
  </si>
  <si>
    <t>P3E_2_TX_DN&lt;3&gt;</t>
  </si>
  <si>
    <t xml:space="preserve">U31.1211, C386.1, </t>
  </si>
  <si>
    <t>P3E_PESW_SSD1_TX_DP&lt;3&gt;</t>
  </si>
  <si>
    <t xml:space="preserve">U31.1289, C397.1, </t>
  </si>
  <si>
    <t>P3E_PESW_SSD1_TX_DN&lt;3&gt;</t>
  </si>
  <si>
    <t xml:space="preserve">U31.1290, C396.1, </t>
  </si>
  <si>
    <t>P3E_PESW_SSD1_TX_DN&lt;2&gt;</t>
  </si>
  <si>
    <t xml:space="preserve">U31.1328, C398.1, </t>
  </si>
  <si>
    <t>P3E_PESW_SSD1_TX_DP&lt;1&gt;</t>
  </si>
  <si>
    <t xml:space="preserve">U31.1367, C401.1, </t>
  </si>
  <si>
    <t>P3E_PESW_SSD1_TX_DN&lt;1&gt;</t>
  </si>
  <si>
    <t xml:space="preserve">U31.1368, C400.1, </t>
  </si>
  <si>
    <t>P3E_PESW_SSD1_TX_DN&lt;0&gt;</t>
  </si>
  <si>
    <t xml:space="preserve">U31.1406, C402.1, </t>
  </si>
  <si>
    <t>P3E_PESW_SSD0_TX_DP&lt;3&gt;</t>
  </si>
  <si>
    <t xml:space="preserve">U31.1445, C405.1, </t>
  </si>
  <si>
    <t>P3E_PESW_SSD0_TX_DN&lt;3&gt;</t>
  </si>
  <si>
    <t xml:space="preserve">U31.1446, C404.1, </t>
  </si>
  <si>
    <t>P3E_PESW_SSD0_TX_DN&lt;2&gt;</t>
  </si>
  <si>
    <t xml:space="preserve">U31.1484, C406.1, </t>
  </si>
  <si>
    <t>P3E_PESW_SSD0_TX_DP&lt;1&gt;</t>
  </si>
  <si>
    <t xml:space="preserve">U31.41, C409.1, </t>
  </si>
  <si>
    <t>P3E_PESW_SSD0_TX_DN&lt;1&gt;</t>
  </si>
  <si>
    <t xml:space="preserve">U31.42, C408.1, </t>
  </si>
  <si>
    <t>P3E_PESW_SSD0_TX_DN&lt;0&gt;</t>
  </si>
  <si>
    <t xml:space="preserve">U31.80, C410.1, </t>
  </si>
  <si>
    <t>P3E_10_TX_DP&lt;3&gt;</t>
  </si>
  <si>
    <t xml:space="preserve">U31.158, C427.1, </t>
  </si>
  <si>
    <t>P3E_10_TX_DN&lt;3&gt;</t>
  </si>
  <si>
    <t xml:space="preserve">U31.159, C426.1, </t>
  </si>
  <si>
    <t>P3E_10_TX_DN&lt;2&gt;</t>
  </si>
  <si>
    <t xml:space="preserve">U31.197, C424.1, </t>
  </si>
  <si>
    <t>P3E_10_TX_DP&lt;1&gt;</t>
  </si>
  <si>
    <t xml:space="preserve">U31.236, C423.1, </t>
  </si>
  <si>
    <t>P3E_10_TX_DN&lt;1&gt;</t>
  </si>
  <si>
    <t xml:space="preserve">U31.237, C422.1, </t>
  </si>
  <si>
    <t>P3E_10_TX_DN&lt;0&gt;</t>
  </si>
  <si>
    <t xml:space="preserve">U31.275, C420.1, </t>
  </si>
  <si>
    <t>P3E_11_TX_DP&lt;3&gt;</t>
  </si>
  <si>
    <t xml:space="preserve">U31.314, C419.1, </t>
  </si>
  <si>
    <t>P3E_11_TX_DN&lt;3&gt;</t>
  </si>
  <si>
    <t xml:space="preserve">U31.315, C418.1, </t>
  </si>
  <si>
    <t>P3E_11_TX_DN&lt;2&gt;</t>
  </si>
  <si>
    <t xml:space="preserve">U31.353, C416.1, </t>
  </si>
  <si>
    <t>P3E_11_TX_DP&lt;1&gt;</t>
  </si>
  <si>
    <t xml:space="preserve">U31.392, C415.1, </t>
  </si>
  <si>
    <t>P3E_11_TX_DN&lt;1&gt;</t>
  </si>
  <si>
    <t xml:space="preserve">U31.393, C414.1, </t>
  </si>
  <si>
    <t>P3E_11_TX_DN&lt;0&gt;</t>
  </si>
  <si>
    <t xml:space="preserve">U31.431, C412.1, </t>
  </si>
  <si>
    <t>P3E_1_TX_DN&lt;2&gt;</t>
  </si>
  <si>
    <t xml:space="preserve">U31.666, C440.1, </t>
  </si>
  <si>
    <t>P3E_0_TX_DN&lt;0&gt;</t>
  </si>
  <si>
    <t xml:space="preserve">U31.668, C428.1, </t>
  </si>
  <si>
    <t>P3E_0_TX_DN&lt;2&gt;</t>
  </si>
  <si>
    <t xml:space="preserve">U31.670, C432.1, </t>
  </si>
  <si>
    <t>P3E_1_TX_DN&lt;1&gt;</t>
  </si>
  <si>
    <t xml:space="preserve">U31.704, C438.1, </t>
  </si>
  <si>
    <t>P3E_1_TX_DP&lt;2&gt;</t>
  </si>
  <si>
    <t xml:space="preserve">U31.705, C441.1, </t>
  </si>
  <si>
    <t>P3E_1_TX_DN&lt;3&gt;</t>
  </si>
  <si>
    <t xml:space="preserve">U31.706, C442.1, </t>
  </si>
  <si>
    <t>P3E_0_TX_DP&lt;0&gt;</t>
  </si>
  <si>
    <t xml:space="preserve">U31.707, C429.1, </t>
  </si>
  <si>
    <t>P3E_0_TX_DN&lt;1&gt;</t>
  </si>
  <si>
    <t xml:space="preserve">U31.708, C430.1, </t>
  </si>
  <si>
    <t>P3E_0_TX_DP&lt;2&gt;</t>
  </si>
  <si>
    <t xml:space="preserve">U31.709, C433.1, </t>
  </si>
  <si>
    <t>P3E_0_TX_DN&lt;3&gt;</t>
  </si>
  <si>
    <t xml:space="preserve">U31.710, C434.1, </t>
  </si>
  <si>
    <t>P3E_1_TX_DP&lt;1&gt;</t>
  </si>
  <si>
    <t xml:space="preserve">U31.743, C439.1, </t>
  </si>
  <si>
    <t>P3E_1_TX_DP&lt;3&gt;</t>
  </si>
  <si>
    <t xml:space="preserve">U31.745, C443.1, </t>
  </si>
  <si>
    <t>P3E_0_TX_DP&lt;1&gt;</t>
  </si>
  <si>
    <t xml:space="preserve">U31.747, C431.1, </t>
  </si>
  <si>
    <t>P3E_0_TX_DP&lt;3&gt;</t>
  </si>
  <si>
    <t xml:space="preserve">U31.749, C435.1, </t>
  </si>
  <si>
    <t>P3E_3_TX_DP&lt;1&gt;</t>
  </si>
  <si>
    <t xml:space="preserve">U31.976, C391.1, </t>
  </si>
  <si>
    <t>P3E_3_TX_DP&lt;3&gt;</t>
  </si>
  <si>
    <t xml:space="preserve">U31.1054, C395.1, </t>
  </si>
  <si>
    <t>P3E_2_TX_DP&lt;1&gt;</t>
  </si>
  <si>
    <t xml:space="preserve">U31.1132, C383.1, </t>
  </si>
  <si>
    <t>P3E_2_TX_DP&lt;3&gt;</t>
  </si>
  <si>
    <t xml:space="preserve">U31.1210, C387.1, </t>
  </si>
  <si>
    <t>P3E_PESW_SSD1_TX_DP&lt;2&gt;</t>
  </si>
  <si>
    <t xml:space="preserve">U31.1327, C399.1, </t>
  </si>
  <si>
    <t>P3E_PESW_SSD1_TX_DP&lt;0&gt;</t>
  </si>
  <si>
    <t xml:space="preserve">U31.1405, C403.1, </t>
  </si>
  <si>
    <t>P3E_PESW_SSD0_TX_DP&lt;2&gt;</t>
  </si>
  <si>
    <t xml:space="preserve">U31.1483, C407.1, </t>
  </si>
  <si>
    <t>P3E_PESW_SSD0_TX_DP&lt;0&gt;</t>
  </si>
  <si>
    <t xml:space="preserve">U31.79, C411.1, </t>
  </si>
  <si>
    <t>P3E_10_TX_DP&lt;2&gt;</t>
  </si>
  <si>
    <t xml:space="preserve">U31.196, C425.1, </t>
  </si>
  <si>
    <t>P3E_10_TX_DP&lt;0&gt;</t>
  </si>
  <si>
    <t xml:space="preserve">U31.274, C421.1, </t>
  </si>
  <si>
    <t>P3E_11_TX_DP&lt;2&gt;</t>
  </si>
  <si>
    <t xml:space="preserve">U31.352, C417.1, </t>
  </si>
  <si>
    <t>P3E_11_TX_DP&lt;0&gt;</t>
  </si>
  <si>
    <t xml:space="preserve">U31.430, C413.1, </t>
  </si>
  <si>
    <t>P3E_1_TX_DN&lt;0&gt;</t>
  </si>
  <si>
    <t xml:space="preserve">U31.664, C436.1, </t>
  </si>
  <si>
    <t>P3E_1_TX_DP&lt;0&gt;</t>
  </si>
  <si>
    <t xml:space="preserve">U31.703, C437.1, </t>
  </si>
  <si>
    <t>UART_M2_11_TX</t>
  </si>
  <si>
    <t xml:space="preserve">JD6.46, R735.1, R734.1, </t>
  </si>
  <si>
    <t>SMB_M2_11_P1V8_DAT_R</t>
  </si>
  <si>
    <t xml:space="preserve">JD6.42, R4308.2, </t>
  </si>
  <si>
    <t>USB2_M2_11_DN_R1</t>
  </si>
  <si>
    <t xml:space="preserve">JD6.36, R4411.2, </t>
  </si>
  <si>
    <t>USB2_M2_11_DP_R1</t>
  </si>
  <si>
    <t xml:space="preserve">JD6.34, R4410.2, </t>
  </si>
  <si>
    <t>RESERVED_M2_11_PLN_N</t>
  </si>
  <si>
    <t xml:space="preserve">JD6.8, R730.1, R727.2, </t>
  </si>
  <si>
    <t>PD_M2_11_PWRDIS</t>
  </si>
  <si>
    <t xml:space="preserve">JD6.6, R729.1, R726.2, </t>
  </si>
  <si>
    <t>UART_M2_10_TX</t>
  </si>
  <si>
    <t xml:space="preserve">JD6.121, R712.1, R711.1, </t>
  </si>
  <si>
    <t>SMB_M2_10_P1V8_DAT_R</t>
  </si>
  <si>
    <t xml:space="preserve">JD6.117, R4307.2, </t>
  </si>
  <si>
    <t>USB2_M2_10_DN_R1</t>
  </si>
  <si>
    <t xml:space="preserve">JD6.111, R4409.2, </t>
  </si>
  <si>
    <t>USB2_M2_10_DP_R1</t>
  </si>
  <si>
    <t xml:space="preserve">JD6.109, R4408.2, </t>
  </si>
  <si>
    <t>RESERVED_M2_10_PLN_N</t>
  </si>
  <si>
    <t xml:space="preserve">JD6.83, R707.1, R704.2, </t>
  </si>
  <si>
    <t>PD_M2_10_PWRDIS</t>
  </si>
  <si>
    <t xml:space="preserve">JD6.81, R706.1, R703.2, </t>
  </si>
  <si>
    <t>UART_M2_9_TX</t>
  </si>
  <si>
    <t xml:space="preserve">JD5.46, R689.1, R688.1, </t>
  </si>
  <si>
    <t>SMB_M2_9_P1V8_DAT_R</t>
  </si>
  <si>
    <t xml:space="preserve">JD5.42, R4306.2, </t>
  </si>
  <si>
    <t>USB2_M2_9_DN_R1</t>
  </si>
  <si>
    <t xml:space="preserve">JD5.36, R4407.2, </t>
  </si>
  <si>
    <t>USB2_M2_9_DP_R1</t>
  </si>
  <si>
    <t xml:space="preserve">JD5.34, R4406.2, </t>
  </si>
  <si>
    <t>RESERVED_M2_9_PLN_N</t>
  </si>
  <si>
    <t xml:space="preserve">JD5.8, R684.1, R681.2, </t>
  </si>
  <si>
    <t>PD_M2_9_PWRDIS</t>
  </si>
  <si>
    <t xml:space="preserve">JD5.6, R683.1, R680.2, </t>
  </si>
  <si>
    <t>UART_M2_8_RX</t>
  </si>
  <si>
    <t xml:space="preserve">JD5.123, R668.1, R667.1, </t>
  </si>
  <si>
    <t>UART_M2_8_TX</t>
  </si>
  <si>
    <t xml:space="preserve">JD5.121, R666.1, R665.1, </t>
  </si>
  <si>
    <t>SMB_M2_8_P1V8_DAT_R</t>
  </si>
  <si>
    <t xml:space="preserve">JD5.117, R4305.2, </t>
  </si>
  <si>
    <t>USB2_M2_8_DN_R1</t>
  </si>
  <si>
    <t xml:space="preserve">JD5.111, R4405.2, </t>
  </si>
  <si>
    <t>USB2_M2_8_DP_R1</t>
  </si>
  <si>
    <t xml:space="preserve">JD5.109, R4404.2, </t>
  </si>
  <si>
    <t>RESERVED_M2_8_PLN_N</t>
  </si>
  <si>
    <t xml:space="preserve">JD5.83, R661.1, R658.2, </t>
  </si>
  <si>
    <t>PD_M2_8_PWRDIS</t>
  </si>
  <si>
    <t xml:space="preserve">JD5.81, R660.1, R657.2, </t>
  </si>
  <si>
    <t>SMB_M2_7_P1V8_DAT_R</t>
  </si>
  <si>
    <t xml:space="preserve">JD4.42, R4304.2, </t>
  </si>
  <si>
    <t>USB2_M2_7_DN_R1</t>
  </si>
  <si>
    <t xml:space="preserve">JD4.36, R4403.2, </t>
  </si>
  <si>
    <t>USB2_M2_7_DP_R1</t>
  </si>
  <si>
    <t xml:space="preserve">JD4.34, R4402.2, </t>
  </si>
  <si>
    <t>RESERVED_M2_7_PLN_N</t>
  </si>
  <si>
    <t xml:space="preserve">JD4.8, R638.1, R635.2, </t>
  </si>
  <si>
    <t>UART_M2_6_TX</t>
  </si>
  <si>
    <t xml:space="preserve">JD4.121, R620.1, R619.1, </t>
  </si>
  <si>
    <t>SMB_M2_6_P1V8_DAT_R</t>
  </si>
  <si>
    <t xml:space="preserve">JD4.117, R4303.2, </t>
  </si>
  <si>
    <t>USB2_M2_6_DN_R1</t>
  </si>
  <si>
    <t xml:space="preserve">JD4.111, R4401.2, </t>
  </si>
  <si>
    <t>USB2_M2_6_DP_R1</t>
  </si>
  <si>
    <t xml:space="preserve">JD4.109, R4400.2, </t>
  </si>
  <si>
    <t>RESERVED_M2_6_PLN_N</t>
  </si>
  <si>
    <t xml:space="preserve">JD4.83, R615.1, R612.2, </t>
  </si>
  <si>
    <t>PD_M2_6_PWRDIS</t>
  </si>
  <si>
    <t xml:space="preserve">JD4.81, R614.1, R611.2, </t>
  </si>
  <si>
    <t>SMB_M2_5_P1V8_DAT_R</t>
  </si>
  <si>
    <t xml:space="preserve">JD3.42, R4302.2, </t>
  </si>
  <si>
    <t>USB2_M2_5_DN_R1</t>
  </si>
  <si>
    <t xml:space="preserve">JD3.36, R4399.2, </t>
  </si>
  <si>
    <t>USB2_M2_5_DP_R1</t>
  </si>
  <si>
    <t xml:space="preserve">JD3.34, R4398.2, </t>
  </si>
  <si>
    <t>PD_M2_5_PWRDIS</t>
  </si>
  <si>
    <t xml:space="preserve">JD3.6, R591.1, R588.2, </t>
  </si>
  <si>
    <t>SMB_M2_4_P1V8_DAT_R</t>
  </si>
  <si>
    <t xml:space="preserve">JD3.117, R4301.2, </t>
  </si>
  <si>
    <t>USB2_M2_4_DN_R1</t>
  </si>
  <si>
    <t xml:space="preserve">JD3.111, R4397.2, </t>
  </si>
  <si>
    <t>USB2_M2_4_DP_R1</t>
  </si>
  <si>
    <t xml:space="preserve">JD3.109, R4396.2, </t>
  </si>
  <si>
    <t>M2_4_LED</t>
  </si>
  <si>
    <t xml:space="preserve">JD3.85, R567.2, </t>
  </si>
  <si>
    <t>RESERVED_M2_4_PLN_N</t>
  </si>
  <si>
    <t xml:space="preserve">JD3.83, R569.1, R566.2, </t>
  </si>
  <si>
    <t>PD_M2_4_PWRDIS</t>
  </si>
  <si>
    <t xml:space="preserve">JD3.81, R568.1, R565.2, </t>
  </si>
  <si>
    <t>M2_3_VIO_CFG</t>
  </si>
  <si>
    <t xml:space="preserve">JD2.73, R555.2, </t>
  </si>
  <si>
    <t>SMB_M2_3_P1V8_DAT_R</t>
  </si>
  <si>
    <t xml:space="preserve">JD2.42, R4300.2, </t>
  </si>
  <si>
    <t>USB2_M2_3_DN_R1</t>
  </si>
  <si>
    <t xml:space="preserve">JD2.36, R4395.2, </t>
  </si>
  <si>
    <t>USB2_M2_3_DP_R1</t>
  </si>
  <si>
    <t xml:space="preserve">JD2.34, R4394.2, </t>
  </si>
  <si>
    <t>RESERVED_M2_3_PLN_N</t>
  </si>
  <si>
    <t xml:space="preserve">JD2.8, R546.1, R543.2, </t>
  </si>
  <si>
    <t>PD_M2_3_PWRDIS</t>
  </si>
  <si>
    <t xml:space="preserve">JD2.6, R545.1, R542.2, </t>
  </si>
  <si>
    <t>SMB_M2_2_P1V8_DAT_R</t>
  </si>
  <si>
    <t xml:space="preserve">JD2.117, R4299.2, </t>
  </si>
  <si>
    <t>USB2_M2_2_DN_R1</t>
  </si>
  <si>
    <t xml:space="preserve">JD2.111, R4393.2, </t>
  </si>
  <si>
    <t>USB2_M2_2_DP_R1</t>
  </si>
  <si>
    <t xml:space="preserve">JD2.109, R4392.2, </t>
  </si>
  <si>
    <t>RESERVED_M2_2_PLN_N</t>
  </si>
  <si>
    <t xml:space="preserve">JD2.83, R523.1, R520.2, </t>
  </si>
  <si>
    <t>PD_M2_2_PWRDIS</t>
  </si>
  <si>
    <t xml:space="preserve">JD2.81, R522.1, R519.2, </t>
  </si>
  <si>
    <t>SMB_M2_1_P1V8_DAT_R</t>
  </si>
  <si>
    <t xml:space="preserve">JD1.42, R4298.2, </t>
  </si>
  <si>
    <t>USB2_M2_1_DN_R1</t>
  </si>
  <si>
    <t xml:space="preserve">JD1.36, R4391.2, </t>
  </si>
  <si>
    <t>USB2_M2_1_DP_R1</t>
  </si>
  <si>
    <t xml:space="preserve">JD1.34, R4390.2, </t>
  </si>
  <si>
    <t>PU_M2_1_PLA_S3_N</t>
  </si>
  <si>
    <t xml:space="preserve">JD1.30, R503.2, </t>
  </si>
  <si>
    <t>RESERVED_M2_1_PLN_N</t>
  </si>
  <si>
    <t xml:space="preserve">JD1.8, R500.1, R497.2, </t>
  </si>
  <si>
    <t>M2_0_VIO_CFG</t>
  </si>
  <si>
    <t xml:space="preserve">JD1.148, R486.2, </t>
  </si>
  <si>
    <t>SMB_M2_0_P1V8_DAT_R</t>
  </si>
  <si>
    <t xml:space="preserve">JD1.117, R4297.2, </t>
  </si>
  <si>
    <t>USB2_M2_0_DN_R1</t>
  </si>
  <si>
    <t xml:space="preserve">JD1.111, R4389.2, </t>
  </si>
  <si>
    <t>USB2_M2_0_DP_R1</t>
  </si>
  <si>
    <t xml:space="preserve">JD1.109, R4388.2, </t>
  </si>
  <si>
    <t>RESERVED_M2_0_PLN_N</t>
  </si>
  <si>
    <t xml:space="preserve">JD1.83, R477.1, R474.2, </t>
  </si>
  <si>
    <t>PD_M2_0_PWRDIS</t>
  </si>
  <si>
    <t xml:space="preserve">JD1.81, R476.1, R473.2, </t>
  </si>
  <si>
    <t>HUB_XTAL_OUT_R</t>
  </si>
  <si>
    <t xml:space="preserve">U153.1, R1739.2, </t>
  </si>
  <si>
    <t>USB2_JTAG_DN_R2</t>
  </si>
  <si>
    <t xml:space="preserve">U153.6, R1708.2, </t>
  </si>
  <si>
    <t>USB2_JTAG_DP_R2</t>
  </si>
  <si>
    <t xml:space="preserve">U153.7, R1709.2, </t>
  </si>
  <si>
    <t>P0V84_SB1</t>
  </si>
  <si>
    <t xml:space="preserve">PR211.1, PC210.2, </t>
  </si>
  <si>
    <t>SPI_PESW_FLASH_DAT_2_R1</t>
  </si>
  <si>
    <t xml:space="preserve">SKT1.3, U56.3, R1149.2, </t>
  </si>
  <si>
    <t>SPI_PESW_FLASH_DAT_1_R1</t>
  </si>
  <si>
    <t xml:space="preserve">SKT1.2, U56.2, R1147.2, </t>
  </si>
  <si>
    <t>SPI_PESW_FLASH_DAT_0_R1</t>
  </si>
  <si>
    <t xml:space="preserve">SKT1.5, U56.5, R1150.1, </t>
  </si>
  <si>
    <t>SPI_PESW_FLASH_DAT_3_R1</t>
  </si>
  <si>
    <t xml:space="preserve">SKT1.7, U56.7, R1148.1, </t>
  </si>
  <si>
    <t>HUB3_X2_R</t>
  </si>
  <si>
    <t xml:space="preserve">X4.3, R1245.1, </t>
  </si>
  <si>
    <t>HUB2_X2_R</t>
  </si>
  <si>
    <t xml:space="preserve">X3.3, R1209.2, </t>
  </si>
  <si>
    <t>HUB1_X2_R</t>
  </si>
  <si>
    <t xml:space="preserve">X2.3, R1169.2, </t>
  </si>
  <si>
    <t>USB2_M2_0_DN_R</t>
  </si>
  <si>
    <t xml:space="preserve">U61.3, R1247.1, </t>
  </si>
  <si>
    <t>USB2_M2_0_DP_R</t>
  </si>
  <si>
    <t xml:space="preserve">U61.4, R1248.1, </t>
  </si>
  <si>
    <t>USB2_M2_2_DN_R</t>
  </si>
  <si>
    <t xml:space="preserve">U61.9, R1249.1, </t>
  </si>
  <si>
    <t>USB2_M2_2_DP_R</t>
  </si>
  <si>
    <t xml:space="preserve">U61.10, R1250.1, </t>
  </si>
  <si>
    <t>USB2_M2_4_DN_R</t>
  </si>
  <si>
    <t xml:space="preserve">U61.12, R1251.1, </t>
  </si>
  <si>
    <t>USB2_M2_4_DP_R</t>
  </si>
  <si>
    <t xml:space="preserve">U61.13, R1252.1, </t>
  </si>
  <si>
    <t>HUB3_CLK12</t>
  </si>
  <si>
    <t xml:space="preserve">U61.18, R1246.2, C872.1, </t>
  </si>
  <si>
    <t>USB2_M2_6_DN_R</t>
  </si>
  <si>
    <t xml:space="preserve">U61.22, R1254.1, </t>
  </si>
  <si>
    <t>USB2_M2_6_DP_R</t>
  </si>
  <si>
    <t xml:space="preserve">U61.23, R1257.1, </t>
  </si>
  <si>
    <t>USB2_M2_8_DN_R</t>
  </si>
  <si>
    <t xml:space="preserve">U61.24, R1259.1, </t>
  </si>
  <si>
    <t>USB2_M2_8_DP_R</t>
  </si>
  <si>
    <t xml:space="preserve">U61.25, R1261.1, </t>
  </si>
  <si>
    <t>USB2_M2_10_DN_R</t>
  </si>
  <si>
    <t xml:space="preserve">U61.27, R1263.1, </t>
  </si>
  <si>
    <t>USB2_M2_10_DP_R</t>
  </si>
  <si>
    <t xml:space="preserve">U61.28, R1265.1, </t>
  </si>
  <si>
    <t>USB2_CP2108_2_DN_R</t>
  </si>
  <si>
    <t xml:space="preserve">U61.29, R1687.1, </t>
  </si>
  <si>
    <t>USB2_CP2108_2_DP_R</t>
  </si>
  <si>
    <t xml:space="preserve">U61.30, R1688.1, </t>
  </si>
  <si>
    <t>HUB2_PGANG1</t>
  </si>
  <si>
    <t xml:space="preserve">U60.52, R1233.2, </t>
  </si>
  <si>
    <t>USB2_CP2108_3_OC_N</t>
  </si>
  <si>
    <t xml:space="preserve">U60.53, R1222.2, </t>
  </si>
  <si>
    <t>USB2_CP2108_2_OC_N</t>
  </si>
  <si>
    <t xml:space="preserve">U60.55, R1219.2, </t>
  </si>
  <si>
    <t>USB_HUB2_DN_COLAYOUT</t>
  </si>
  <si>
    <t xml:space="preserve">U60.1, R1636.2, R1635.2, </t>
  </si>
  <si>
    <t>USB_HUB2_DP_COLAYOUT</t>
  </si>
  <si>
    <t xml:space="preserve">U60.2, R1638.2, R1637.2, </t>
  </si>
  <si>
    <t>USB2_CP2108_1_DN_R</t>
  </si>
  <si>
    <t xml:space="preserve">U60.3, R1211.1, </t>
  </si>
  <si>
    <t>USB2_CP2108_1_DP_R</t>
  </si>
  <si>
    <t xml:space="preserve">U60.4, R1212.1, </t>
  </si>
  <si>
    <t>USB2_JTAG_DN_R</t>
  </si>
  <si>
    <t xml:space="preserve">U60.9, R1213.1, </t>
  </si>
  <si>
    <t>USB2_JTAG_DP_R</t>
  </si>
  <si>
    <t xml:space="preserve">U60.10, R1214.1, </t>
  </si>
  <si>
    <t>USB2_CP2108_3_DN_R</t>
  </si>
  <si>
    <t xml:space="preserve">U60.12, R1215.1, </t>
  </si>
  <si>
    <t>USB2_CP2108_3_DP_R</t>
  </si>
  <si>
    <t xml:space="preserve">U60.13, R1216.1, </t>
  </si>
  <si>
    <t>HUB2_CLK12MO</t>
  </si>
  <si>
    <t xml:space="preserve">U60.33, C859.1, </t>
  </si>
  <si>
    <t>HUB2_CLK12</t>
  </si>
  <si>
    <t xml:space="preserve">U60.18, R1210.2, C860.1, </t>
  </si>
  <si>
    <t>USB2_HUB1_DN_R</t>
  </si>
  <si>
    <t xml:space="preserve">U60.22, R1191.1, </t>
  </si>
  <si>
    <t>USB2_HUB1_DP_R</t>
  </si>
  <si>
    <t xml:space="preserve">U60.23, R1194.1, </t>
  </si>
  <si>
    <t>USB2_BIC_R_DN_R</t>
  </si>
  <si>
    <t xml:space="preserve">U60.24, R1218.1, </t>
  </si>
  <si>
    <t>USB2_BIC_R_DP_R</t>
  </si>
  <si>
    <t xml:space="preserve">U60.25, R1221.1, </t>
  </si>
  <si>
    <t>USB2_HUB3_DN_R</t>
  </si>
  <si>
    <t xml:space="preserve">U60.27, R1223.1, </t>
  </si>
  <si>
    <t>USB2_HUB3_DP_R</t>
  </si>
  <si>
    <t xml:space="preserve">U60.28, R1225.1, </t>
  </si>
  <si>
    <t>USB2_CP2108_4_DN_R</t>
  </si>
  <si>
    <t xml:space="preserve">U60.29, R1610.1, </t>
  </si>
  <si>
    <t>USB2_CP2108_4_DP_R</t>
  </si>
  <si>
    <t xml:space="preserve">U60.30, R1611.1, </t>
  </si>
  <si>
    <t>USB_HUB1_DN_COLAYOUT</t>
  </si>
  <si>
    <t xml:space="preserve">U59.1, R1632.2, R1631.2, </t>
  </si>
  <si>
    <t>USB_HUB1_DP_COLAYOUT</t>
  </si>
  <si>
    <t xml:space="preserve">U59.2, R1634.2, R1633.2, </t>
  </si>
  <si>
    <t>USB2_M2_1_DN_R</t>
  </si>
  <si>
    <t xml:space="preserve">U59.3, R1171.1, </t>
  </si>
  <si>
    <t>USB2_M2_1_DP_R</t>
  </si>
  <si>
    <t xml:space="preserve">U59.4, R1172.1, </t>
  </si>
  <si>
    <t>USB2_M2_3_DN_R</t>
  </si>
  <si>
    <t xml:space="preserve">U59.9, R1173.1, </t>
  </si>
  <si>
    <t>USB2_M2_3_DP_R</t>
  </si>
  <si>
    <t xml:space="preserve">U59.10, R1174.1, </t>
  </si>
  <si>
    <t>USB2_M2_5_DN_R</t>
  </si>
  <si>
    <t xml:space="preserve">U59.12, R1175.1, </t>
  </si>
  <si>
    <t>USB2_M2_5_DP_R</t>
  </si>
  <si>
    <t xml:space="preserve">U59.13, R1176.1, </t>
  </si>
  <si>
    <t>USB2_M2_7_DN_R</t>
  </si>
  <si>
    <t xml:space="preserve">U59.22, R1178.1, </t>
  </si>
  <si>
    <t>USB2_M2_7_DP_R</t>
  </si>
  <si>
    <t xml:space="preserve">U59.23, R1181.1, </t>
  </si>
  <si>
    <t>USB2_M2_9_DN_R</t>
  </si>
  <si>
    <t xml:space="preserve">U59.24, R1183.1, </t>
  </si>
  <si>
    <t>USB2_M2_9_DP_R</t>
  </si>
  <si>
    <t xml:space="preserve">U59.25, R1185.1, </t>
  </si>
  <si>
    <t>USB2_HUB2_DN_R</t>
  </si>
  <si>
    <t xml:space="preserve">U59.27, R1639.1, </t>
  </si>
  <si>
    <t>USB2_HUB2_DP_R</t>
  </si>
  <si>
    <t xml:space="preserve">U59.28, R1640.1, </t>
  </si>
  <si>
    <t>USB2_M2_11_DN_R</t>
  </si>
  <si>
    <t xml:space="preserve">U59.29, R1187.1, </t>
  </si>
  <si>
    <t>USB2_M2_11_DP_R</t>
  </si>
  <si>
    <t xml:space="preserve">U59.30, R1189.1, </t>
  </si>
  <si>
    <t>SMB_SENSOR_FRU_DAT_R1</t>
  </si>
  <si>
    <t xml:space="preserve">U5.5, R423.1, </t>
  </si>
  <si>
    <t>CLK_100M_DB1200_M2_10_DP</t>
  </si>
  <si>
    <t xml:space="preserve">U4.59, R403.1, </t>
  </si>
  <si>
    <t>CLK_100M_DB1200_M2_10_DN</t>
  </si>
  <si>
    <t xml:space="preserve">U4.60, R407.1, </t>
  </si>
  <si>
    <t>CLK_100M_DB1200_M2_11_DP</t>
  </si>
  <si>
    <t xml:space="preserve">U4.63, R411.1, </t>
  </si>
  <si>
    <t>CLK_100M_DB1200_M2_11_DN</t>
  </si>
  <si>
    <t xml:space="preserve">U4.64, R415.1, </t>
  </si>
  <si>
    <t>CLK_100M_DB1200_M2_4_DN</t>
  </si>
  <si>
    <t xml:space="preserve">U4.35, R383.1, </t>
  </si>
  <si>
    <t>CLK_100M_DB1200_M2_5_DP</t>
  </si>
  <si>
    <t xml:space="preserve">U4.38, R387.1, </t>
  </si>
  <si>
    <t>CLK_100M_DB1200_M2_5_DN</t>
  </si>
  <si>
    <t xml:space="preserve">U4.39, R391.1, </t>
  </si>
  <si>
    <t>CLK_100M_DB1200_M2_6_DP</t>
  </si>
  <si>
    <t xml:space="preserve">U4.42, R394.1, </t>
  </si>
  <si>
    <t>CLK_100M_DB1200_M2_6_DN</t>
  </si>
  <si>
    <t xml:space="preserve">U4.43, R398.1, </t>
  </si>
  <si>
    <t>CLK_100M_DB1200_M2_7_DP</t>
  </si>
  <si>
    <t xml:space="preserve">U4.46, R402.1, </t>
  </si>
  <si>
    <t>CLK_100M_DB1200_M2_7_DN</t>
  </si>
  <si>
    <t xml:space="preserve">U4.47, R406.1, </t>
  </si>
  <si>
    <t>CLK_100M_DB1200_M2_8_DP</t>
  </si>
  <si>
    <t xml:space="preserve">U4.50, R410.1, </t>
  </si>
  <si>
    <t>CLK_100M_DB1200_M2_8_DN</t>
  </si>
  <si>
    <t xml:space="preserve">U4.51, R414.1, </t>
  </si>
  <si>
    <t>CLK_100M_DB1200_M2_9_DP</t>
  </si>
  <si>
    <t xml:space="preserve">U4.54, R395.1, </t>
  </si>
  <si>
    <t>CLK_100M_DB1200_M2_9_DN</t>
  </si>
  <si>
    <t xml:space="preserve">U4.55, R399.1, </t>
  </si>
  <si>
    <t>CLK_100M_DB1200_M2_0_DP</t>
  </si>
  <si>
    <t xml:space="preserve">U4.17, R370.1, </t>
  </si>
  <si>
    <t>CLK_100M_DB1200_M2_0_DN</t>
  </si>
  <si>
    <t xml:space="preserve">U4.18, R374.1, </t>
  </si>
  <si>
    <t>CLK_100M_DB1200_M2_1_DP</t>
  </si>
  <si>
    <t xml:space="preserve">U4.21, R378.1, </t>
  </si>
  <si>
    <t>CLK_100M_DB1200_M2_1_DN</t>
  </si>
  <si>
    <t xml:space="preserve">U4.22, R382.1, </t>
  </si>
  <si>
    <t>CLK_100M_DB1200_M2_2_DP</t>
  </si>
  <si>
    <t xml:space="preserve">U4.26, R386.1, </t>
  </si>
  <si>
    <t>CLK_100M_DB1200_M2_2_DN</t>
  </si>
  <si>
    <t xml:space="preserve">U4.27, R390.1, </t>
  </si>
  <si>
    <t>CLK_100M_DB1200_M2_3_DP</t>
  </si>
  <si>
    <t xml:space="preserve">U4.30, R371.1, </t>
  </si>
  <si>
    <t>CLK_100M_DB1200_M2_3_DN</t>
  </si>
  <si>
    <t xml:space="preserve">U4.31, R375.1, </t>
  </si>
  <si>
    <t>CLK_100M_DB1200_M2_4_DP</t>
  </si>
  <si>
    <t xml:space="preserve">U4.34, R379.1, </t>
  </si>
  <si>
    <t>CLK_100M_PESW_D_DP</t>
  </si>
  <si>
    <t xml:space="preserve">U3.24, C73.1, </t>
  </si>
  <si>
    <t>CLK_100M_PESW_D_DN</t>
  </si>
  <si>
    <t xml:space="preserve">U3.23, C72.1, </t>
  </si>
  <si>
    <t>P3V3_CPLD_M2_1_EN_R</t>
  </si>
  <si>
    <t xml:space="preserve">U2.30, R167.2, </t>
  </si>
  <si>
    <t>SMB_M2_6_ALERT_LVC_N_R</t>
  </si>
  <si>
    <t xml:space="preserve">U2.12, R188.2, R202.2, </t>
  </si>
  <si>
    <t>SMB_BIC_CPLD_M2_4/5_DAT_R2</t>
  </si>
  <si>
    <t xml:space="preserve">U2.218, R1795.2, </t>
  </si>
  <si>
    <t>VSENSE_P3V3_SSD1_INA233_INN</t>
  </si>
  <si>
    <t xml:space="preserve">U55.9, R1143.2, C829.2, </t>
  </si>
  <si>
    <t>VSENSE_P3V3_SSD1_INA233_INP</t>
  </si>
  <si>
    <t xml:space="preserve">U55.10, R1142.2, C829.1, </t>
  </si>
  <si>
    <t>VSENSE_P3V3_SSD0_INA233_INN</t>
  </si>
  <si>
    <t xml:space="preserve">U54.9, R1117.2, C823.2, </t>
  </si>
  <si>
    <t>VSENSE_P3V3_SSD0_INA233_INP</t>
  </si>
  <si>
    <t xml:space="preserve">U54.10, R1116.2, C823.1, </t>
  </si>
  <si>
    <t>SMB_M2_11_3V3SB_DAT_R3</t>
  </si>
  <si>
    <t xml:space="preserve">U30.4, R744.1, </t>
  </si>
  <si>
    <t>VSENSE_P3V3_M2_11_INA233_INN</t>
  </si>
  <si>
    <t xml:space="preserve">U30.9, R746.2, C315.2, </t>
  </si>
  <si>
    <t>VSENSE_P3V3_M2_11_INA233_INP</t>
  </si>
  <si>
    <t xml:space="preserve">U30.10, R745.2, C315.1, </t>
  </si>
  <si>
    <t>VSENSE_P3V3_M2_10_INA233_INN</t>
  </si>
  <si>
    <t xml:space="preserve">U29.9, R723.2, C303.2, </t>
  </si>
  <si>
    <t>VSENSE_P3V3_M2_10_INA233_INP</t>
  </si>
  <si>
    <t xml:space="preserve">U29.10, R722.2, C303.1, </t>
  </si>
  <si>
    <t>PU_INA233_M2_9_A0</t>
  </si>
  <si>
    <t xml:space="preserve">U28.2, R701.2, </t>
  </si>
  <si>
    <t>SMB_M2_9_INA233_ALRT_N_R</t>
  </si>
  <si>
    <t xml:space="preserve">U28.3, R696.1, R695.1, </t>
  </si>
  <si>
    <t>SMB_M2_9_3V3SB_DAT_R3</t>
  </si>
  <si>
    <t xml:space="preserve">U28.4, R698.1, </t>
  </si>
  <si>
    <t>SMB_M2_9_3V3SB_CLK_R3</t>
  </si>
  <si>
    <t xml:space="preserve">U28.5, R697.1, </t>
  </si>
  <si>
    <t>VSENSE_P3V3_M2_9_INA233_INN</t>
  </si>
  <si>
    <t xml:space="preserve">U28.9, R700.2, C291.2, </t>
  </si>
  <si>
    <t>VSENSE_P3V3_M2_9_INA233_INP</t>
  </si>
  <si>
    <t xml:space="preserve">U28.10, R699.2, C291.1, </t>
  </si>
  <si>
    <t>SMB_M2_8_INA233_ALRT_N_R</t>
  </si>
  <si>
    <t xml:space="preserve">U27.3, R673.1, R672.1, </t>
  </si>
  <si>
    <t>SMB_M2_8_3V3SB_DAT_R3</t>
  </si>
  <si>
    <t xml:space="preserve">U27.4, R675.1, </t>
  </si>
  <si>
    <t>VSENSE_P3V3_M2_8_INA233_INN</t>
  </si>
  <si>
    <t xml:space="preserve">U27.9, R677.2, C279.2, </t>
  </si>
  <si>
    <t>VSENSE_P3V3_M2_8_INA233_INP</t>
  </si>
  <si>
    <t xml:space="preserve">U27.10, R676.2, C279.1, </t>
  </si>
  <si>
    <t>SMB_M2_7_3V3SB_DAT_R3</t>
  </si>
  <si>
    <t xml:space="preserve">U26.4, R652.1, </t>
  </si>
  <si>
    <t>VSENSE_P3V3_M2_7_INA233_INN</t>
  </si>
  <si>
    <t xml:space="preserve">U26.9, R654.2, C267.2, </t>
  </si>
  <si>
    <t>VSENSE_P3V3_M2_7_INA233_INP</t>
  </si>
  <si>
    <t xml:space="preserve">U26.10, R653.2, C267.1, </t>
  </si>
  <si>
    <t>SMB_M2_6_3V3SB_DAT_R3</t>
  </si>
  <si>
    <t xml:space="preserve">U25.4, R629.1, </t>
  </si>
  <si>
    <t>VSENSE_P3V3_M2_6_INA233_INN</t>
  </si>
  <si>
    <t xml:space="preserve">U25.9, R631.2, C255.2, </t>
  </si>
  <si>
    <t>VSENSE_P3V3_M2_6_INA233_INP</t>
  </si>
  <si>
    <t xml:space="preserve">U25.10, R630.2, C255.1, </t>
  </si>
  <si>
    <t>SMB_M2_5_3V3SB_DAT_R3</t>
  </si>
  <si>
    <t xml:space="preserve">U24.4, R606.1, </t>
  </si>
  <si>
    <t>VSENSE_P3V3_M2_5_INA233_INN</t>
  </si>
  <si>
    <t xml:space="preserve">U24.9, R608.2, C243.2, </t>
  </si>
  <si>
    <t>VSENSE_P3V3_M2_5_INA233_INP</t>
  </si>
  <si>
    <t xml:space="preserve">U24.10, R607.2, C243.1, </t>
  </si>
  <si>
    <t>SMB_M2_4_3V3SB_DAT_R3</t>
  </si>
  <si>
    <t xml:space="preserve">U23.4, R583.1, </t>
  </si>
  <si>
    <t>VSENSE_P3V3_M2_4_INA233_INN</t>
  </si>
  <si>
    <t xml:space="preserve">U23.9, R585.2, C231.2, </t>
  </si>
  <si>
    <t>VSENSE_P3V3_M2_4_INA233_INP</t>
  </si>
  <si>
    <t xml:space="preserve">U23.10, R584.2, C231.1, </t>
  </si>
  <si>
    <t>SMB_M2_3_3V3SB_DAT_R3</t>
  </si>
  <si>
    <t xml:space="preserve">U22.4, R560.1, </t>
  </si>
  <si>
    <t>VSENSE_P3V3_M2_3_INA233_INN</t>
  </si>
  <si>
    <t xml:space="preserve">U22.9, R562.2, C219.2, </t>
  </si>
  <si>
    <t>VSENSE_P3V3_M2_3_INA233_INP</t>
  </si>
  <si>
    <t xml:space="preserve">U22.10, R561.2, C219.1, </t>
  </si>
  <si>
    <t>SMB_M2_2_3V3SB_DAT_R3</t>
  </si>
  <si>
    <t xml:space="preserve">U21.4, R537.1, </t>
  </si>
  <si>
    <t>VSENSE_P3V3_M2_2_INA233_INN</t>
  </si>
  <si>
    <t xml:space="preserve">U21.9, R539.2, C207.2, </t>
  </si>
  <si>
    <t>VSENSE_P3V3_M2_2_INA233_INP</t>
  </si>
  <si>
    <t xml:space="preserve">U21.10, R538.2, C207.1, </t>
  </si>
  <si>
    <t>PU_INA233_M2_1_A0</t>
  </si>
  <si>
    <t xml:space="preserve">U20.2, R517.2, </t>
  </si>
  <si>
    <t>SMB_M2_1_3V3SB_DAT_R3</t>
  </si>
  <si>
    <t xml:space="preserve">U20.4, R514.1, </t>
  </si>
  <si>
    <t>VSENSE_P3V3_M2_1_INA233_INN</t>
  </si>
  <si>
    <t xml:space="preserve">U20.9, R516.2, C195.2, </t>
  </si>
  <si>
    <t>VSENSE_P3V3_M2_1_INA233_INP</t>
  </si>
  <si>
    <t xml:space="preserve">U20.10, R515.2, C195.1, </t>
  </si>
  <si>
    <t>SMB_M2_0_INA233_ALRT_N_R</t>
  </si>
  <si>
    <t xml:space="preserve">U19.3, R489.1, R488.1, </t>
  </si>
  <si>
    <t>SMB_M2_0_3V3SB_DAT_R3</t>
  </si>
  <si>
    <t xml:space="preserve">U19.4, R491.1, </t>
  </si>
  <si>
    <t>VSENSE_P3V3_M2_0_INA233_INN</t>
  </si>
  <si>
    <t xml:space="preserve">U19.9, R493.2, C183.2, </t>
  </si>
  <si>
    <t>VSENSE_P3V3_M2_0_INA233_INP</t>
  </si>
  <si>
    <t xml:space="preserve">U19.10, R492.2, C183.1, </t>
  </si>
  <si>
    <t>P3V3_M2_2_SR</t>
  </si>
  <si>
    <t xml:space="preserve">U9.5, C107.1, </t>
  </si>
  <si>
    <t>P3V3_M2_2_BLEED</t>
  </si>
  <si>
    <t xml:space="preserve">U9.7, R445.1, </t>
  </si>
  <si>
    <t>P3V3_M2_1_SR</t>
  </si>
  <si>
    <t xml:space="preserve">U8.5, C100.1, </t>
  </si>
  <si>
    <t>P3V3_M2_0_BLEED</t>
  </si>
  <si>
    <t xml:space="preserve">U7.7, R439.1, </t>
  </si>
  <si>
    <t>P12V_E1S_0_BLEED</t>
  </si>
  <si>
    <t xml:space="preserve">U50.7, R1084.1, </t>
  </si>
  <si>
    <t>P3V3_M2_10_SR</t>
  </si>
  <si>
    <t xml:space="preserve">U17.5, C163.1, </t>
  </si>
  <si>
    <t>PWRGD_P3V3_M2_10_R</t>
  </si>
  <si>
    <t xml:space="preserve">U17.6, R468.1, R467.2, </t>
  </si>
  <si>
    <t>P3V3_M2_8_SR</t>
  </si>
  <si>
    <t xml:space="preserve">U15.5, C149.1, </t>
  </si>
  <si>
    <t>P3V3_M2_7_SR</t>
  </si>
  <si>
    <t xml:space="preserve">U14.5, C142.1, </t>
  </si>
  <si>
    <t>P3V3_M2_6_SR</t>
  </si>
  <si>
    <t xml:space="preserve">U13.5, C135.1, </t>
  </si>
  <si>
    <t>P3V3_M2_3_BLEED</t>
  </si>
  <si>
    <t xml:space="preserve">U10.7, R448.1, </t>
  </si>
  <si>
    <t>CLK_25M_MINIBMC_CLKIN_R</t>
  </si>
  <si>
    <t xml:space="preserve">U1.95, R117.2, </t>
  </si>
  <si>
    <t>USB2_BIC_DN</t>
  </si>
  <si>
    <t xml:space="preserve">U1.37, R99.1, </t>
  </si>
  <si>
    <t>USB2_BIC_DP</t>
  </si>
  <si>
    <t xml:space="preserve">U1.56, R101.1, </t>
  </si>
  <si>
    <t>CLK2_100M_MB_DP</t>
  </si>
  <si>
    <t xml:space="preserve">R22.2, CN3.15, </t>
  </si>
  <si>
    <t>CLK2_100M_MB_DN</t>
  </si>
  <si>
    <t xml:space="preserve">R20.2, CN3.14, </t>
  </si>
  <si>
    <t>HUB1_CLK12MO_C</t>
  </si>
  <si>
    <t xml:space="preserve">R1170.1, C847.2, </t>
  </si>
  <si>
    <t>VSENSE_P3V3_M2_11_INA233_R_INN</t>
  </si>
  <si>
    <t xml:space="preserve">R746.1, G24.2, </t>
  </si>
  <si>
    <t>VSENSE_P3V3_M2_11_INA233_R_INP</t>
  </si>
  <si>
    <t xml:space="preserve">R745.1, G23.2, </t>
  </si>
  <si>
    <t>VSENSE_P3V3_M2_10_INA233_R_INN</t>
  </si>
  <si>
    <t xml:space="preserve">R723.1, G22.2, </t>
  </si>
  <si>
    <t>VSENSE_P3V3_M2_10_INA233_R_INP</t>
  </si>
  <si>
    <t xml:space="preserve">R722.1, G21.2, </t>
  </si>
  <si>
    <t>VSENSE_P3V3_M2_9_INA233_R_INN</t>
  </si>
  <si>
    <t xml:space="preserve">R700.1, G20.2, </t>
  </si>
  <si>
    <t>VSENSE_P3V3_M2_9_INA233_R_INP</t>
  </si>
  <si>
    <t xml:space="preserve">R699.1, G19.2, </t>
  </si>
  <si>
    <t>VSENSE_P3V3_M2_8_INA233_R_INN</t>
  </si>
  <si>
    <t xml:space="preserve">R677.1, G18.2, </t>
  </si>
  <si>
    <t>VSENSE_P3V3_M2_8_INA233_R_INP</t>
  </si>
  <si>
    <t xml:space="preserve">R676.1, G17.2, </t>
  </si>
  <si>
    <t>VSENSE_P3V3_M2_7_INA233_R_INN</t>
  </si>
  <si>
    <t xml:space="preserve">R654.1, G16.2, </t>
  </si>
  <si>
    <t>VSENSE_P3V3_M2_7_INA233_R_INP</t>
  </si>
  <si>
    <t xml:space="preserve">R653.1, G15.2, </t>
  </si>
  <si>
    <t>VSENSE_P3V3_M2_6_INA233_R_INN</t>
  </si>
  <si>
    <t xml:space="preserve">R631.1, G14.2, </t>
  </si>
  <si>
    <t>VSENSE_P3V3_M2_6_INA233_R_INP</t>
  </si>
  <si>
    <t xml:space="preserve">R630.1, G13.2, </t>
  </si>
  <si>
    <t>VSENSE_P3V3_M2_5_INA233_R_INN</t>
  </si>
  <si>
    <t xml:space="preserve">R608.1, G12.2, </t>
  </si>
  <si>
    <t>VSENSE_P3V3_M2_5_INA233_R_INP</t>
  </si>
  <si>
    <t xml:space="preserve">R607.1, G11.2, </t>
  </si>
  <si>
    <t>VSENSE_P3V3_M2_4_INA233_R_INN</t>
  </si>
  <si>
    <t xml:space="preserve">R585.1, G10.2, </t>
  </si>
  <si>
    <t>VSENSE_P3V3_M2_4_INA233_R_INP</t>
  </si>
  <si>
    <t xml:space="preserve">R584.1, G9.2, </t>
  </si>
  <si>
    <t>VSENSE_P3V3_M2_3_INA233_R_INN</t>
  </si>
  <si>
    <t xml:space="preserve">R562.1, G8.2, </t>
  </si>
  <si>
    <t>VSENSE_P3V3_M2_3_INA233_R_INP</t>
  </si>
  <si>
    <t xml:space="preserve">R561.1, G7.2, </t>
  </si>
  <si>
    <t>VSENSE_P3V3_M2_2_INA233_R_INN</t>
  </si>
  <si>
    <t xml:space="preserve">R539.1, G6.2, </t>
  </si>
  <si>
    <t>VSENSE_P3V3_M2_2_INA233_R_INP</t>
  </si>
  <si>
    <t xml:space="preserve">R538.1, G5.2, </t>
  </si>
  <si>
    <t>VSENSE_P3V3_M2_1_INA233_R_INN</t>
  </si>
  <si>
    <t xml:space="preserve">R516.1, G4.2, </t>
  </si>
  <si>
    <t>VSENSE_P3V3_M2_1_INA233_R_INP</t>
  </si>
  <si>
    <t xml:space="preserve">R515.1, G3.2, </t>
  </si>
  <si>
    <t>VSENSE_P3V3_M2_0_INA233_R_INN</t>
  </si>
  <si>
    <t xml:space="preserve">R493.1, G2.2, </t>
  </si>
  <si>
    <t>VSENSE_P3V3_M2_0_INA233_R_INP</t>
  </si>
  <si>
    <t xml:space="preserve">R492.1, G1.2, </t>
  </si>
  <si>
    <t>UART_CP2108_M2_0_RX</t>
  </si>
  <si>
    <t xml:space="preserve">R4597.1, R1651.2, </t>
  </si>
  <si>
    <t>BOOTSTRAP_4</t>
  </si>
  <si>
    <t xml:space="preserve">R781.2, R853.2, </t>
  </si>
  <si>
    <t>USB_HUB_DP_R</t>
  </si>
  <si>
    <t xml:space="preserve">R15.1, CN1.139, </t>
  </si>
  <si>
    <t>USB_HUB_DN_R</t>
  </si>
  <si>
    <t xml:space="preserve">R13.1, CN1.138, </t>
  </si>
  <si>
    <t>CLK_25M_MINIBMC_CLKIN</t>
  </si>
  <si>
    <t xml:space="preserve">R117.1, OSC1.3, </t>
  </si>
  <si>
    <t>BOOTSTRAP_8</t>
  </si>
  <si>
    <t xml:space="preserve">R788.2, R847.2, </t>
  </si>
  <si>
    <t>BOOTSTRAP_14_PD</t>
  </si>
  <si>
    <t xml:space="preserve">R1456.2, CN7.3, </t>
  </si>
  <si>
    <t>BOOTSTRAP_14_PU</t>
  </si>
  <si>
    <t xml:space="preserve">R1455.2, CN7.1, </t>
  </si>
  <si>
    <t>BOOTSTRAP_1_PU</t>
  </si>
  <si>
    <t xml:space="preserve">R1454.2, CN6.1, </t>
  </si>
  <si>
    <t>BOOTSTRAP_1_PD</t>
  </si>
  <si>
    <t xml:space="preserve">R1453.2, CN6.3, </t>
  </si>
  <si>
    <t>P1V8_BOOT_R</t>
  </si>
  <si>
    <t xml:space="preserve">PR45.2, PC85.2, </t>
  </si>
  <si>
    <t>PU_25M_BMC_CLK_EN_R</t>
  </si>
  <si>
    <t xml:space="preserve">R116.2, OSC1.1, </t>
  </si>
  <si>
    <t>P1V8_FB_RC</t>
  </si>
  <si>
    <t xml:space="preserve">PR56.2, PC96.1, </t>
  </si>
  <si>
    <t>NC_2989</t>
  </si>
  <si>
    <t xml:space="preserve">H19.1, </t>
  </si>
  <si>
    <t>NC_2990</t>
  </si>
  <si>
    <t xml:space="preserve">H18.1, </t>
  </si>
  <si>
    <t>NC_3263</t>
  </si>
  <si>
    <t xml:space="preserve">H5.1, </t>
  </si>
  <si>
    <t>NC_3264</t>
  </si>
  <si>
    <t xml:space="preserve">H5.2, </t>
  </si>
  <si>
    <t>NC_3265</t>
  </si>
  <si>
    <t xml:space="preserve">H4.1, </t>
  </si>
  <si>
    <t>NC_3266</t>
  </si>
  <si>
    <t xml:space="preserve">H4.2, </t>
  </si>
  <si>
    <t>NC_3267</t>
  </si>
  <si>
    <t xml:space="preserve">H3.1, </t>
  </si>
  <si>
    <t>NC_3268</t>
  </si>
  <si>
    <t xml:space="preserve">H3.2, </t>
  </si>
  <si>
    <t>NC_3269</t>
  </si>
  <si>
    <t xml:space="preserve">H12.1, </t>
  </si>
  <si>
    <t>NC_3270</t>
  </si>
  <si>
    <t xml:space="preserve">H12.2, </t>
  </si>
  <si>
    <t>NC_3271</t>
  </si>
  <si>
    <t xml:space="preserve">H9.1, </t>
  </si>
  <si>
    <t>NC_3272</t>
  </si>
  <si>
    <t xml:space="preserve">H9.2, </t>
  </si>
  <si>
    <t>NC_3273</t>
  </si>
  <si>
    <t xml:space="preserve">H8.1, </t>
  </si>
  <si>
    <t>NC_3274</t>
  </si>
  <si>
    <t xml:space="preserve">H8.2, </t>
  </si>
  <si>
    <t>NC_3275</t>
  </si>
  <si>
    <t xml:space="preserve">H7.1, </t>
  </si>
  <si>
    <t>NC_3276</t>
  </si>
  <si>
    <t xml:space="preserve">H7.2, </t>
  </si>
  <si>
    <t>NC_3277</t>
  </si>
  <si>
    <t xml:space="preserve">H6.1, </t>
  </si>
  <si>
    <t>NC_3278</t>
  </si>
  <si>
    <t xml:space="preserve">H6.2, </t>
  </si>
  <si>
    <t>NC_3279</t>
  </si>
  <si>
    <t xml:space="preserve">H2.1, </t>
  </si>
  <si>
    <t>NC_3280</t>
  </si>
  <si>
    <t xml:space="preserve">H2.2, </t>
  </si>
  <si>
    <t>NC_3281</t>
  </si>
  <si>
    <t xml:space="preserve">H11.1, </t>
  </si>
  <si>
    <t>NC_3282</t>
  </si>
  <si>
    <t xml:space="preserve">H11.2, </t>
  </si>
  <si>
    <t>NC_3283</t>
  </si>
  <si>
    <t xml:space="preserve">H10.1, </t>
  </si>
  <si>
    <t>NC_3284</t>
  </si>
  <si>
    <t xml:space="preserve">H10.2, </t>
  </si>
  <si>
    <t>NC_3285</t>
  </si>
  <si>
    <t xml:space="preserve">H1.1, </t>
  </si>
  <si>
    <t>NC_3286</t>
  </si>
  <si>
    <t xml:space="preserve">H1.2, </t>
  </si>
  <si>
    <t>USB_5V_DP_R2</t>
  </si>
  <si>
    <t xml:space="preserve">SKT2.13, R1786.1, </t>
  </si>
  <si>
    <t>USB_5V_DN_R2</t>
  </si>
  <si>
    <t xml:space="preserve">SKT2.12, R1787.1, </t>
  </si>
  <si>
    <t>USB_5V_DN_R1</t>
  </si>
  <si>
    <t xml:space="preserve">SKT2.5, R1159.1, </t>
  </si>
  <si>
    <t>USB_5V_DP_R1</t>
  </si>
  <si>
    <t xml:space="preserve">SKT2.4, R1158.1, </t>
  </si>
  <si>
    <t>P3E_PESW_SSD1_RX_DP&lt;3&gt;</t>
  </si>
  <si>
    <t xml:space="preserve">JD8.27, U31.1293, </t>
  </si>
  <si>
    <t>P3E_PESW_SSD1_RX_DN&lt;3&gt;</t>
  </si>
  <si>
    <t xml:space="preserve">JD8.26, U31.1294, </t>
  </si>
  <si>
    <t>P3E_PESW_SSD1_RX_DP&lt;2&gt;</t>
  </si>
  <si>
    <t xml:space="preserve">JD8.24, U31.1331, </t>
  </si>
  <si>
    <t>P3E_PESW_SSD1_TX_C_DP&lt;3&gt;</t>
  </si>
  <si>
    <t xml:space="preserve">JD8.55, C397.2, </t>
  </si>
  <si>
    <t>P3E_PESW_SSD1_TX_C_DN&lt;3&gt;</t>
  </si>
  <si>
    <t xml:space="preserve">JD8.54, C396.2, </t>
  </si>
  <si>
    <t>P3E_PESW_SSD1_TX_C_DP&lt;2&gt;</t>
  </si>
  <si>
    <t xml:space="preserve">JD8.52, C399.2, </t>
  </si>
  <si>
    <t>P3E_PESW_SSD1_RX_DN&lt;2&gt;</t>
  </si>
  <si>
    <t xml:space="preserve">JD8.23, U31.1332, </t>
  </si>
  <si>
    <t>P3E_PESW_SSD1_RX_DP&lt;1&gt;</t>
  </si>
  <si>
    <t xml:space="preserve">JD8.21, U31.1371, </t>
  </si>
  <si>
    <t>P3E_PESW_SSD1_RX_DN&lt;1&gt;</t>
  </si>
  <si>
    <t xml:space="preserve">JD8.20, U31.1372, </t>
  </si>
  <si>
    <t>P3E_PESW_SSD1_RX_DP&lt;0&gt;</t>
  </si>
  <si>
    <t xml:space="preserve">JD8.18, U31.1409, </t>
  </si>
  <si>
    <t>P3E_PESW_SSD1_RX_DN&lt;0&gt;</t>
  </si>
  <si>
    <t xml:space="preserve">JD8.17, U31.1410, </t>
  </si>
  <si>
    <t>P3E_PESW_SSD1_TX_C_DN&lt;2&gt;</t>
  </si>
  <si>
    <t xml:space="preserve">JD8.51, C398.2, </t>
  </si>
  <si>
    <t>P3E_PESW_SSD1_TX_C_DP&lt;1&gt;</t>
  </si>
  <si>
    <t xml:space="preserve">JD8.49, C401.2, </t>
  </si>
  <si>
    <t>P3E_PESW_SSD1_TX_C_DN&lt;1&gt;</t>
  </si>
  <si>
    <t xml:space="preserve">JD8.48, C400.2, </t>
  </si>
  <si>
    <t>P3E_PESW_SSD1_TX_C_DP&lt;0&gt;</t>
  </si>
  <si>
    <t xml:space="preserve">JD8.46, C403.2, </t>
  </si>
  <si>
    <t>P3E_PESW_SSD1_TX_C_DN&lt;0&gt;</t>
  </si>
  <si>
    <t xml:space="preserve">JD8.45, C402.2, </t>
  </si>
  <si>
    <t>P3E_PESW_SSD0_RX_DP&lt;3&gt;</t>
  </si>
  <si>
    <t xml:space="preserve">JD7.27, U31.1449, </t>
  </si>
  <si>
    <t>P3E_PESW_SSD0_RX_DN&lt;3&gt;</t>
  </si>
  <si>
    <t xml:space="preserve">JD7.26, U31.1450, </t>
  </si>
  <si>
    <t>P3E_PESW_SSD0_RX_DP&lt;2&gt;</t>
  </si>
  <si>
    <t xml:space="preserve">JD7.24, U31.1487, </t>
  </si>
  <si>
    <t>P3E_PESW_SSD0_TX_C_DP&lt;3&gt;</t>
  </si>
  <si>
    <t xml:space="preserve">JD7.55, C405.2, </t>
  </si>
  <si>
    <t>P3E_PESW_SSD0_TX_C_DN&lt;3&gt;</t>
  </si>
  <si>
    <t xml:space="preserve">JD7.54, C404.2, </t>
  </si>
  <si>
    <t>P3E_PESW_SSD0_TX_C_DP&lt;2&gt;</t>
  </si>
  <si>
    <t xml:space="preserve">JD7.52, C407.2, </t>
  </si>
  <si>
    <t>P3E_PESW_SSD0_RX_DN&lt;2&gt;</t>
  </si>
  <si>
    <t xml:space="preserve">JD7.23, U31.1488, </t>
  </si>
  <si>
    <t>P3E_PESW_SSD0_RX_DP&lt;1&gt;</t>
  </si>
  <si>
    <t xml:space="preserve">JD7.21, U31.45, </t>
  </si>
  <si>
    <t>P3E_PESW_SSD0_RX_DN&lt;1&gt;</t>
  </si>
  <si>
    <t xml:space="preserve">JD7.20, U31.46, </t>
  </si>
  <si>
    <t>P3E_PESW_SSD0_RX_DP&lt;0&gt;</t>
  </si>
  <si>
    <t xml:space="preserve">JD7.18, U31.83, </t>
  </si>
  <si>
    <t>P3E_PESW_SSD0_RX_DN&lt;0&gt;</t>
  </si>
  <si>
    <t xml:space="preserve">JD7.17, U31.84, </t>
  </si>
  <si>
    <t>P3E_PESW_SSD0_TX_C_DN&lt;2&gt;</t>
  </si>
  <si>
    <t xml:space="preserve">JD7.51, C406.2, </t>
  </si>
  <si>
    <t>P3E_PESW_SSD0_TX_C_DP&lt;1&gt;</t>
  </si>
  <si>
    <t xml:space="preserve">JD7.49, C409.2, </t>
  </si>
  <si>
    <t>P3E_PESW_SSD0_TX_C_DN&lt;1&gt;</t>
  </si>
  <si>
    <t xml:space="preserve">JD7.48, C408.2, </t>
  </si>
  <si>
    <t>P3E_PESW_SSD0_TX_C_DP&lt;0&gt;</t>
  </si>
  <si>
    <t xml:space="preserve">JD7.46, C411.2, </t>
  </si>
  <si>
    <t>P3E_PESW_SSD0_TX_C_DN&lt;0&gt;</t>
  </si>
  <si>
    <t xml:space="preserve">JD7.45, C410.2, </t>
  </si>
  <si>
    <t>CLK_100M_SSD0_R_DP</t>
  </si>
  <si>
    <t xml:space="preserve">JD7.43, R1103.2, </t>
  </si>
  <si>
    <t>CLK_100M_SSD0_R_DN</t>
  </si>
  <si>
    <t xml:space="preserve">JD7.42, R1102.2, </t>
  </si>
  <si>
    <t>AVD_1V8_PCIE_Q_C14</t>
  </si>
  <si>
    <t xml:space="preserve">U31.1124, C628.1, </t>
  </si>
  <si>
    <t>P3E_CPU_P4E_SW_1_TX_DN&lt;8&gt;</t>
  </si>
  <si>
    <t xml:space="preserve">U31.1126, CN1.39, </t>
  </si>
  <si>
    <t>P3E_CPU_P4E_SW_1_TX_DP&lt;8&gt;</t>
  </si>
  <si>
    <t xml:space="preserve">U31.1127, CN1.40, </t>
  </si>
  <si>
    <t>P3E_CPU_P4E_SW_1_TX_DN&lt;9&gt;</t>
  </si>
  <si>
    <t xml:space="preserve">U31.1164, CN1.36, </t>
  </si>
  <si>
    <t>P3E_CPU_P4E_SW_1_TX_DP&lt;9&gt;</t>
  </si>
  <si>
    <t xml:space="preserve">U31.1165, CN1.37, </t>
  </si>
  <si>
    <t>P3E_CPU_P4E_SW_1_TX_DN&lt;10&gt;</t>
  </si>
  <si>
    <t xml:space="preserve">U31.1204, CN1.33, </t>
  </si>
  <si>
    <t>P3E_CPU_P4E_SW_1_TX_DP&lt;10&gt;</t>
  </si>
  <si>
    <t xml:space="preserve">U31.1205, CN1.34, </t>
  </si>
  <si>
    <t>AVD_1V8_PCIE_Q_C3</t>
  </si>
  <si>
    <t xml:space="preserve">U31.1241, C610.1, </t>
  </si>
  <si>
    <t>P3E_CPU_P4E_SW_1_TX_DN&lt;11&gt;</t>
  </si>
  <si>
    <t xml:space="preserve">U31.1242, CN1.30, </t>
  </si>
  <si>
    <t>P3E_CPU_P4E_SW_1_TX_DP&lt;11&gt;</t>
  </si>
  <si>
    <t xml:space="preserve">U31.1243, CN1.31, </t>
  </si>
  <si>
    <t>P3E_CPU_P4E_SW_1_TX_DN&lt;12&gt;</t>
  </si>
  <si>
    <t xml:space="preserve">U31.1282, CN1.26, </t>
  </si>
  <si>
    <t>P3E_CPU_P4E_SW_1_TX_DP&lt;12&gt;</t>
  </si>
  <si>
    <t xml:space="preserve">U31.1283, CN1.27, </t>
  </si>
  <si>
    <t>P3E_CPU_P4E_SW_1_TX_DN&lt;13&gt;</t>
  </si>
  <si>
    <t xml:space="preserve">U31.1320, CN1.23, </t>
  </si>
  <si>
    <t>P3E_CPU_P4E_SW_1_TX_DP&lt;13&gt;</t>
  </si>
  <si>
    <t xml:space="preserve">U31.1321, CN1.24, </t>
  </si>
  <si>
    <t>AVD_1V8_PCIE_Q_C15</t>
  </si>
  <si>
    <t xml:space="preserve">U31.1358, R873.2, C629.1, </t>
  </si>
  <si>
    <t>P3E_CPU_P4E_SW_1_TX_DN&lt;14&gt;</t>
  </si>
  <si>
    <t xml:space="preserve">U31.1360, CN1.20, </t>
  </si>
  <si>
    <t>P3E_CPU_P4E_SW_1_TX_DP&lt;14&gt;</t>
  </si>
  <si>
    <t xml:space="preserve">U31.1361, CN1.21, </t>
  </si>
  <si>
    <t>P4E_REXT_0</t>
  </si>
  <si>
    <t xml:space="preserve">U31.1397, R873.1, </t>
  </si>
  <si>
    <t>P3E_CPU_P4E_SW_1_TX_DN&lt;15&gt;</t>
  </si>
  <si>
    <t xml:space="preserve">U31.1398, CN1.17, </t>
  </si>
  <si>
    <t>P3E_CPU_P4E_SW_1_TX_DP&lt;15&gt;</t>
  </si>
  <si>
    <t xml:space="preserve">U31.1399, CN1.18, </t>
  </si>
  <si>
    <t>CLK_100M_SW_CLK_BUF_DP</t>
  </si>
  <si>
    <t xml:space="preserve">U31.113, C492.1, </t>
  </si>
  <si>
    <t>CLK_100M_SW_CLK_BUF_DN</t>
  </si>
  <si>
    <t xml:space="preserve">U31.114, C494.1, </t>
  </si>
  <si>
    <t>CLK_100M_SW_SSD0_DP</t>
  </si>
  <si>
    <t xml:space="preserve">U31.151, C495.1, </t>
  </si>
  <si>
    <t>CLK_100M_SW_SSD0_DN</t>
  </si>
  <si>
    <t xml:space="preserve">U31.152, C499.1, </t>
  </si>
  <si>
    <t>CLK_100M_SW_SSD1_DP</t>
  </si>
  <si>
    <t xml:space="preserve">U31.229, C500.1, </t>
  </si>
  <si>
    <t>CLK_100M_SW_SSD1_DN</t>
  </si>
  <si>
    <t xml:space="preserve">U31.230, C502.1, </t>
  </si>
  <si>
    <t>CLK_100M_PESW_D_DP_C</t>
  </si>
  <si>
    <t xml:space="preserve">U31.232, R337.1, C73.2, </t>
  </si>
  <si>
    <t>CLK_100M_PESW_D_DN_C</t>
  </si>
  <si>
    <t xml:space="preserve">U31.233, R337.2, C72.2, </t>
  </si>
  <si>
    <t>RST_PESW_M2_1_N_R</t>
  </si>
  <si>
    <t xml:space="preserve">U31.345, R794.2, R1389.2, </t>
  </si>
  <si>
    <t>AVD_1V8_PCIE_Q_C12</t>
  </si>
  <si>
    <t xml:space="preserve">U31.501, C626.1, </t>
  </si>
  <si>
    <t>AVD_1V8_PCIE_Q_C1</t>
  </si>
  <si>
    <t xml:space="preserve">U31.504, R879.2, C603.1, </t>
  </si>
  <si>
    <t>P3E_CPU_P4E_SW_0_TX_DN&lt;3&gt;</t>
  </si>
  <si>
    <t xml:space="preserve">U31.539, CN3.56, </t>
  </si>
  <si>
    <t>P3E_CPU_P4E_SW_0_TX_DN&lt;1&gt;</t>
  </si>
  <si>
    <t xml:space="preserve">U31.541, CN3.62, </t>
  </si>
  <si>
    <t>P4E_REXT_M</t>
  </si>
  <si>
    <t xml:space="preserve">U31.543, R879.1, </t>
  </si>
  <si>
    <t>P3E_CPU_P4E_SW_0_TX_DP&lt;3&gt;</t>
  </si>
  <si>
    <t xml:space="preserve">U31.578, CN3.57, </t>
  </si>
  <si>
    <t>P3E_CPU_P4E_SW_0_TX_DN&lt;2&gt;</t>
  </si>
  <si>
    <t xml:space="preserve">U31.579, CN3.59, </t>
  </si>
  <si>
    <t>P3E_CPU_P4E_SW_0_TX_DP&lt;1&gt;</t>
  </si>
  <si>
    <t xml:space="preserve">U31.580, CN3.63, </t>
  </si>
  <si>
    <t>P3E_CPU_P4E_SW_0_TX_DN&lt;0&gt;</t>
  </si>
  <si>
    <t xml:space="preserve">U31.581, CN3.65, </t>
  </si>
  <si>
    <t>P3E_CPU_P4E_SW_0_TX_DP&lt;2&gt;</t>
  </si>
  <si>
    <t xml:space="preserve">U31.618, CN3.60, </t>
  </si>
  <si>
    <t>P3E_CPU_P4E_SW_0_TX_DP&lt;0&gt;</t>
  </si>
  <si>
    <t xml:space="preserve">U31.620, CN3.66, </t>
  </si>
  <si>
    <t>P3E_7_RX_DP&lt;2&gt;</t>
  </si>
  <si>
    <t xml:space="preserve">U31.923, JD4.19, </t>
  </si>
  <si>
    <t>P3E_6_RX_DP&lt;0&gt;</t>
  </si>
  <si>
    <t xml:space="preserve">U31.925, JD4.118, </t>
  </si>
  <si>
    <t>P3E_6_RX_DP&lt;2&gt;</t>
  </si>
  <si>
    <t xml:space="preserve">U31.927, JD4.94, </t>
  </si>
  <si>
    <t>P3E_7_RX_DP&lt;1&gt;</t>
  </si>
  <si>
    <t xml:space="preserve">U31.961, JD4.31, </t>
  </si>
  <si>
    <t>P3E_7_RX_DN&lt;2&gt;</t>
  </si>
  <si>
    <t xml:space="preserve">U31.962, JD4.17, </t>
  </si>
  <si>
    <t>P3E_7_RX_DP&lt;3&gt;</t>
  </si>
  <si>
    <t xml:space="preserve">U31.963, JD4.7, </t>
  </si>
  <si>
    <t>P3E_6_RX_DN&lt;0&gt;</t>
  </si>
  <si>
    <t xml:space="preserve">U31.964, JD4.116, </t>
  </si>
  <si>
    <t>P3E_6_RX_DP&lt;1&gt;</t>
  </si>
  <si>
    <t xml:space="preserve">U31.965, JD4.106, </t>
  </si>
  <si>
    <t>P3E_6_RX_DN&lt;2&gt;</t>
  </si>
  <si>
    <t xml:space="preserve">U31.966, JD4.92, </t>
  </si>
  <si>
    <t>P3E_6_RX_DP&lt;3&gt;</t>
  </si>
  <si>
    <t xml:space="preserve">U31.967, JD4.82, </t>
  </si>
  <si>
    <t>P3E_7_RX_DN&lt;1&gt;</t>
  </si>
  <si>
    <t xml:space="preserve">U31.1000, JD4.29, </t>
  </si>
  <si>
    <t>P3E_7_RX_DN&lt;3&gt;</t>
  </si>
  <si>
    <t xml:space="preserve">U31.1002, JD4.5, </t>
  </si>
  <si>
    <t>P3E_6_RX_DN&lt;1&gt;</t>
  </si>
  <si>
    <t xml:space="preserve">U31.1004, JD4.104, </t>
  </si>
  <si>
    <t>P3E_6_RX_DN&lt;3&gt;</t>
  </si>
  <si>
    <t xml:space="preserve">U31.1006, JD4.80, </t>
  </si>
  <si>
    <t>AVD_1V8_PCIE_Q_C17</t>
  </si>
  <si>
    <t xml:space="preserve">U31.1039, R874.2, C631.1, </t>
  </si>
  <si>
    <t>P4E_REXT_1</t>
  </si>
  <si>
    <t xml:space="preserve">U31.1040, R874.1, </t>
  </si>
  <si>
    <t>AVD_1V8_PCIE_Q_C2</t>
  </si>
  <si>
    <t xml:space="preserve">U31.1044, C604.1, </t>
  </si>
  <si>
    <t>P4E_SW_VSS_1</t>
  </si>
  <si>
    <t xml:space="preserve">U31.1352, R757.2, </t>
  </si>
  <si>
    <t>AVD_1V8_PCIE_Q_C13</t>
  </si>
  <si>
    <t xml:space="preserve">U31.495, C627.1, </t>
  </si>
  <si>
    <t>AVD_1V8_PCIE_Q_C24</t>
  </si>
  <si>
    <t xml:space="preserve">U31.498, C638.1, </t>
  </si>
  <si>
    <t>P3E_CPU_P4E_SW_0_TX_DN&lt;9&gt;</t>
  </si>
  <si>
    <t xml:space="preserve">U31.532, CN3.36, </t>
  </si>
  <si>
    <t>P3E_CPU_P4E_SW_0_TX_DN&lt;7&gt;</t>
  </si>
  <si>
    <t xml:space="preserve">U31.535, CN3.44, </t>
  </si>
  <si>
    <t>P3E_CPU_P4E_SW_0_TX_DN&lt;5&gt;</t>
  </si>
  <si>
    <t xml:space="preserve">U31.537, CN3.50, </t>
  </si>
  <si>
    <t>P3E_CPU_P4E_SW_0_TX_DP&lt;9&gt;</t>
  </si>
  <si>
    <t xml:space="preserve">U31.571, CN3.37, </t>
  </si>
  <si>
    <t>P3E_CPU_P4E_SW_0_TX_DN&lt;8&gt;</t>
  </si>
  <si>
    <t xml:space="preserve">U31.572, CN3.39, </t>
  </si>
  <si>
    <t>P3E_CPU_P4E_SW_0_TX_DP&lt;7&gt;</t>
  </si>
  <si>
    <t xml:space="preserve">U31.574, CN3.45, </t>
  </si>
  <si>
    <t>P3E_CPU_P4E_SW_0_TX_DN&lt;6&gt;</t>
  </si>
  <si>
    <t xml:space="preserve">U31.575, CN3.47, </t>
  </si>
  <si>
    <t>P3E_CPU_P4E_SW_0_TX_DP&lt;5&gt;</t>
  </si>
  <si>
    <t xml:space="preserve">U31.576, CN3.51, </t>
  </si>
  <si>
    <t>P3E_CPU_P4E_SW_0_TX_DN&lt;4&gt;</t>
  </si>
  <si>
    <t xml:space="preserve">U31.577, CN3.53, </t>
  </si>
  <si>
    <t>P3E_CPU_P4E_SW_0_TX_DP&lt;8&gt;</t>
  </si>
  <si>
    <t xml:space="preserve">U31.611, CN3.40, </t>
  </si>
  <si>
    <t>P3E_CPU_P4E_SW_0_TX_DP&lt;6&gt;</t>
  </si>
  <si>
    <t xml:space="preserve">U31.614, CN3.48, </t>
  </si>
  <si>
    <t>P3E_CPU_P4E_SW_0_TX_DP&lt;4&gt;</t>
  </si>
  <si>
    <t xml:space="preserve">U31.616, CN3.54, </t>
  </si>
  <si>
    <t>P3E_8_RX_DP&lt;1&gt;</t>
  </si>
  <si>
    <t xml:space="preserve">U31.914, JD5.106, </t>
  </si>
  <si>
    <t>P3E_9_RX_DP&lt;3&gt;</t>
  </si>
  <si>
    <t xml:space="preserve">U31.916, JD5.7, </t>
  </si>
  <si>
    <t>P3E_9_RX_DP&lt;1&gt;</t>
  </si>
  <si>
    <t xml:space="preserve">U31.918, JD5.31, </t>
  </si>
  <si>
    <t>P3E_7_RX_DP&lt;0&gt;</t>
  </si>
  <si>
    <t xml:space="preserve">U31.921, JD4.43, </t>
  </si>
  <si>
    <t>P3E_8_RX_DN&lt;1&gt;</t>
  </si>
  <si>
    <t xml:space="preserve">U31.953, JD5.104, </t>
  </si>
  <si>
    <t>P3E_8_RX_DP&lt;0&gt;</t>
  </si>
  <si>
    <t xml:space="preserve">U31.954, JD5.118, </t>
  </si>
  <si>
    <t>P3E_9_RX_DN&lt;3&gt;</t>
  </si>
  <si>
    <t xml:space="preserve">U31.955, JD5.5, </t>
  </si>
  <si>
    <t>P3E_9_RX_DP&lt;2&gt;</t>
  </si>
  <si>
    <t xml:space="preserve">U31.956, JD5.19, </t>
  </si>
  <si>
    <t>P3E_9_RX_DN&lt;1&gt;</t>
  </si>
  <si>
    <t xml:space="preserve">U31.957, JD5.29, </t>
  </si>
  <si>
    <t>P3E_9_RX_DP&lt;0&gt;</t>
  </si>
  <si>
    <t xml:space="preserve">U31.958, JD5.43, </t>
  </si>
  <si>
    <t>P3E_7_RX_DN&lt;0&gt;</t>
  </si>
  <si>
    <t xml:space="preserve">U31.960, JD4.41, </t>
  </si>
  <si>
    <t>P3E_8_RX_DN&lt;0&gt;</t>
  </si>
  <si>
    <t xml:space="preserve">U31.993, JD5.116, </t>
  </si>
  <si>
    <t>P3E_9_RX_DN&lt;2&gt;</t>
  </si>
  <si>
    <t xml:space="preserve">U31.995, JD5.17, </t>
  </si>
  <si>
    <t>P3E_9_RX_DN&lt;0&gt;</t>
  </si>
  <si>
    <t xml:space="preserve">U31.997, JD5.41, </t>
  </si>
  <si>
    <t>AVD_1V8_PCIE_Q_C16</t>
  </si>
  <si>
    <t xml:space="preserve">U31.1033, C630.1, </t>
  </si>
  <si>
    <t>AVD_1V8_PCIE_Q_C5</t>
  </si>
  <si>
    <t xml:space="preserve">U31.1036, C612.1, </t>
  </si>
  <si>
    <t>AVD_1V8_PCIE_Q_C10</t>
  </si>
  <si>
    <t xml:space="preserve">U31.486, C624.1, </t>
  </si>
  <si>
    <t>P4E_REXT_5</t>
  </si>
  <si>
    <t xml:space="preserve">U31.491, R877.1, </t>
  </si>
  <si>
    <t>P3E_CPU_P4E_SW_0_TX_DN&lt;15&gt;</t>
  </si>
  <si>
    <t xml:space="preserve">U31.526, CN3.17, </t>
  </si>
  <si>
    <t>P3E_CPU_P4E_SW_0_TX_DN&lt;13&gt;</t>
  </si>
  <si>
    <t xml:space="preserve">U31.528, CN3.23, </t>
  </si>
  <si>
    <t>P3E_CPU_P4E_SW_0_TX_DN&lt;11&gt;</t>
  </si>
  <si>
    <t xml:space="preserve">U31.530, CN3.30, </t>
  </si>
  <si>
    <t>P3E_CPU_P4E_SW_1_TX_DN&lt;0&gt;</t>
  </si>
  <si>
    <t xml:space="preserve">U31.563, CN1.65, </t>
  </si>
  <si>
    <t>P3E_CPU_P4E_SW_0_TX_DP&lt;15&gt;</t>
  </si>
  <si>
    <t xml:space="preserve">U31.565, CN3.18, </t>
  </si>
  <si>
    <t>P3E_CPU_P4E_SW_0_TX_DN&lt;14&gt;</t>
  </si>
  <si>
    <t xml:space="preserve">U31.566, CN3.20, </t>
  </si>
  <si>
    <t>P3E_CPU_P4E_SW_0_TX_DP&lt;13&gt;</t>
  </si>
  <si>
    <t xml:space="preserve">U31.567, CN3.24, </t>
  </si>
  <si>
    <t>P3E_CPU_P4E_SW_0_TX_DN&lt;12&gt;</t>
  </si>
  <si>
    <t xml:space="preserve">U31.568, CN3.26, </t>
  </si>
  <si>
    <t>P3E_CPU_P4E_SW_0_TX_DP&lt;11&gt;</t>
  </si>
  <si>
    <t xml:space="preserve">U31.569, CN3.31, </t>
  </si>
  <si>
    <t>P3E_CPU_P4E_SW_0_TX_DN&lt;10&gt;</t>
  </si>
  <si>
    <t xml:space="preserve">U31.570, CN3.33, </t>
  </si>
  <si>
    <t>P3E_CPU_P4E_SW_1_TX_DP&lt;0&gt;</t>
  </si>
  <si>
    <t xml:space="preserve">U31.602, CN1.66, </t>
  </si>
  <si>
    <t>P3E_CPU_P4E_SW_0_TX_DP&lt;14&gt;</t>
  </si>
  <si>
    <t xml:space="preserve">U31.605, CN3.21, </t>
  </si>
  <si>
    <t>P3E_CPU_P4E_SW_0_TX_DP&lt;12&gt;</t>
  </si>
  <si>
    <t xml:space="preserve">U31.607, CN3.27, </t>
  </si>
  <si>
    <t>P3E_CPU_P4E_SW_0_TX_DP&lt;10&gt;</t>
  </si>
  <si>
    <t xml:space="preserve">U31.609, CN3.34, </t>
  </si>
  <si>
    <t>P3E_5_RX_DP&lt;3&gt;</t>
  </si>
  <si>
    <t xml:space="preserve">U31.907, JD3.7, </t>
  </si>
  <si>
    <t>P3E_5_RX_DP&lt;1&gt;</t>
  </si>
  <si>
    <t xml:space="preserve">U31.909, JD3.31, </t>
  </si>
  <si>
    <t>P3E_8_RX_DP&lt;3&gt;</t>
  </si>
  <si>
    <t xml:space="preserve">U31.912, JD5.82, </t>
  </si>
  <si>
    <t>P3E_4_RX_DP&lt;0&gt;</t>
  </si>
  <si>
    <t xml:space="preserve">U31.945, JD3.118, </t>
  </si>
  <si>
    <t>P3E_5_RX_DN&lt;3&gt;</t>
  </si>
  <si>
    <t xml:space="preserve">U31.946, JD3.5, </t>
  </si>
  <si>
    <t>P3E_5_RX_DP&lt;2&gt;</t>
  </si>
  <si>
    <t xml:space="preserve">U31.947, JD3.19, </t>
  </si>
  <si>
    <t>P3E_5_RX_DN&lt;1&gt;</t>
  </si>
  <si>
    <t xml:space="preserve">U31.948, JD3.29, </t>
  </si>
  <si>
    <t>P3E_5_RX_DP&lt;0&gt;</t>
  </si>
  <si>
    <t xml:space="preserve">U31.949, JD3.43, </t>
  </si>
  <si>
    <t>P3E_8_RX_DN&lt;3&gt;</t>
  </si>
  <si>
    <t xml:space="preserve">U31.951, JD5.80, </t>
  </si>
  <si>
    <t>P3E_8_RX_DP&lt;2&gt;</t>
  </si>
  <si>
    <t xml:space="preserve">U31.952, JD5.94, </t>
  </si>
  <si>
    <t>P3E_4_RX_DN&lt;0&gt;</t>
  </si>
  <si>
    <t xml:space="preserve">U31.984, JD3.116, </t>
  </si>
  <si>
    <t>P3E_5_RX_DN&lt;2&gt;</t>
  </si>
  <si>
    <t xml:space="preserve">U31.986, JD3.17, </t>
  </si>
  <si>
    <t>P3E_5_RX_DN&lt;0&gt;</t>
  </si>
  <si>
    <t xml:space="preserve">U31.988, JD3.41, </t>
  </si>
  <si>
    <t>P3E_8_RX_DN&lt;2&gt;</t>
  </si>
  <si>
    <t xml:space="preserve">U31.991, JD5.92, </t>
  </si>
  <si>
    <t>AVD_1V8_PCIE_Q_C19</t>
  </si>
  <si>
    <t xml:space="preserve">U31.1023, R875.2, C633.1, </t>
  </si>
  <si>
    <t>AVD_1V8_PCIE_Q_C4</t>
  </si>
  <si>
    <t xml:space="preserve">U31.1030, C611.1, </t>
  </si>
  <si>
    <t>AVD_1V8_PCIE_Q_C23</t>
  </si>
  <si>
    <t xml:space="preserve">U31.477, R878.2, C637.1, </t>
  </si>
  <si>
    <t>AVD_1V8_PCIE_Q_C11</t>
  </si>
  <si>
    <t xml:space="preserve">U31.480, C625.1, </t>
  </si>
  <si>
    <t>AVD_1V8_PCIE_Q_C22</t>
  </si>
  <si>
    <t xml:space="preserve">U31.483, C636.1, </t>
  </si>
  <si>
    <t>P3E_CPU_P4E_SW_1_TX_DN&lt;7&gt;</t>
  </si>
  <si>
    <t xml:space="preserve">U31.517, CN1.44, </t>
  </si>
  <si>
    <t>P3E_CPU_P4E_SW_1_TX_DN&lt;5&gt;</t>
  </si>
  <si>
    <t xml:space="preserve">U31.519, CN1.50, </t>
  </si>
  <si>
    <t>P3E_CPU_P4E_SW_1_TX_DN&lt;3&gt;</t>
  </si>
  <si>
    <t xml:space="preserve">U31.521, CN1.56, </t>
  </si>
  <si>
    <t>P3E_CPU_P4E_SW_1_TX_DN&lt;1&gt;</t>
  </si>
  <si>
    <t xml:space="preserve">U31.523, CN1.62, </t>
  </si>
  <si>
    <t>P3E_CPU_P4E_SW_1_TX_DP&lt;7&gt;</t>
  </si>
  <si>
    <t xml:space="preserve">U31.556, CN1.45, </t>
  </si>
  <si>
    <t>P3E_CPU_P4E_SW_1_TX_DN&lt;6&gt;</t>
  </si>
  <si>
    <t xml:space="preserve">U31.557, CN1.47, </t>
  </si>
  <si>
    <t>P3E_CPU_P4E_SW_1_TX_DP&lt;5&gt;</t>
  </si>
  <si>
    <t xml:space="preserve">U31.558, CN1.51, </t>
  </si>
  <si>
    <t>P3E_CPU_P4E_SW_1_TX_DN&lt;4&gt;</t>
  </si>
  <si>
    <t xml:space="preserve">U31.559, CN1.53, </t>
  </si>
  <si>
    <t>P3E_CPU_P4E_SW_1_TX_DP&lt;3&gt;</t>
  </si>
  <si>
    <t xml:space="preserve">U31.560, CN1.57, </t>
  </si>
  <si>
    <t>P3E_CPU_P4E_SW_1_TX_DN&lt;2&gt;</t>
  </si>
  <si>
    <t xml:space="preserve">U31.561, CN1.59, </t>
  </si>
  <si>
    <t>P3E_CPU_P4E_SW_1_TX_DP&lt;1&gt;</t>
  </si>
  <si>
    <t xml:space="preserve">U31.562, CN1.63, </t>
  </si>
  <si>
    <t>P3E_CPU_P4E_SW_1_TX_DP&lt;6&gt;</t>
  </si>
  <si>
    <t xml:space="preserve">U31.596, CN1.48, </t>
  </si>
  <si>
    <t>P3E_CPU_P4E_SW_1_TX_DP&lt;4&gt;</t>
  </si>
  <si>
    <t xml:space="preserve">U31.598, CN1.54, </t>
  </si>
  <si>
    <t>P3E_CPU_P4E_SW_1_TX_DP&lt;2&gt;</t>
  </si>
  <si>
    <t xml:space="preserve">U31.600, CN1.60, </t>
  </si>
  <si>
    <t>P3E_3_RX_DP&lt;0&gt;</t>
  </si>
  <si>
    <t xml:space="preserve">U31.2, JD2.43, </t>
  </si>
  <si>
    <t>P3E_3_RX_DN&lt;0&gt;</t>
  </si>
  <si>
    <t xml:space="preserve">U31.3, JD2.41, </t>
  </si>
  <si>
    <t>P3E_3_RX_DN&lt;1&gt;</t>
  </si>
  <si>
    <t xml:space="preserve">U31.782, JD2.29, </t>
  </si>
  <si>
    <t>P3E_3_RX_DP&lt;2&gt;</t>
  </si>
  <si>
    <t xml:space="preserve">U31.821, JD2.19, </t>
  </si>
  <si>
    <t>P3E_3_RX_DN&lt;2&gt;</t>
  </si>
  <si>
    <t xml:space="preserve">U31.822, JD2.17, </t>
  </si>
  <si>
    <t>P3E_3_RX_DN&lt;3&gt;</t>
  </si>
  <si>
    <t xml:space="preserve">U31.860, JD2.5, </t>
  </si>
  <si>
    <t>P3E_4_RX_DP&lt;3&gt;</t>
  </si>
  <si>
    <t xml:space="preserve">U31.903, JD3.82, </t>
  </si>
  <si>
    <t>P3E_4_RX_DP&lt;1&gt;</t>
  </si>
  <si>
    <t xml:space="preserve">U31.905, JD3.106, </t>
  </si>
  <si>
    <t>P3E_4_RX_DN&lt;3&gt;</t>
  </si>
  <si>
    <t xml:space="preserve">U31.942, JD3.80, </t>
  </si>
  <si>
    <t>P3E_4_RX_DP&lt;2&gt;</t>
  </si>
  <si>
    <t xml:space="preserve">U31.943, JD3.94, </t>
  </si>
  <si>
    <t>P3E_4_RX_DN&lt;1&gt;</t>
  </si>
  <si>
    <t xml:space="preserve">U31.944, JD3.104, </t>
  </si>
  <si>
    <t>P3E_4_RX_DN&lt;2&gt;</t>
  </si>
  <si>
    <t xml:space="preserve">U31.982, JD3.92, </t>
  </si>
  <si>
    <t>P3E_2_RX_DP&lt;0&gt;</t>
  </si>
  <si>
    <t xml:space="preserve">U31.1098, JD2.118, </t>
  </si>
  <si>
    <t>P3E_2_RX_DN&lt;0&gt;</t>
  </si>
  <si>
    <t xml:space="preserve">U31.1099, JD2.116, </t>
  </si>
  <si>
    <t>AVD_1V8_PCIE_Q_C7</t>
  </si>
  <si>
    <t xml:space="preserve">U31.1100, C621.1, </t>
  </si>
  <si>
    <t>P3E_2_RX_DP&lt;1&gt;</t>
  </si>
  <si>
    <t xml:space="preserve">U31.1136, JD2.106, </t>
  </si>
  <si>
    <t>P3E_2_RX_DN&lt;1&gt;</t>
  </si>
  <si>
    <t xml:space="preserve">U31.1137, JD2.104, </t>
  </si>
  <si>
    <t>P3E_2_RX_DP&lt;2&gt;</t>
  </si>
  <si>
    <t xml:space="preserve">U31.1176, JD2.94, </t>
  </si>
  <si>
    <t>P3E_2_RX_DN&lt;2&gt;</t>
  </si>
  <si>
    <t xml:space="preserve">U31.1177, JD2.92, </t>
  </si>
  <si>
    <t>P3E_2_RX_DP&lt;3&gt;</t>
  </si>
  <si>
    <t xml:space="preserve">U31.1214, JD2.82, </t>
  </si>
  <si>
    <t>P3E_2_RX_DN&lt;3&gt;</t>
  </si>
  <si>
    <t xml:space="preserve">U31.1215, JD2.80, </t>
  </si>
  <si>
    <t>AVD_1V8_PCIE_Q_C18</t>
  </si>
  <si>
    <t xml:space="preserve">U31.1217, C632.1, </t>
  </si>
  <si>
    <t>AVD_1V8_PCIE_Q_C9</t>
  </si>
  <si>
    <t xml:space="preserve">U31.125, C623.1, </t>
  </si>
  <si>
    <t>P3E_10_RX_DP&lt;3&gt;</t>
  </si>
  <si>
    <t xml:space="preserve">U31.162, JD6.82, </t>
  </si>
  <si>
    <t>P3E_10_RX_DN&lt;3&gt;</t>
  </si>
  <si>
    <t xml:space="preserve">U31.163, JD6.80, </t>
  </si>
  <si>
    <t>P3E_10_RX_DP&lt;2&gt;</t>
  </si>
  <si>
    <t xml:space="preserve">U31.200, JD6.94, </t>
  </si>
  <si>
    <t>P3E_10_RX_DN&lt;2&gt;</t>
  </si>
  <si>
    <t xml:space="preserve">U31.201, JD6.92, </t>
  </si>
  <si>
    <t>P3E_10_RX_DP&lt;1&gt;</t>
  </si>
  <si>
    <t xml:space="preserve">U31.240, JD6.106, </t>
  </si>
  <si>
    <t>P3E_10_RX_DN&lt;1&gt;</t>
  </si>
  <si>
    <t xml:space="preserve">U31.241, JD6.104, </t>
  </si>
  <si>
    <t>AVD_1V8_PCIE_Q_C20</t>
  </si>
  <si>
    <t xml:space="preserve">U31.242, C634.1, </t>
  </si>
  <si>
    <t>P3E_10_RX_DP&lt;0&gt;</t>
  </si>
  <si>
    <t xml:space="preserve">U31.278, JD6.118, </t>
  </si>
  <si>
    <t>P3E_10_RX_DN&lt;0&gt;</t>
  </si>
  <si>
    <t xml:space="preserve">U31.279, JD6.116, </t>
  </si>
  <si>
    <t>P3E_11_RX_DP&lt;3&gt;</t>
  </si>
  <si>
    <t xml:space="preserve">U31.318, JD6.7, </t>
  </si>
  <si>
    <t>P3E_11_RX_DN&lt;3&gt;</t>
  </si>
  <si>
    <t xml:space="preserve">U31.319, JD6.5, </t>
  </si>
  <si>
    <t>P3E_11_RX_DP&lt;2&gt;</t>
  </si>
  <si>
    <t xml:space="preserve">U31.356, JD6.19, </t>
  </si>
  <si>
    <t>P3E_11_RX_DN&lt;2&gt;</t>
  </si>
  <si>
    <t xml:space="preserve">U31.357, JD6.17, </t>
  </si>
  <si>
    <t>AVD_1V8_PCIE_Q_C8</t>
  </si>
  <si>
    <t xml:space="preserve">U31.359, C622.1, </t>
  </si>
  <si>
    <t>P3E_11_RX_DP&lt;1&gt;</t>
  </si>
  <si>
    <t xml:space="preserve">U31.396, JD6.31, </t>
  </si>
  <si>
    <t>P3E_11_RX_DN&lt;1&gt;</t>
  </si>
  <si>
    <t xml:space="preserve">U31.397, JD6.29, </t>
  </si>
  <si>
    <t>P3E_11_RX_DP&lt;0&gt;</t>
  </si>
  <si>
    <t xml:space="preserve">U31.434, JD6.43, </t>
  </si>
  <si>
    <t>P3E_11_RX_DN&lt;0&gt;</t>
  </si>
  <si>
    <t xml:space="preserve">U31.435, JD6.41, </t>
  </si>
  <si>
    <t>P4E_REXT_4</t>
  </si>
  <si>
    <t xml:space="preserve">U31.476, R878.1, </t>
  </si>
  <si>
    <t>P3E_1_RX_DN&lt;2&gt;</t>
  </si>
  <si>
    <t xml:space="preserve">U31.510, JD1.17, </t>
  </si>
  <si>
    <t>P3E_0_RX_DN&lt;0&gt;</t>
  </si>
  <si>
    <t xml:space="preserve">U31.512, JD1.116, </t>
  </si>
  <si>
    <t>P3E_0_RX_DN&lt;2&gt;</t>
  </si>
  <si>
    <t xml:space="preserve">U31.514, JD1.92, </t>
  </si>
  <si>
    <t>P3E_1_RX_DN&lt;1&gt;</t>
  </si>
  <si>
    <t xml:space="preserve">U31.548, JD1.29, </t>
  </si>
  <si>
    <t>P3E_1_RX_DP&lt;2&gt;</t>
  </si>
  <si>
    <t xml:space="preserve">U31.549, JD1.19, </t>
  </si>
  <si>
    <t>P3E_1_RX_DN&lt;3&gt;</t>
  </si>
  <si>
    <t xml:space="preserve">U31.550, JD1.5, </t>
  </si>
  <si>
    <t>P3E_0_RX_DP&lt;0&gt;</t>
  </si>
  <si>
    <t xml:space="preserve">U31.551, JD1.118, </t>
  </si>
  <si>
    <t>P3E_0_RX_DN&lt;1&gt;</t>
  </si>
  <si>
    <t xml:space="preserve">U31.552, JD1.104, </t>
  </si>
  <si>
    <t>P3E_0_RX_DP&lt;2&gt;</t>
  </si>
  <si>
    <t xml:space="preserve">U31.553, JD1.94, </t>
  </si>
  <si>
    <t>P3E_0_RX_DN&lt;3&gt;</t>
  </si>
  <si>
    <t xml:space="preserve">U31.554, JD1.80, </t>
  </si>
  <si>
    <t>P3E_1_RX_DP&lt;1&gt;</t>
  </si>
  <si>
    <t xml:space="preserve">U31.587, JD1.31, </t>
  </si>
  <si>
    <t>P3E_1_RX_DP&lt;3&gt;</t>
  </si>
  <si>
    <t xml:space="preserve">U31.589, JD1.7, </t>
  </si>
  <si>
    <t>P3E_0_RX_DP&lt;1&gt;</t>
  </si>
  <si>
    <t xml:space="preserve">U31.591, JD1.106, </t>
  </si>
  <si>
    <t>P3E_0_RX_DP&lt;3&gt;</t>
  </si>
  <si>
    <t xml:space="preserve">U31.593, JD1.82, </t>
  </si>
  <si>
    <t>P3E_3_RX_DP&lt;1&gt;</t>
  </si>
  <si>
    <t xml:space="preserve">U31.781, JD2.31, </t>
  </si>
  <si>
    <t>P3E_3_RX_DP&lt;3&gt;</t>
  </si>
  <si>
    <t xml:space="preserve">U31.859, JD2.7, </t>
  </si>
  <si>
    <t>P3E_1_RX_DN&lt;0&gt;</t>
  </si>
  <si>
    <t xml:space="preserve">U31.508, JD1.41, </t>
  </si>
  <si>
    <t>P3E_1_RX_DP&lt;0&gt;</t>
  </si>
  <si>
    <t xml:space="preserve">U31.547, JD1.43, </t>
  </si>
  <si>
    <t>CLK_100M_DB1200_M2_11_R_DP</t>
  </si>
  <si>
    <t xml:space="preserve">JD6.55, R411.2, R413.1, </t>
  </si>
  <si>
    <t>CLK_100M_DB1200_M2_11_R_DN</t>
  </si>
  <si>
    <t xml:space="preserve">JD6.53, R415.2, R417.1, </t>
  </si>
  <si>
    <t>P3E_11_TX_C_DP&lt;0&gt;</t>
  </si>
  <si>
    <t xml:space="preserve">JD6.49, C413.2, </t>
  </si>
  <si>
    <t>P3E_11_TX_C_DN&lt;0&gt;</t>
  </si>
  <si>
    <t xml:space="preserve">JD6.47, C412.2, </t>
  </si>
  <si>
    <t>P3E_11_TX_C_DP&lt;1&gt;</t>
  </si>
  <si>
    <t xml:space="preserve">JD6.37, C415.2, </t>
  </si>
  <si>
    <t>P3E_11_TX_C_DN&lt;1&gt;</t>
  </si>
  <si>
    <t xml:space="preserve">JD6.35, C414.2, </t>
  </si>
  <si>
    <t>P3E_11_TX_C_DP&lt;2&gt;</t>
  </si>
  <si>
    <t xml:space="preserve">JD6.25, C417.2, </t>
  </si>
  <si>
    <t>P3E_11_TX_C_DN&lt;2&gt;</t>
  </si>
  <si>
    <t xml:space="preserve">JD6.23, C416.2, </t>
  </si>
  <si>
    <t>P3E_11_TX_C_DP&lt;3&gt;</t>
  </si>
  <si>
    <t xml:space="preserve">JD6.13, C419.2, </t>
  </si>
  <si>
    <t>P3E_11_TX_C_DN&lt;3&gt;</t>
  </si>
  <si>
    <t xml:space="preserve">JD6.11, C418.2, </t>
  </si>
  <si>
    <t>CLK_100M_DB1200_M2_10_R_DP</t>
  </si>
  <si>
    <t xml:space="preserve">JD6.130, R403.2, R405.1, </t>
  </si>
  <si>
    <t>CLK_100M_DB1200_M2_10_R_DN</t>
  </si>
  <si>
    <t xml:space="preserve">JD6.128, R407.2, R409.1, </t>
  </si>
  <si>
    <t>P3E_10_TX_C_DP&lt;0&gt;</t>
  </si>
  <si>
    <t xml:space="preserve">JD6.124, C421.2, </t>
  </si>
  <si>
    <t>P3E_10_TX_C_DN&lt;0&gt;</t>
  </si>
  <si>
    <t xml:space="preserve">JD6.122, C420.2, </t>
  </si>
  <si>
    <t>P3E_10_TX_C_DP&lt;1&gt;</t>
  </si>
  <si>
    <t xml:space="preserve">JD6.112, C423.2, </t>
  </si>
  <si>
    <t>P3E_10_TX_C_DN&lt;1&gt;</t>
  </si>
  <si>
    <t xml:space="preserve">JD6.110, C422.2, </t>
  </si>
  <si>
    <t>P3E_10_TX_C_DP&lt;2&gt;</t>
  </si>
  <si>
    <t xml:space="preserve">JD6.100, C425.2, </t>
  </si>
  <si>
    <t>P3E_10_TX_C_DN&lt;2&gt;</t>
  </si>
  <si>
    <t xml:space="preserve">JD6.98, C424.2, </t>
  </si>
  <si>
    <t>P3E_10_TX_C_DP&lt;3&gt;</t>
  </si>
  <si>
    <t xml:space="preserve">JD6.88, C427.2, </t>
  </si>
  <si>
    <t>P3E_10_TX_C_DN&lt;3&gt;</t>
  </si>
  <si>
    <t xml:space="preserve">JD6.86, C426.2, </t>
  </si>
  <si>
    <t>CLK_100M_DB1200_M2_9_R_DP</t>
  </si>
  <si>
    <t xml:space="preserve">JD5.55, R395.2, R397.1, </t>
  </si>
  <si>
    <t>CLK_100M_DB1200_M2_9_R_DN</t>
  </si>
  <si>
    <t xml:space="preserve">JD5.53, R399.2, R401.1, </t>
  </si>
  <si>
    <t>P3E_9_TX_C_DP&lt;0&gt;</t>
  </si>
  <si>
    <t xml:space="preserve">JD5.49, C373.2, </t>
  </si>
  <si>
    <t>P3E_9_TX_C_DN&lt;0&gt;</t>
  </si>
  <si>
    <t xml:space="preserve">JD5.47, C372.2, </t>
  </si>
  <si>
    <t>P3E_9_TX_C_DP&lt;1&gt;</t>
  </si>
  <si>
    <t xml:space="preserve">JD5.37, C375.2, </t>
  </si>
  <si>
    <t>P3E_9_TX_C_DN&lt;1&gt;</t>
  </si>
  <si>
    <t xml:space="preserve">JD5.35, C374.2, </t>
  </si>
  <si>
    <t>P3E_9_TX_C_DP&lt;2&gt;</t>
  </si>
  <si>
    <t xml:space="preserve">JD5.25, C377.2, </t>
  </si>
  <si>
    <t>P3E_9_TX_C_DN&lt;2&gt;</t>
  </si>
  <si>
    <t xml:space="preserve">JD5.23, C376.2, </t>
  </si>
  <si>
    <t>P3E_9_TX_C_DP&lt;3&gt;</t>
  </si>
  <si>
    <t xml:space="preserve">JD5.13, C379.2, </t>
  </si>
  <si>
    <t>P3E_9_TX_C_DN&lt;3&gt;</t>
  </si>
  <si>
    <t xml:space="preserve">JD5.11, C378.2, </t>
  </si>
  <si>
    <t>CLK_100M_DB1200_M2_8_R_DP</t>
  </si>
  <si>
    <t xml:space="preserve">JD5.130, R410.2, R412.1, </t>
  </si>
  <si>
    <t>CLK_100M_DB1200_M2_8_R_DN</t>
  </si>
  <si>
    <t xml:space="preserve">JD5.128, R414.2, R416.1, </t>
  </si>
  <si>
    <t>P3E_8_TX_C_DP&lt;0&gt;</t>
  </si>
  <si>
    <t xml:space="preserve">JD5.124, C365.2, </t>
  </si>
  <si>
    <t>P3E_8_TX_C_DN&lt;0&gt;</t>
  </si>
  <si>
    <t xml:space="preserve">JD5.122, C364.2, </t>
  </si>
  <si>
    <t>P3E_8_TX_C_DP&lt;1&gt;</t>
  </si>
  <si>
    <t xml:space="preserve">JD5.112, C367.2, </t>
  </si>
  <si>
    <t>P3E_8_TX_C_DN&lt;1&gt;</t>
  </si>
  <si>
    <t xml:space="preserve">JD5.110, C366.2, </t>
  </si>
  <si>
    <t>P3E_8_TX_C_DP&lt;2&gt;</t>
  </si>
  <si>
    <t xml:space="preserve">JD5.100, C369.2, </t>
  </si>
  <si>
    <t>P3E_8_TX_C_DN&lt;2&gt;</t>
  </si>
  <si>
    <t xml:space="preserve">JD5.98, C368.2, </t>
  </si>
  <si>
    <t>P3E_8_TX_C_DP&lt;3&gt;</t>
  </si>
  <si>
    <t xml:space="preserve">JD5.88, C371.2, </t>
  </si>
  <si>
    <t>P3E_8_TX_C_DN&lt;3&gt;</t>
  </si>
  <si>
    <t xml:space="preserve">JD5.86, C370.2, </t>
  </si>
  <si>
    <t>CLK_100M_DB1200_M2_7_R_DP</t>
  </si>
  <si>
    <t xml:space="preserve">JD4.55, R402.2, R404.1, </t>
  </si>
  <si>
    <t>CLK_100M_DB1200_M2_7_R_DN</t>
  </si>
  <si>
    <t xml:space="preserve">JD4.53, R406.2, R408.1, </t>
  </si>
  <si>
    <t>P3E_7_TX_C_DP&lt;0&gt;</t>
  </si>
  <si>
    <t xml:space="preserve">JD4.49, C341.2, </t>
  </si>
  <si>
    <t>P3E_7_TX_C_DN&lt;0&gt;</t>
  </si>
  <si>
    <t xml:space="preserve">JD4.47, C340.2, </t>
  </si>
  <si>
    <t>P3E_7_TX_C_DP&lt;1&gt;</t>
  </si>
  <si>
    <t xml:space="preserve">JD4.37, C343.2, </t>
  </si>
  <si>
    <t>P3E_7_TX_C_DN&lt;1&gt;</t>
  </si>
  <si>
    <t xml:space="preserve">JD4.35, C342.2, </t>
  </si>
  <si>
    <t>P3E_7_TX_C_DP&lt;2&gt;</t>
  </si>
  <si>
    <t xml:space="preserve">JD4.25, C345.2, </t>
  </si>
  <si>
    <t>P3E_7_TX_C_DN&lt;2&gt;</t>
  </si>
  <si>
    <t xml:space="preserve">JD4.23, C344.2, </t>
  </si>
  <si>
    <t>P3E_7_TX_C_DP&lt;3&gt;</t>
  </si>
  <si>
    <t xml:space="preserve">JD4.13, C347.2, </t>
  </si>
  <si>
    <t>P3E_7_TX_C_DN&lt;3&gt;</t>
  </si>
  <si>
    <t xml:space="preserve">JD4.11, C346.2, </t>
  </si>
  <si>
    <t>CLK_100M_DB1200_M2_6_R_DP</t>
  </si>
  <si>
    <t xml:space="preserve">JD4.130, R394.2, R396.1, </t>
  </si>
  <si>
    <t>CLK_100M_DB1200_M2_6_R_DN</t>
  </si>
  <si>
    <t xml:space="preserve">JD4.128, R398.2, R400.1, </t>
  </si>
  <si>
    <t>P3E_6_TX_C_DP&lt;0&gt;</t>
  </si>
  <si>
    <t xml:space="preserve">JD4.124, C333.2, </t>
  </si>
  <si>
    <t>P3E_6_TX_C_DN&lt;0&gt;</t>
  </si>
  <si>
    <t xml:space="preserve">JD4.122, C332.2, </t>
  </si>
  <si>
    <t>P3E_6_TX_C_DP&lt;1&gt;</t>
  </si>
  <si>
    <t xml:space="preserve">JD4.112, C335.2, </t>
  </si>
  <si>
    <t>P3E_6_TX_C_DN&lt;1&gt;</t>
  </si>
  <si>
    <t xml:space="preserve">JD4.110, C334.2, </t>
  </si>
  <si>
    <t>P3E_6_TX_C_DP&lt;2&gt;</t>
  </si>
  <si>
    <t xml:space="preserve">JD4.100, C337.2, </t>
  </si>
  <si>
    <t>P3E_6_TX_C_DN&lt;2&gt;</t>
  </si>
  <si>
    <t xml:space="preserve">JD4.98, C336.2, </t>
  </si>
  <si>
    <t>P3E_6_TX_C_DP&lt;3&gt;</t>
  </si>
  <si>
    <t xml:space="preserve">JD4.88, C339.2, </t>
  </si>
  <si>
    <t>P3E_6_TX_C_DN&lt;3&gt;</t>
  </si>
  <si>
    <t xml:space="preserve">JD4.86, C338.2, </t>
  </si>
  <si>
    <t>CLK_100M_DB1200_M2_5_R_DP</t>
  </si>
  <si>
    <t xml:space="preserve">JD3.55, R387.2, R389.1, </t>
  </si>
  <si>
    <t>CLK_100M_DB1200_M2_5_R_DN</t>
  </si>
  <si>
    <t xml:space="preserve">JD3.53, R391.2, R393.1, </t>
  </si>
  <si>
    <t>P3E_5_TX_C_DP&lt;0&gt;</t>
  </si>
  <si>
    <t xml:space="preserve">JD3.49, C357.2, </t>
  </si>
  <si>
    <t>P3E_5_TX_C_DN&lt;0&gt;</t>
  </si>
  <si>
    <t xml:space="preserve">JD3.47, C356.2, </t>
  </si>
  <si>
    <t>P3E_5_TX_C_DP&lt;1&gt;</t>
  </si>
  <si>
    <t xml:space="preserve">JD3.37, C359.2, </t>
  </si>
  <si>
    <t>P3E_5_TX_C_DN&lt;1&gt;</t>
  </si>
  <si>
    <t xml:space="preserve">JD3.35, C358.2, </t>
  </si>
  <si>
    <t>P3E_5_TX_C_DP&lt;2&gt;</t>
  </si>
  <si>
    <t xml:space="preserve">JD3.25, C361.2, </t>
  </si>
  <si>
    <t>P3E_5_TX_C_DN&lt;2&gt;</t>
  </si>
  <si>
    <t xml:space="preserve">JD3.23, C360.2, </t>
  </si>
  <si>
    <t>P3E_5_TX_C_DP&lt;3&gt;</t>
  </si>
  <si>
    <t xml:space="preserve">JD3.13, C363.2, </t>
  </si>
  <si>
    <t>P3E_5_TX_C_DN&lt;3&gt;</t>
  </si>
  <si>
    <t xml:space="preserve">JD3.11, C362.2, </t>
  </si>
  <si>
    <t>CLK_100M_DB1200_M2_4_R_DP</t>
  </si>
  <si>
    <t xml:space="preserve">JD3.130, R379.2, R381.1, </t>
  </si>
  <si>
    <t>CLK_100M_DB1200_M2_4_R_DN</t>
  </si>
  <si>
    <t xml:space="preserve">JD3.128, R383.2, R385.1, </t>
  </si>
  <si>
    <t>P3E_4_TX_C_DP&lt;0&gt;</t>
  </si>
  <si>
    <t xml:space="preserve">JD3.124, C349.2, </t>
  </si>
  <si>
    <t>P3E_4_TX_C_DN&lt;0&gt;</t>
  </si>
  <si>
    <t xml:space="preserve">JD3.122, C348.2, </t>
  </si>
  <si>
    <t>P3E_4_TX_C_DP&lt;1&gt;</t>
  </si>
  <si>
    <t xml:space="preserve">JD3.112, C351.2, </t>
  </si>
  <si>
    <t>P3E_4_TX_C_DN&lt;1&gt;</t>
  </si>
  <si>
    <t xml:space="preserve">JD3.110, C350.2, </t>
  </si>
  <si>
    <t>P3E_4_TX_C_DP&lt;2&gt;</t>
  </si>
  <si>
    <t xml:space="preserve">JD3.100, C353.2, </t>
  </si>
  <si>
    <t>P3E_4_TX_C_DN&lt;2&gt;</t>
  </si>
  <si>
    <t xml:space="preserve">JD3.98, C352.2, </t>
  </si>
  <si>
    <t>P3E_4_TX_C_DP&lt;3&gt;</t>
  </si>
  <si>
    <t xml:space="preserve">JD3.88, C355.2, </t>
  </si>
  <si>
    <t>P3E_4_TX_C_DN&lt;3&gt;</t>
  </si>
  <si>
    <t xml:space="preserve">JD3.86, C354.2, </t>
  </si>
  <si>
    <t>CLK_100M_DB1200_M2_3_R_DP</t>
  </si>
  <si>
    <t xml:space="preserve">JD2.55, R371.2, R373.1, </t>
  </si>
  <si>
    <t>CLK_100M_DB1200_M2_3_R_DN</t>
  </si>
  <si>
    <t xml:space="preserve">JD2.53, R375.2, R377.1, </t>
  </si>
  <si>
    <t>P3E_3_TX_C_DP&lt;0&gt;</t>
  </si>
  <si>
    <t xml:space="preserve">JD2.49, C389.2, </t>
  </si>
  <si>
    <t>P3E_3_TX_C_DN&lt;0&gt;</t>
  </si>
  <si>
    <t xml:space="preserve">JD2.47, C388.2, </t>
  </si>
  <si>
    <t>P3E_3_TX_C_DP&lt;1&gt;</t>
  </si>
  <si>
    <t xml:space="preserve">JD2.37, C391.2, </t>
  </si>
  <si>
    <t>P3E_3_TX_C_DN&lt;1&gt;</t>
  </si>
  <si>
    <t xml:space="preserve">JD2.35, C390.2, </t>
  </si>
  <si>
    <t>P3E_3_TX_C_DP&lt;2&gt;</t>
  </si>
  <si>
    <t xml:space="preserve">JD2.25, C393.2, </t>
  </si>
  <si>
    <t>P3E_3_TX_C_DN&lt;2&gt;</t>
  </si>
  <si>
    <t xml:space="preserve">JD2.23, C392.2, </t>
  </si>
  <si>
    <t>P3E_3_TX_C_DP&lt;3&gt;</t>
  </si>
  <si>
    <t xml:space="preserve">JD2.13, C395.2, </t>
  </si>
  <si>
    <t>P3E_3_TX_C_DN&lt;3&gt;</t>
  </si>
  <si>
    <t xml:space="preserve">JD2.11, C394.2, </t>
  </si>
  <si>
    <t>CLK_100M_DB1200_M2_2_R_DP</t>
  </si>
  <si>
    <t xml:space="preserve">JD2.130, R386.2, R388.1, </t>
  </si>
  <si>
    <t>CLK_100M_DB1200_M2_2_R_DN</t>
  </si>
  <si>
    <t xml:space="preserve">JD2.128, R390.2, R392.1, </t>
  </si>
  <si>
    <t>P3E_2_TX_C_DP&lt;0&gt;</t>
  </si>
  <si>
    <t xml:space="preserve">JD2.124, C381.2, </t>
  </si>
  <si>
    <t>P3E_2_TX_C_DN&lt;0&gt;</t>
  </si>
  <si>
    <t xml:space="preserve">JD2.122, C380.2, </t>
  </si>
  <si>
    <t>P3E_2_TX_C_DP&lt;1&gt;</t>
  </si>
  <si>
    <t xml:space="preserve">JD2.112, C383.2, </t>
  </si>
  <si>
    <t>P3E_2_TX_C_DN&lt;1&gt;</t>
  </si>
  <si>
    <t xml:space="preserve">JD2.110, C382.2, </t>
  </si>
  <si>
    <t>P3E_2_TX_C_DP&lt;2&gt;</t>
  </si>
  <si>
    <t xml:space="preserve">JD2.100, C385.2, </t>
  </si>
  <si>
    <t>P3E_2_TX_C_DN&lt;2&gt;</t>
  </si>
  <si>
    <t xml:space="preserve">JD2.98, C384.2, </t>
  </si>
  <si>
    <t>P3E_2_TX_C_DP&lt;3&gt;</t>
  </si>
  <si>
    <t xml:space="preserve">JD2.88, C387.2, </t>
  </si>
  <si>
    <t>P3E_2_TX_C_DN&lt;3&gt;</t>
  </si>
  <si>
    <t xml:space="preserve">JD2.86, C386.2, </t>
  </si>
  <si>
    <t>CLK_100M_DB1200_M2_1_R_DP</t>
  </si>
  <si>
    <t xml:space="preserve">JD1.55, R378.2, R380.1, </t>
  </si>
  <si>
    <t>CLK_100M_DB1200_M2_1_R_DN</t>
  </si>
  <si>
    <t xml:space="preserve">JD1.53, R382.2, R384.1, </t>
  </si>
  <si>
    <t>P3E_1_TX_C_DP&lt;0&gt;</t>
  </si>
  <si>
    <t xml:space="preserve">JD1.49, C437.2, </t>
  </si>
  <si>
    <t>P3E_1_TX_C_DN&lt;0&gt;</t>
  </si>
  <si>
    <t xml:space="preserve">JD1.47, C436.2, </t>
  </si>
  <si>
    <t>P3E_1_TX_C_DP&lt;1&gt;</t>
  </si>
  <si>
    <t xml:space="preserve">JD1.37, C439.2, </t>
  </si>
  <si>
    <t>P3E_1_TX_C_DN&lt;1&gt;</t>
  </si>
  <si>
    <t xml:space="preserve">JD1.35, C438.2, </t>
  </si>
  <si>
    <t>P3E_1_TX_C_DP&lt;2&gt;</t>
  </si>
  <si>
    <t xml:space="preserve">JD1.25, C441.2, </t>
  </si>
  <si>
    <t>P3E_1_TX_C_DN&lt;2&gt;</t>
  </si>
  <si>
    <t xml:space="preserve">JD1.23, C440.2, </t>
  </si>
  <si>
    <t>P3E_1_TX_C_DP&lt;3&gt;</t>
  </si>
  <si>
    <t xml:space="preserve">JD1.13, C443.2, </t>
  </si>
  <si>
    <t>P3E_1_TX_C_DN&lt;3&gt;</t>
  </si>
  <si>
    <t xml:space="preserve">JD1.11, C442.2, </t>
  </si>
  <si>
    <t>CLK_100M_DB1200_M2_0_R_DP</t>
  </si>
  <si>
    <t xml:space="preserve">JD1.130, R370.2, R372.1, </t>
  </si>
  <si>
    <t>CLK_100M_DB1200_M2_0_R_DN</t>
  </si>
  <si>
    <t xml:space="preserve">JD1.128, R374.2, R376.1, </t>
  </si>
  <si>
    <t>P3E_0_TX_C_DP&lt;0&gt;</t>
  </si>
  <si>
    <t xml:space="preserve">JD1.124, C429.2, </t>
  </si>
  <si>
    <t>P3E_0_TX_C_DN&lt;0&gt;</t>
  </si>
  <si>
    <t xml:space="preserve">JD1.122, C428.2, </t>
  </si>
  <si>
    <t>P3E_0_TX_C_DP&lt;1&gt;</t>
  </si>
  <si>
    <t xml:space="preserve">JD1.112, C431.2, </t>
  </si>
  <si>
    <t>P3E_0_TX_C_DN&lt;1&gt;</t>
  </si>
  <si>
    <t xml:space="preserve">JD1.110, C430.2, </t>
  </si>
  <si>
    <t>P3E_0_TX_C_DP&lt;2&gt;</t>
  </si>
  <si>
    <t xml:space="preserve">JD1.100, C433.2, </t>
  </si>
  <si>
    <t>P3E_0_TX_C_DN&lt;2&gt;</t>
  </si>
  <si>
    <t xml:space="preserve">JD1.98, C432.2, </t>
  </si>
  <si>
    <t>P3E_0_TX_C_DP&lt;3&gt;</t>
  </si>
  <si>
    <t xml:space="preserve">JD1.88, C435.2, </t>
  </si>
  <si>
    <t>P3E_0_TX_C_DN&lt;3&gt;</t>
  </si>
  <si>
    <t xml:space="preserve">JD1.86, C434.2, </t>
  </si>
  <si>
    <t>P0V84_SW2</t>
  </si>
  <si>
    <t>PL16.1, PU19.10, PU19.11, PU19.12, PU19.13, PU19.14, &lt;/p&gt;</t>
  </si>
  <si>
    <t>USB_5V_DN</t>
  </si>
  <si>
    <t xml:space="preserve">U152.15, U150.3, R1787.2, R1159.2, </t>
  </si>
  <si>
    <t>USB_5V_DP</t>
  </si>
  <si>
    <t xml:space="preserve">U152.14, U150.1, R1786.2, R1158.2, </t>
  </si>
  <si>
    <t>P1V8_VSEN-</t>
  </si>
  <si>
    <t xml:space="preserve">PU5.11, PR51.1, PC93.1, </t>
  </si>
  <si>
    <t>USB2_CP2108_2_DN</t>
  </si>
  <si>
    <t xml:space="preserve">U98.63, R1687.2, </t>
  </si>
  <si>
    <t>USB2_CP2108_2_DP</t>
  </si>
  <si>
    <t xml:space="preserve">U98.62, R1688.2, </t>
  </si>
  <si>
    <t>USB2_CP2108_3_DN</t>
  </si>
  <si>
    <t xml:space="preserve">U64.63, R1215.2, </t>
  </si>
  <si>
    <t>USB2_CP2108_3_DP</t>
  </si>
  <si>
    <t xml:space="preserve">U64.62, R1216.2, </t>
  </si>
  <si>
    <t>USB2_CP2108_1_DN</t>
  </si>
  <si>
    <t xml:space="preserve">U63.63, R1211.2, </t>
  </si>
  <si>
    <t>USB2_CP2108_1_DP</t>
  </si>
  <si>
    <t xml:space="preserve">U63.62, R1212.2, </t>
  </si>
  <si>
    <t>USB2_CP2108_4_DN</t>
  </si>
  <si>
    <t xml:space="preserve">U62.63, R1610.2, </t>
  </si>
  <si>
    <t>USB2_CP2108_4_DP</t>
  </si>
  <si>
    <t xml:space="preserve">U62.62, R1611.2, </t>
  </si>
  <si>
    <t>P0V84_AVSN</t>
  </si>
  <si>
    <t xml:space="preserve">PU17.22, PC195.2, PG20.2, </t>
  </si>
  <si>
    <t>SPI_PESW_FLASH_CLK</t>
  </si>
  <si>
    <t xml:space="preserve">SKT1.6, R1151.1, U56.6, R831.1, </t>
  </si>
  <si>
    <t>USB2_HUB3_DN</t>
  </si>
  <si>
    <t xml:space="preserve">U61.1, R1223.2, </t>
  </si>
  <si>
    <t>USB2_HUB3_DP</t>
  </si>
  <si>
    <t xml:space="preserve">U61.2, R1225.2, </t>
  </si>
  <si>
    <t>HUB3_CLK12MO</t>
  </si>
  <si>
    <t xml:space="preserve">U61.33, C871.1, </t>
  </si>
  <si>
    <t>HUB1_CLK12MO</t>
  </si>
  <si>
    <t xml:space="preserve">U59.33, C847.1, </t>
  </si>
  <si>
    <t>HUB1_CLK12</t>
  </si>
  <si>
    <t xml:space="preserve">U59.18, R1170.2, C848.1, </t>
  </si>
  <si>
    <t>CLK_100M_CLK_BUF_DP</t>
  </si>
  <si>
    <t xml:space="preserve">U4.9, R760.1, C492.2, </t>
  </si>
  <si>
    <t>CLK_100M_CLK_BUF_DN</t>
  </si>
  <si>
    <t xml:space="preserve">U4.10, R761.2, C494.2, </t>
  </si>
  <si>
    <t>SMB_M2_0_3V3SB_DAT_R</t>
  </si>
  <si>
    <t xml:space="preserve">U2.125, R4370.2, </t>
  </si>
  <si>
    <t>SMB_M2_5_3V3SB_DAT_R</t>
  </si>
  <si>
    <t xml:space="preserve">U2.123, R4362.2, </t>
  </si>
  <si>
    <t>USB2_HUB2_DP</t>
  </si>
  <si>
    <t xml:space="preserve">R1640.2, R1638.1, </t>
  </si>
  <si>
    <t>USB2_HUB2_DN</t>
  </si>
  <si>
    <t xml:space="preserve">R1639.2, R1635.1, </t>
  </si>
  <si>
    <t>USB2_M2_10_DP</t>
  </si>
  <si>
    <t xml:space="preserve">R1265.2, R4408.1, </t>
  </si>
  <si>
    <t>USB2_M2_10_DN</t>
  </si>
  <si>
    <t xml:space="preserve">R1263.2, R4409.1, </t>
  </si>
  <si>
    <t>USB2_BIC_R_DN</t>
  </si>
  <si>
    <t xml:space="preserve">R1218.2, R99.2, </t>
  </si>
  <si>
    <t>USB2_JTAG_DN</t>
  </si>
  <si>
    <t xml:space="preserve">R1213.2, R1708.1, </t>
  </si>
  <si>
    <t>USB2_HUB1_DP</t>
  </si>
  <si>
    <t xml:space="preserve">R1194.2, R1633.1, </t>
  </si>
  <si>
    <t>USB2_HUB1_DN</t>
  </si>
  <si>
    <t xml:space="preserve">R1191.2, R1632.1, </t>
  </si>
  <si>
    <t>USB2_M2_11_DP</t>
  </si>
  <si>
    <t xml:space="preserve">R1189.2, R4410.1, </t>
  </si>
  <si>
    <t>USB2_M2_11_DN</t>
  </si>
  <si>
    <t xml:space="preserve">R1187.2, R4411.1, </t>
  </si>
  <si>
    <t>USB2_M2_9_DP</t>
  </si>
  <si>
    <t xml:space="preserve">R1185.2, R4406.1, </t>
  </si>
  <si>
    <t>USB2_M2_9_DN</t>
  </si>
  <si>
    <t xml:space="preserve">R1183.2, R4407.1, </t>
  </si>
  <si>
    <t>USB2_M2_7_DP</t>
  </si>
  <si>
    <t xml:space="preserve">R1181.2, R4402.1, </t>
  </si>
  <si>
    <t>USB2_M2_7_DN</t>
  </si>
  <si>
    <t xml:space="preserve">R1178.2, R4403.1, </t>
  </si>
  <si>
    <t>USB2_M2_5_DP</t>
  </si>
  <si>
    <t xml:space="preserve">R1176.2, R4398.1, </t>
  </si>
  <si>
    <t>USB2_M2_5_DN</t>
  </si>
  <si>
    <t xml:space="preserve">R1175.2, R4399.1, </t>
  </si>
  <si>
    <t>USB2_M2_3_DP</t>
  </si>
  <si>
    <t xml:space="preserve">R1174.2, R4394.1, </t>
  </si>
  <si>
    <t>USB2_M2_3_DN</t>
  </si>
  <si>
    <t xml:space="preserve">R1173.2, R4395.1, </t>
  </si>
  <si>
    <t>USB2_M2_1_DP</t>
  </si>
  <si>
    <t xml:space="preserve">R1172.2, R4390.1, </t>
  </si>
  <si>
    <t>USB2_M2_1_DN</t>
  </si>
  <si>
    <t xml:space="preserve">R1171.2, R4391.1, </t>
  </si>
  <si>
    <t>USB2_M2_8_DP</t>
  </si>
  <si>
    <t xml:space="preserve">R1261.2, R4404.1, </t>
  </si>
  <si>
    <t>USB2_M2_8_DN</t>
  </si>
  <si>
    <t xml:space="preserve">R1259.2, R4405.1, </t>
  </si>
  <si>
    <t>USB2_M2_6_DP</t>
  </si>
  <si>
    <t xml:space="preserve">R1257.2, R4400.1, </t>
  </si>
  <si>
    <t>USB2_M2_6_DN</t>
  </si>
  <si>
    <t xml:space="preserve">R1254.2, R4401.1, </t>
  </si>
  <si>
    <t>USB2_M2_0_DN</t>
  </si>
  <si>
    <t xml:space="preserve">R1247.2, R4389.1, </t>
  </si>
  <si>
    <t>USB2_BIC_R_DP</t>
  </si>
  <si>
    <t xml:space="preserve">R1221.2, R101.2, </t>
  </si>
  <si>
    <t>USB2_M2_4_DP</t>
  </si>
  <si>
    <t xml:space="preserve">R1252.2, R4396.1, </t>
  </si>
  <si>
    <t>USB2_M2_4_DN</t>
  </si>
  <si>
    <t xml:space="preserve">R1251.2, R4397.1, </t>
  </si>
  <si>
    <t>USB2_M2_2_DP</t>
  </si>
  <si>
    <t xml:space="preserve">R1250.2, R4392.1, </t>
  </si>
  <si>
    <t>USB2_M2_2_DN</t>
  </si>
  <si>
    <t xml:space="preserve">R1249.2, R4393.1, </t>
  </si>
  <si>
    <t>USB2_M2_0_DP</t>
  </si>
  <si>
    <t xml:space="preserve">R1248.2, R4388.1, </t>
  </si>
  <si>
    <t>USB2_JTAG_DP</t>
  </si>
  <si>
    <t xml:space="preserve">R1214.2, R1709.1, </t>
  </si>
  <si>
    <t>HUB2_CLK12MO_C</t>
  </si>
  <si>
    <t xml:space="preserve">R1210.1, C859.2, </t>
  </si>
  <si>
    <t>HUB3_CLK12MO_C</t>
  </si>
  <si>
    <t xml:space="preserve">R1246.1, C871.2, </t>
  </si>
  <si>
    <t>P0V84_SENSE_R</t>
  </si>
  <si>
    <t xml:space="preserve">PR190.1, PG19.2, </t>
  </si>
  <si>
    <t>VSENSE_P3V3_SSD1_INA233_R_INN</t>
  </si>
  <si>
    <t xml:space="preserve">R1143.1, G28.2, </t>
  </si>
  <si>
    <t>VSENSE_P3V3_SSD1_INA233_R_INP</t>
  </si>
  <si>
    <t xml:space="preserve">R1142.1, G27.2, </t>
  </si>
  <si>
    <t>VSENSE_P3V3_SSD0_INA233_R_INN</t>
  </si>
  <si>
    <t xml:space="preserve">R1117.1, G26.2, </t>
  </si>
  <si>
    <t>VSENSE_P3V3_SSD0_INA233_R_INP</t>
  </si>
  <si>
    <t xml:space="preserve">R1116.1, G25.2, </t>
  </si>
  <si>
    <t>SPI_PESW_FLASH_DAT_1</t>
  </si>
  <si>
    <t xml:space="preserve">R839.1, R1147.1, </t>
  </si>
  <si>
    <t>SPI_PESW_FLASH_DAT_2</t>
  </si>
  <si>
    <t xml:space="preserve">R841.1, R1149.1, </t>
  </si>
  <si>
    <t>USB_HUB_DP</t>
  </si>
  <si>
    <t xml:space="preserve">R15.2, R1630.1, R1629.1, </t>
  </si>
  <si>
    <t>USB_HUB_DN</t>
  </si>
  <si>
    <t xml:space="preserve">R13.2, R1628.1, R1627.1, </t>
  </si>
  <si>
    <t>P3V3_STBY3_VSEN-</t>
  </si>
  <si>
    <t xml:space="preserve">PU3.11, PR37.1, PC68.1, </t>
  </si>
  <si>
    <t>P3V3_STBY3_VSEN+</t>
  </si>
  <si>
    <t xml:space="preserve">PU3.12, PR35.1, PC60.1, </t>
  </si>
  <si>
    <t>P3V3_STBY2_VSEN-</t>
  </si>
  <si>
    <t xml:space="preserve">PU2.11, PR23.1, PC44.1, </t>
  </si>
  <si>
    <t>P3V3_STBY2_VSEN+</t>
  </si>
  <si>
    <t xml:space="preserve">PU2.12, PR21.1, PC36.1, </t>
  </si>
  <si>
    <t>P3V3_STBY1_VSEN-</t>
  </si>
  <si>
    <t xml:space="preserve">PU1.11, PR9.1, PC20.1, </t>
  </si>
  <si>
    <t>P3V3_STBY1_VSEN+</t>
  </si>
  <si>
    <t xml:space="preserve">PU1.12, PR7.1, PC12.1, </t>
  </si>
  <si>
    <t>USB_HUB_DP_TREE</t>
  </si>
  <si>
    <t xml:space="preserve">R1637.1, R1629.2, </t>
  </si>
  <si>
    <t>USB_HUB_DN_TREE</t>
  </si>
  <si>
    <t xml:space="preserve">R1636.1, R1627.2, </t>
  </si>
  <si>
    <t>USB_HUB_DP_DAISY</t>
  </si>
  <si>
    <t xml:space="preserve">R1634.1, R1630.2, </t>
  </si>
  <si>
    <t>USB_HUB_DN_DAISY</t>
  </si>
  <si>
    <t xml:space="preserve">R1631.1, R1628.2, </t>
  </si>
  <si>
    <t>PRSNT2_N</t>
  </si>
  <si>
    <t xml:space="preserve">CN3.70, CN3.80, </t>
  </si>
  <si>
    <t>P3E_CPU_P4E_SW_0_RX_C_DP&lt;0&gt;</t>
  </si>
  <si>
    <t xml:space="preserve">CN3.136, C445.2, </t>
  </si>
  <si>
    <t>P3E_CPU_P4E_SW_0_RX_C_DN&lt;0&gt;</t>
  </si>
  <si>
    <t xml:space="preserve">CN3.135, C444.2, </t>
  </si>
  <si>
    <t>P3E_CPU_P4E_SW_0_RX_C_DP&lt;1&gt;</t>
  </si>
  <si>
    <t xml:space="preserve">CN3.133, C447.2, </t>
  </si>
  <si>
    <t>P3E_CPU_P4E_SW_0_RX_C_DN&lt;1&gt;</t>
  </si>
  <si>
    <t xml:space="preserve">CN3.132, C446.2, </t>
  </si>
  <si>
    <t>P3E_CPU_P4E_SW_0_RX_C_DP&lt;2&gt;</t>
  </si>
  <si>
    <t xml:space="preserve">CN3.130, C449.2, </t>
  </si>
  <si>
    <t>P3E_CPU_P4E_SW_0_RX_C_DN&lt;2&gt;</t>
  </si>
  <si>
    <t xml:space="preserve">CN3.129, C448.2, </t>
  </si>
  <si>
    <t>P3E_CPU_P4E_SW_0_RX_C_DP&lt;3&gt;</t>
  </si>
  <si>
    <t xml:space="preserve">CN3.127, C451.2, </t>
  </si>
  <si>
    <t>P3E_CPU_P4E_SW_0_RX_C_DN&lt;3&gt;</t>
  </si>
  <si>
    <t xml:space="preserve">CN3.126, C450.2, </t>
  </si>
  <si>
    <t>P3E_CPU_P4E_SW_0_RX_C_DP&lt;4&gt;</t>
  </si>
  <si>
    <t xml:space="preserve">CN3.124, C453.2, </t>
  </si>
  <si>
    <t>P3E_CPU_P4E_SW_0_RX_C_DN&lt;4&gt;</t>
  </si>
  <si>
    <t xml:space="preserve">CN3.123, C452.2, </t>
  </si>
  <si>
    <t>P3E_CPU_P4E_SW_0_RX_C_DP&lt;5&gt;</t>
  </si>
  <si>
    <t xml:space="preserve">CN3.121, C455.2, </t>
  </si>
  <si>
    <t>P3E_CPU_P4E_SW_0_RX_C_DN&lt;5&gt;</t>
  </si>
  <si>
    <t xml:space="preserve">CN3.120, C454.2, </t>
  </si>
  <si>
    <t>P3E_CPU_P4E_SW_0_RX_C_DP&lt;6&gt;</t>
  </si>
  <si>
    <t xml:space="preserve">CN3.118, C457.2, </t>
  </si>
  <si>
    <t>P3E_CPU_P4E_SW_0_RX_C_DN&lt;6&gt;</t>
  </si>
  <si>
    <t xml:space="preserve">CN3.117, C456.2, </t>
  </si>
  <si>
    <t>P3E_CPU_P4E_SW_0_RX_C_DP&lt;7&gt;</t>
  </si>
  <si>
    <t xml:space="preserve">CN3.115, C459.2, </t>
  </si>
  <si>
    <t>P3E_CPU_P4E_SW_0_RX_C_DN&lt;7&gt;</t>
  </si>
  <si>
    <t xml:space="preserve">CN3.114, C458.2, </t>
  </si>
  <si>
    <t>P3E_CPU_P4E_SW_0_RX_C_DP&lt;8&gt;</t>
  </si>
  <si>
    <t xml:space="preserve">CN3.110, C461.2, </t>
  </si>
  <si>
    <t>P3E_CPU_P4E_SW_0_RX_C_DN&lt;8&gt;</t>
  </si>
  <si>
    <t xml:space="preserve">CN3.109, C460.2, </t>
  </si>
  <si>
    <t>P3E_CPU_P4E_SW_0_RX_C_DP&lt;9&gt;</t>
  </si>
  <si>
    <t xml:space="preserve">CN3.107, C463.2, </t>
  </si>
  <si>
    <t>P3E_CPU_P4E_SW_0_RX_C_DN&lt;9&gt;</t>
  </si>
  <si>
    <t xml:space="preserve">CN3.106, C462.2, </t>
  </si>
  <si>
    <t>P3E_CPU_P4E_SW_0_RX_C_DP&lt;10&gt;</t>
  </si>
  <si>
    <t xml:space="preserve">CN3.104, C465.2, </t>
  </si>
  <si>
    <t>P3E_CPU_P4E_SW_0_RX_C_DN&lt;10&gt;</t>
  </si>
  <si>
    <t xml:space="preserve">CN3.103, C464.2, </t>
  </si>
  <si>
    <t>P3E_CPU_P4E_SW_0_RX_C_DP&lt;11&gt;</t>
  </si>
  <si>
    <t xml:space="preserve">CN3.101, C467.2, </t>
  </si>
  <si>
    <t>P3E_CPU_P4E_SW_0_RX_C_DN&lt;11&gt;</t>
  </si>
  <si>
    <t xml:space="preserve">CN3.100, C466.2, </t>
  </si>
  <si>
    <t>P3E_CPU_P4E_SW_0_RX_C_DP&lt;12&gt;</t>
  </si>
  <si>
    <t xml:space="preserve">CN3.97, C469.2, </t>
  </si>
  <si>
    <t>P3E_CPU_P4E_SW_0_RX_C_DN&lt;12&gt;</t>
  </si>
  <si>
    <t xml:space="preserve">CN3.96, C468.2, </t>
  </si>
  <si>
    <t>P3E_CPU_P4E_SW_0_RX_C_DP&lt;13&gt;</t>
  </si>
  <si>
    <t xml:space="preserve">CN3.94, C471.2, </t>
  </si>
  <si>
    <t>P3E_CPU_P4E_SW_0_RX_C_DN&lt;13&gt;</t>
  </si>
  <si>
    <t xml:space="preserve">CN3.93, C470.2, </t>
  </si>
  <si>
    <t>P3E_CPU_P4E_SW_0_RX_C_DP&lt;14&gt;</t>
  </si>
  <si>
    <t xml:space="preserve">CN3.91, C473.2, </t>
  </si>
  <si>
    <t>P3E_CPU_P4E_SW_0_RX_C_DN&lt;14&gt;</t>
  </si>
  <si>
    <t xml:space="preserve">CN3.90, C472.2, </t>
  </si>
  <si>
    <t>P3E_CPU_P4E_SW_0_RX_C_DP&lt;15&gt;</t>
  </si>
  <si>
    <t xml:space="preserve">CN3.88, C475.2, </t>
  </si>
  <si>
    <t>P3E_CPU_P4E_SW_0_RX_C_DN&lt;15&gt;</t>
  </si>
  <si>
    <t xml:space="preserve">CN3.87, C474.2, </t>
  </si>
  <si>
    <t>PRSNT1_N</t>
  </si>
  <si>
    <t xml:space="preserve">CN1.70, CN1.80, </t>
  </si>
  <si>
    <t>P3E_CPU_P4E_SW_1_RX_C_DP&lt;0&gt;</t>
  </si>
  <si>
    <t xml:space="preserve">CN1.136, C477.2, </t>
  </si>
  <si>
    <t>P3E_CPU_P4E_SW_1_RX_C_DN&lt;0&gt;</t>
  </si>
  <si>
    <t xml:space="preserve">CN1.135, C476.2, </t>
  </si>
  <si>
    <t>P3E_CPU_P4E_SW_1_RX_C_DP&lt;1&gt;</t>
  </si>
  <si>
    <t xml:space="preserve">CN1.133, C479.2, </t>
  </si>
  <si>
    <t>P3E_CPU_P4E_SW_1_RX_C_DN&lt;1&gt;</t>
  </si>
  <si>
    <t xml:space="preserve">CN1.132, C478.2, </t>
  </si>
  <si>
    <t>P3E_CPU_P4E_SW_1_RX_C_DP&lt;2&gt;</t>
  </si>
  <si>
    <t xml:space="preserve">CN1.130, C481.2, </t>
  </si>
  <si>
    <t>P3E_CPU_P4E_SW_1_RX_C_DN&lt;2&gt;</t>
  </si>
  <si>
    <t xml:space="preserve">CN1.129, C480.2, </t>
  </si>
  <si>
    <t>P3E_CPU_P4E_SW_1_RX_C_DP&lt;3&gt;</t>
  </si>
  <si>
    <t xml:space="preserve">CN1.127, C483.2, </t>
  </si>
  <si>
    <t>P3E_CPU_P4E_SW_1_RX_C_DN&lt;3&gt;</t>
  </si>
  <si>
    <t xml:space="preserve">CN1.126, C482.2, </t>
  </si>
  <si>
    <t>P3E_CPU_P4E_SW_1_RX_C_DP&lt;4&gt;</t>
  </si>
  <si>
    <t xml:space="preserve">CN1.124, C485.2, </t>
  </si>
  <si>
    <t>P3E_CPU_P4E_SW_1_RX_C_DN&lt;4&gt;</t>
  </si>
  <si>
    <t xml:space="preserve">CN1.123, C484.2, </t>
  </si>
  <si>
    <t>P3E_CPU_P4E_SW_1_RX_C_DP&lt;5&gt;</t>
  </si>
  <si>
    <t xml:space="preserve">CN1.121, C487.2, </t>
  </si>
  <si>
    <t>P3E_CPU_P4E_SW_1_RX_C_DN&lt;5&gt;</t>
  </si>
  <si>
    <t xml:space="preserve">CN1.120, C486.2, </t>
  </si>
  <si>
    <t>P3E_CPU_P4E_SW_1_RX_C_DP&lt;6&gt;</t>
  </si>
  <si>
    <t xml:space="preserve">CN1.118, C489.2, </t>
  </si>
  <si>
    <t>P3E_CPU_P4E_SW_1_RX_C_DN&lt;6&gt;</t>
  </si>
  <si>
    <t xml:space="preserve">CN1.117, C488.2, </t>
  </si>
  <si>
    <t>P3E_CPU_P4E_SW_1_RX_C_DP&lt;7&gt;</t>
  </si>
  <si>
    <t xml:space="preserve">CN1.115, C491.2, </t>
  </si>
  <si>
    <t>P3E_CPU_P4E_SW_1_RX_C_DN&lt;7&gt;</t>
  </si>
  <si>
    <t xml:space="preserve">CN1.114, C490.2, </t>
  </si>
  <si>
    <t>P3E_CPU_P4E_SW_1_RX_C_DP&lt;8&gt;</t>
  </si>
  <si>
    <t xml:space="preserve">CN1.110, C317.2, </t>
  </si>
  <si>
    <t>P3E_CPU_P4E_SW_1_RX_C_DN&lt;8&gt;</t>
  </si>
  <si>
    <t xml:space="preserve">CN1.109, C316.2, </t>
  </si>
  <si>
    <t>P3E_CPU_P4E_SW_1_RX_C_DP&lt;9&gt;</t>
  </si>
  <si>
    <t xml:space="preserve">CN1.107, C319.2, </t>
  </si>
  <si>
    <t>P3E_CPU_P4E_SW_1_RX_C_DN&lt;9&gt;</t>
  </si>
  <si>
    <t xml:space="preserve">CN1.106, C318.2, </t>
  </si>
  <si>
    <t>P3E_CPU_P4E_SW_1_RX_C_DP&lt;10&gt;</t>
  </si>
  <si>
    <t xml:space="preserve">CN1.104, C321.2, </t>
  </si>
  <si>
    <t>P3E_CPU_P4E_SW_1_RX_C_DN&lt;10&gt;</t>
  </si>
  <si>
    <t xml:space="preserve">CN1.103, C320.2, </t>
  </si>
  <si>
    <t>P3E_CPU_P4E_SW_1_RX_C_DP&lt;11&gt;</t>
  </si>
  <si>
    <t xml:space="preserve">CN1.101, C323.2, </t>
  </si>
  <si>
    <t>P3E_CPU_P4E_SW_1_RX_C_DN&lt;11&gt;</t>
  </si>
  <si>
    <t xml:space="preserve">CN1.100, C322.2, </t>
  </si>
  <si>
    <t>P3E_CPU_P4E_SW_1_RX_C_DP&lt;12&gt;</t>
  </si>
  <si>
    <t xml:space="preserve">CN1.97, C325.2, </t>
  </si>
  <si>
    <t>P3E_CPU_P4E_SW_1_RX_C_DN&lt;12&gt;</t>
  </si>
  <si>
    <t xml:space="preserve">CN1.96, C324.2, </t>
  </si>
  <si>
    <t>CLK_100M_MB_DP</t>
  </si>
  <si>
    <t xml:space="preserve">CN1.15, C496.1, </t>
  </si>
  <si>
    <t>CLK_100M_MB_DN</t>
  </si>
  <si>
    <t xml:space="preserve">CN1.14, C498.1, </t>
  </si>
  <si>
    <t>P3E_CPU_P4E_SW_1_RX_C_DP&lt;13&gt;</t>
  </si>
  <si>
    <t xml:space="preserve">CN1.94, C327.2, </t>
  </si>
  <si>
    <t>P3E_CPU_P4E_SW_1_RX_C_DN&lt;13&gt;</t>
  </si>
  <si>
    <t xml:space="preserve">CN1.93, C326.2, </t>
  </si>
  <si>
    <t>P3E_CPU_P4E_SW_1_RX_C_DP&lt;14&gt;</t>
  </si>
  <si>
    <t xml:space="preserve">CN1.91, C329.2, </t>
  </si>
  <si>
    <t>P3E_CPU_P4E_SW_1_RX_C_DN&lt;14&gt;</t>
  </si>
  <si>
    <t xml:space="preserve">CN1.90, C328.2, </t>
  </si>
  <si>
    <t>P3E_CPU_P4E_SW_1_RX_C_DP&lt;15&gt;</t>
  </si>
  <si>
    <t xml:space="preserve">CN1.88, C331.2, </t>
  </si>
  <si>
    <t>P3E_CPU_P4E_SW_1_RX_C_DN&lt;15&gt;</t>
  </si>
  <si>
    <t xml:space="preserve">CN1.87, C330.2, </t>
  </si>
  <si>
    <t>NC_2818</t>
  </si>
  <si>
    <t xml:space="preserve">SKT2.23, </t>
  </si>
  <si>
    <t>NC_2819</t>
  </si>
  <si>
    <t xml:space="preserve">SKT2.24, </t>
  </si>
  <si>
    <t>NC_2821</t>
  </si>
  <si>
    <t xml:space="preserve">JD8.59, </t>
  </si>
  <si>
    <t>NC_2822</t>
  </si>
  <si>
    <t xml:space="preserve">JD8.60, </t>
  </si>
  <si>
    <t>NC_2823</t>
  </si>
  <si>
    <t xml:space="preserve">JD7.59, </t>
  </si>
  <si>
    <t>NC_2824</t>
  </si>
  <si>
    <t xml:space="preserve">JD7.60, </t>
  </si>
  <si>
    <t>NC_2915</t>
  </si>
  <si>
    <t xml:space="preserve">JD6.155, </t>
  </si>
  <si>
    <t>NC_2916</t>
  </si>
  <si>
    <t xml:space="preserve">JD6.156, </t>
  </si>
  <si>
    <t>NC_2917</t>
  </si>
  <si>
    <t xml:space="preserve">JD6.157, </t>
  </si>
  <si>
    <t>NC_2918</t>
  </si>
  <si>
    <t xml:space="preserve">JD6.158, </t>
  </si>
  <si>
    <t>NC_2923</t>
  </si>
  <si>
    <t xml:space="preserve">JD5.155, </t>
  </si>
  <si>
    <t>NC_2924</t>
  </si>
  <si>
    <t xml:space="preserve">JD5.156, </t>
  </si>
  <si>
    <t>NC_2925</t>
  </si>
  <si>
    <t xml:space="preserve">JD5.157, </t>
  </si>
  <si>
    <t>NC_2926</t>
  </si>
  <si>
    <t xml:space="preserve">JD5.158, </t>
  </si>
  <si>
    <t>NC_2931</t>
  </si>
  <si>
    <t xml:space="preserve">JD4.155, </t>
  </si>
  <si>
    <t>NC_2932</t>
  </si>
  <si>
    <t xml:space="preserve">JD4.156, </t>
  </si>
  <si>
    <t>NC_2933</t>
  </si>
  <si>
    <t xml:space="preserve">JD4.157, </t>
  </si>
  <si>
    <t>NC_2934</t>
  </si>
  <si>
    <t xml:space="preserve">JD4.158, </t>
  </si>
  <si>
    <t>NC_2939</t>
  </si>
  <si>
    <t xml:space="preserve">JD3.155, </t>
  </si>
  <si>
    <t>NC_2940</t>
  </si>
  <si>
    <t xml:space="preserve">JD3.156, </t>
  </si>
  <si>
    <t>NC_2941</t>
  </si>
  <si>
    <t xml:space="preserve">JD3.157, </t>
  </si>
  <si>
    <t>NC_2942</t>
  </si>
  <si>
    <t xml:space="preserve">JD3.158, </t>
  </si>
  <si>
    <t>NC_2947</t>
  </si>
  <si>
    <t xml:space="preserve">JD2.155, </t>
  </si>
  <si>
    <t>NC_2948</t>
  </si>
  <si>
    <t xml:space="preserve">JD2.156, </t>
  </si>
  <si>
    <t>NC_2949</t>
  </si>
  <si>
    <t xml:space="preserve">JD2.157, </t>
  </si>
  <si>
    <t>NC_2950</t>
  </si>
  <si>
    <t xml:space="preserve">JD2.158, </t>
  </si>
  <si>
    <t>NC_2955</t>
  </si>
  <si>
    <t xml:space="preserve">JD1.155, </t>
  </si>
  <si>
    <t>NC_2956</t>
  </si>
  <si>
    <t xml:space="preserve">JD1.156, </t>
  </si>
  <si>
    <t>NC_2957</t>
  </si>
  <si>
    <t xml:space="preserve">JD1.157, </t>
  </si>
  <si>
    <t>NC_2958</t>
  </si>
  <si>
    <t xml:space="preserve">JD1.158, </t>
  </si>
  <si>
    <t>NC_3194</t>
  </si>
  <si>
    <t xml:space="preserve">SW1.4, </t>
  </si>
  <si>
    <t>NC_3195</t>
  </si>
  <si>
    <t xml:space="preserve">SW1.5, </t>
  </si>
  <si>
    <t>NC_3295</t>
  </si>
  <si>
    <t xml:space="preserve">CN3.146, </t>
  </si>
  <si>
    <t>NC_3296</t>
  </si>
  <si>
    <t xml:space="preserve">CN3.147, </t>
  </si>
  <si>
    <t>NC_3303</t>
  </si>
  <si>
    <t xml:space="preserve">CN1.146, </t>
  </si>
  <si>
    <t>NC_3304</t>
  </si>
  <si>
    <t xml:space="preserve">CN1.147, </t>
  </si>
  <si>
    <t>NC_3058</t>
  </si>
  <si>
    <t>U64.20</t>
  </si>
  <si>
    <t>NC_2809</t>
  </si>
  <si>
    <t>SKT2.2</t>
  </si>
  <si>
    <t>NC_3059</t>
  </si>
  <si>
    <t>U64.21</t>
  </si>
  <si>
    <t>NC_2811</t>
  </si>
  <si>
    <t>SKT2.6</t>
  </si>
  <si>
    <t>NC_3060</t>
  </si>
  <si>
    <t>U64.22</t>
  </si>
  <si>
    <t>NC_2813</t>
  </si>
  <si>
    <t>SKT2.8</t>
  </si>
  <si>
    <t>NC_3061</t>
  </si>
  <si>
    <t>U64.23</t>
  </si>
  <si>
    <t>NC_2815</t>
  </si>
  <si>
    <t>SKT2.11</t>
  </si>
  <si>
    <t>NC_3062</t>
  </si>
  <si>
    <t>U64.26</t>
  </si>
  <si>
    <t>NC_2817</t>
  </si>
  <si>
    <t>SKT2.17</t>
  </si>
  <si>
    <t>NC_3063</t>
  </si>
  <si>
    <t>U64.27</t>
  </si>
  <si>
    <t>NC_2820</t>
  </si>
  <si>
    <t>SKT2.31</t>
  </si>
  <si>
    <t>NC_3064</t>
  </si>
  <si>
    <t>U64.28</t>
  </si>
  <si>
    <t>NC_2825</t>
  </si>
  <si>
    <t>U31.33</t>
  </si>
  <si>
    <t>NC_3065</t>
  </si>
  <si>
    <t>U64.29</t>
  </si>
  <si>
    <t>NC_2827</t>
  </si>
  <si>
    <t>U31.37</t>
  </si>
  <si>
    <t>NC_3066</t>
  </si>
  <si>
    <t>U64.30</t>
  </si>
  <si>
    <t>NC_2829</t>
  </si>
  <si>
    <t>U31.73</t>
  </si>
  <si>
    <t>NC_3067</t>
  </si>
  <si>
    <t>U64.31</t>
  </si>
  <si>
    <t>NC_2831</t>
  </si>
  <si>
    <t>U31.191</t>
  </si>
  <si>
    <t>NC_3068</t>
  </si>
  <si>
    <t>U64.32</t>
  </si>
  <si>
    <t>NC_2833</t>
  </si>
  <si>
    <t>U31.269</t>
  </si>
  <si>
    <t>NC_3069</t>
  </si>
  <si>
    <t>U64.33</t>
  </si>
  <si>
    <t>NC_2835</t>
  </si>
  <si>
    <t>U31.307</t>
  </si>
  <si>
    <t>NC_3070</t>
  </si>
  <si>
    <t>U64.34</t>
  </si>
  <si>
    <t>NC_2837</t>
  </si>
  <si>
    <t>U31.382</t>
  </si>
  <si>
    <t>NC_3071</t>
  </si>
  <si>
    <t>U64.35</t>
  </si>
  <si>
    <t>NC_2839</t>
  </si>
  <si>
    <t>U31.467</t>
  </si>
  <si>
    <t>NC_3072</t>
  </si>
  <si>
    <t>U64.36</t>
  </si>
  <si>
    <t>NC_2841</t>
  </si>
  <si>
    <t>U31.505</t>
  </si>
  <si>
    <t>NC_3073</t>
  </si>
  <si>
    <t>U64.37</t>
  </si>
  <si>
    <t>NC_2843</t>
  </si>
  <si>
    <t>U31.545</t>
  </si>
  <si>
    <t>NC_3074</t>
  </si>
  <si>
    <t>U64.38</t>
  </si>
  <si>
    <t>NC_2845</t>
  </si>
  <si>
    <t>U31.583</t>
  </si>
  <si>
    <t>NC_3075</t>
  </si>
  <si>
    <t>U64.40</t>
  </si>
  <si>
    <t>NC_2847</t>
  </si>
  <si>
    <t>U31.662</t>
  </si>
  <si>
    <t>NC_3076</t>
  </si>
  <si>
    <t>U64.41</t>
  </si>
  <si>
    <t>NC_2849</t>
  </si>
  <si>
    <t>U31.700</t>
  </si>
  <si>
    <t>NC_3077</t>
  </si>
  <si>
    <t>U64.42</t>
  </si>
  <si>
    <t>NC_2851</t>
  </si>
  <si>
    <t>U31.740</t>
  </si>
  <si>
    <t>NC_3078</t>
  </si>
  <si>
    <t>U64.43</t>
  </si>
  <si>
    <t>NC_2853</t>
  </si>
  <si>
    <t>U31.778</t>
  </si>
  <si>
    <t>NC_3079</t>
  </si>
  <si>
    <t>U64.44</t>
  </si>
  <si>
    <t>NC_2855</t>
  </si>
  <si>
    <t>U31.814</t>
  </si>
  <si>
    <t>NC_3080</t>
  </si>
  <si>
    <t>U64.45</t>
  </si>
  <si>
    <t>NC_2857</t>
  </si>
  <si>
    <t>U31.818</t>
  </si>
  <si>
    <t>NC_3081</t>
  </si>
  <si>
    <t>U64.46</t>
  </si>
  <si>
    <t>NC_2859</t>
  </si>
  <si>
    <t>U31.852</t>
  </si>
  <si>
    <t>NC_3082</t>
  </si>
  <si>
    <t>U64.47</t>
  </si>
  <si>
    <t>NC_2861</t>
  </si>
  <si>
    <t>U31.856</t>
  </si>
  <si>
    <t>NC_3083</t>
  </si>
  <si>
    <t>U64.50</t>
  </si>
  <si>
    <t>NC_2863</t>
  </si>
  <si>
    <t>U31.892</t>
  </si>
  <si>
    <t>NC_3084</t>
  </si>
  <si>
    <t>U64.51</t>
  </si>
  <si>
    <t>NC_2865</t>
  </si>
  <si>
    <t>U31.896</t>
  </si>
  <si>
    <t>NC_3085</t>
  </si>
  <si>
    <t>U64.52</t>
  </si>
  <si>
    <t>NC_2867</t>
  </si>
  <si>
    <t>U31.930</t>
  </si>
  <si>
    <t>NC_3086</t>
  </si>
  <si>
    <t>U64.53</t>
  </si>
  <si>
    <t>NC_2869</t>
  </si>
  <si>
    <t>U31.934</t>
  </si>
  <si>
    <t>NC_3087</t>
  </si>
  <si>
    <t>U64.54</t>
  </si>
  <si>
    <t>NC_2871</t>
  </si>
  <si>
    <t>U31.970</t>
  </si>
  <si>
    <t>NC_3088</t>
  </si>
  <si>
    <t>U64.55</t>
  </si>
  <si>
    <t>NC_2873</t>
  </si>
  <si>
    <t>U31.974</t>
  </si>
  <si>
    <t>NC_3089</t>
  </si>
  <si>
    <t>U63.5</t>
  </si>
  <si>
    <t>NC_2875</t>
  </si>
  <si>
    <t>U31.1008</t>
  </si>
  <si>
    <t>NC_3090</t>
  </si>
  <si>
    <t>U63.6</t>
  </si>
  <si>
    <t>NC_2877</t>
  </si>
  <si>
    <t>U31.1012</t>
  </si>
  <si>
    <t>NC_3091</t>
  </si>
  <si>
    <t>U63.7</t>
  </si>
  <si>
    <t>NC_2879</t>
  </si>
  <si>
    <t>U31.1048</t>
  </si>
  <si>
    <t>NC_3092</t>
  </si>
  <si>
    <t>U63.8</t>
  </si>
  <si>
    <t>NC_2881</t>
  </si>
  <si>
    <t>U31.1052</t>
  </si>
  <si>
    <t>NC_3093</t>
  </si>
  <si>
    <t>U63.9</t>
  </si>
  <si>
    <t>NC_2883</t>
  </si>
  <si>
    <t>U31.1076</t>
  </si>
  <si>
    <t>NC_3094</t>
  </si>
  <si>
    <t>U63.10</t>
  </si>
  <si>
    <t>NC_2885</t>
  </si>
  <si>
    <t>U31.1078</t>
  </si>
  <si>
    <t>NC_3095</t>
  </si>
  <si>
    <t>U63.11</t>
  </si>
  <si>
    <t>NC_2887</t>
  </si>
  <si>
    <t>U31.1084</t>
  </si>
  <si>
    <t>NC_3096</t>
  </si>
  <si>
    <t>U63.12</t>
  </si>
  <si>
    <t>NC_2889</t>
  </si>
  <si>
    <t>U31.1123</t>
  </si>
  <si>
    <t>NC_3097</t>
  </si>
  <si>
    <t>U63.13</t>
  </si>
  <si>
    <t>NC_2891</t>
  </si>
  <si>
    <t>U31.1155</t>
  </si>
  <si>
    <t>NC_3098</t>
  </si>
  <si>
    <t>U63.14</t>
  </si>
  <si>
    <t>NC_2893</t>
  </si>
  <si>
    <t>U31.1158</t>
  </si>
  <si>
    <t>NC_3099</t>
  </si>
  <si>
    <t>U63.17</t>
  </si>
  <si>
    <t>NC_2895</t>
  </si>
  <si>
    <t>U31.1162</t>
  </si>
  <si>
    <t>NC_3100</t>
  </si>
  <si>
    <t>U63.18</t>
  </si>
  <si>
    <t>NC_2897</t>
  </si>
  <si>
    <t>U31.1200</t>
  </si>
  <si>
    <t>NC_3101</t>
  </si>
  <si>
    <t>U63.19</t>
  </si>
  <si>
    <t>NC_2899</t>
  </si>
  <si>
    <t>U31.1239</t>
  </si>
  <si>
    <t>NC_3102</t>
  </si>
  <si>
    <t>U63.20</t>
  </si>
  <si>
    <t>NC_2901</t>
  </si>
  <si>
    <t>U31.1318</t>
  </si>
  <si>
    <t>NC_3103</t>
  </si>
  <si>
    <t>U63.21</t>
  </si>
  <si>
    <t>NC_2903</t>
  </si>
  <si>
    <t>U31.1355</t>
  </si>
  <si>
    <t>NC_3104</t>
  </si>
  <si>
    <t>U63.22</t>
  </si>
  <si>
    <t>NC_2905</t>
  </si>
  <si>
    <t>U31.1390</t>
  </si>
  <si>
    <t>NC_3105</t>
  </si>
  <si>
    <t>U63.23</t>
  </si>
  <si>
    <t>NC_2907</t>
  </si>
  <si>
    <t>U31.1434</t>
  </si>
  <si>
    <t>NC_3106</t>
  </si>
  <si>
    <t>U63.26</t>
  </si>
  <si>
    <t>NC_2909</t>
  </si>
  <si>
    <t>U31.1477</t>
  </si>
  <si>
    <t>NC_3107</t>
  </si>
  <si>
    <t>U63.27</t>
  </si>
  <si>
    <t>NC_2911</t>
  </si>
  <si>
    <t>JD6.68</t>
  </si>
  <si>
    <t>NC_3108</t>
  </si>
  <si>
    <t>U63.28</t>
  </si>
  <si>
    <t>NC_2913</t>
  </si>
  <si>
    <t>JD6.143</t>
  </si>
  <si>
    <t>NC_3109</t>
  </si>
  <si>
    <t>U63.29</t>
  </si>
  <si>
    <t>NC_2919</t>
  </si>
  <si>
    <t>JD5.68</t>
  </si>
  <si>
    <t>NC_3110</t>
  </si>
  <si>
    <t>U63.30</t>
  </si>
  <si>
    <t>NC_2921</t>
  </si>
  <si>
    <t>JD5.143</t>
  </si>
  <si>
    <t>NC_3111</t>
  </si>
  <si>
    <t>U63.31</t>
  </si>
  <si>
    <t>NC_2927</t>
  </si>
  <si>
    <t>JD4.68</t>
  </si>
  <si>
    <t>NC_3112</t>
  </si>
  <si>
    <t>U63.32</t>
  </si>
  <si>
    <t>NC_2929</t>
  </si>
  <si>
    <t>JD4.143</t>
  </si>
  <si>
    <t>NC_3113</t>
  </si>
  <si>
    <t>U63.33</t>
  </si>
  <si>
    <t>NC_2935</t>
  </si>
  <si>
    <t>JD3.68</t>
  </si>
  <si>
    <t>NC_3114</t>
  </si>
  <si>
    <t>U63.34</t>
  </si>
  <si>
    <t>NC_2937</t>
  </si>
  <si>
    <t>JD3.143</t>
  </si>
  <si>
    <t>NC_3115</t>
  </si>
  <si>
    <t>U63.35</t>
  </si>
  <si>
    <t>NC_2943</t>
  </si>
  <si>
    <t>JD2.68</t>
  </si>
  <si>
    <t>NC_3116</t>
  </si>
  <si>
    <t>U63.36</t>
  </si>
  <si>
    <t>NC_2945</t>
  </si>
  <si>
    <t>JD2.143</t>
  </si>
  <si>
    <t>NC_3117</t>
  </si>
  <si>
    <t>U63.37</t>
  </si>
  <si>
    <t>NC_2951</t>
  </si>
  <si>
    <t>JD1.68</t>
  </si>
  <si>
    <t>NC_3118</t>
  </si>
  <si>
    <t>U63.38</t>
  </si>
  <si>
    <t>NC_2953</t>
  </si>
  <si>
    <t>JD1.143</t>
  </si>
  <si>
    <t>NC_3119</t>
  </si>
  <si>
    <t>U63.40</t>
  </si>
  <si>
    <t>NC_2959</t>
  </si>
  <si>
    <t>U153.2</t>
  </si>
  <si>
    <t>NC_3120</t>
  </si>
  <si>
    <t>U63.41</t>
  </si>
  <si>
    <t>NC_2961</t>
  </si>
  <si>
    <t>U153.19</t>
  </si>
  <si>
    <t>NC_3121</t>
  </si>
  <si>
    <t>U63.42</t>
  </si>
  <si>
    <t>NC_2963</t>
  </si>
  <si>
    <t>U153.21</t>
  </si>
  <si>
    <t>NC_3122</t>
  </si>
  <si>
    <t>U63.43</t>
  </si>
  <si>
    <t>NC_2965</t>
  </si>
  <si>
    <t>U153.26</t>
  </si>
  <si>
    <t>NC_3123</t>
  </si>
  <si>
    <t>U63.44</t>
  </si>
  <si>
    <t>NC_2967</t>
  </si>
  <si>
    <t>U153.28</t>
  </si>
  <si>
    <t>NC_3124</t>
  </si>
  <si>
    <t>U63.45</t>
  </si>
  <si>
    <t>NC_2969</t>
  </si>
  <si>
    <t>U153.30</t>
  </si>
  <si>
    <t>NC_3125</t>
  </si>
  <si>
    <t>U63.46</t>
  </si>
  <si>
    <t>NC_2971</t>
  </si>
  <si>
    <t>U153.32</t>
  </si>
  <si>
    <t>NC_3126</t>
  </si>
  <si>
    <t>U63.47</t>
  </si>
  <si>
    <t>NC_2973</t>
  </si>
  <si>
    <t>U152.3</t>
  </si>
  <si>
    <t>NC_3127</t>
  </si>
  <si>
    <t>U63.50</t>
  </si>
  <si>
    <t>NC_2975</t>
  </si>
  <si>
    <t>U152.6</t>
  </si>
  <si>
    <t>NC_3128</t>
  </si>
  <si>
    <t>U63.51</t>
  </si>
  <si>
    <t>NC_2977</t>
  </si>
  <si>
    <t>U152.9</t>
  </si>
  <si>
    <t>NC_3129</t>
  </si>
  <si>
    <t>U63.52</t>
  </si>
  <si>
    <t>NC_2979</t>
  </si>
  <si>
    <t>U152.11</t>
  </si>
  <si>
    <t>NC_3130</t>
  </si>
  <si>
    <t>U63.53</t>
  </si>
  <si>
    <t>NC_2981</t>
  </si>
  <si>
    <t>U152.13</t>
  </si>
  <si>
    <t>NC_3131</t>
  </si>
  <si>
    <t>U63.54</t>
  </si>
  <si>
    <t>NC_2983</t>
  </si>
  <si>
    <t>U152.22</t>
  </si>
  <si>
    <t>NC_3132</t>
  </si>
  <si>
    <t>U63.55</t>
  </si>
  <si>
    <t>NC_2985</t>
  </si>
  <si>
    <t>U152.25</t>
  </si>
  <si>
    <t>NC_3133</t>
  </si>
  <si>
    <t>U62.5</t>
  </si>
  <si>
    <t>NC_2987</t>
  </si>
  <si>
    <t>U152.28</t>
  </si>
  <si>
    <t>NC_3134</t>
  </si>
  <si>
    <t>U62.6</t>
  </si>
  <si>
    <t>NC_2991</t>
  </si>
  <si>
    <t>U150.4</t>
  </si>
  <si>
    <t>NC_3135</t>
  </si>
  <si>
    <t>U62.7</t>
  </si>
  <si>
    <t>NC_2993</t>
  </si>
  <si>
    <t>PU5.5</t>
  </si>
  <si>
    <t>NC_3136</t>
  </si>
  <si>
    <t>U62.8</t>
  </si>
  <si>
    <t>NC_2995</t>
  </si>
  <si>
    <t>U98.1</t>
  </si>
  <si>
    <t>NC_3137</t>
  </si>
  <si>
    <t>U62.9</t>
  </si>
  <si>
    <t>NC_2997</t>
  </si>
  <si>
    <t>U98.5</t>
  </si>
  <si>
    <t>NC_3138</t>
  </si>
  <si>
    <t>U62.10</t>
  </si>
  <si>
    <t>NC_2999</t>
  </si>
  <si>
    <t>U98.7</t>
  </si>
  <si>
    <t>NC_3139</t>
  </si>
  <si>
    <t>U62.11</t>
  </si>
  <si>
    <t>NC_3001</t>
  </si>
  <si>
    <t>U98.9</t>
  </si>
  <si>
    <t>NC_3140</t>
  </si>
  <si>
    <t>U62.12</t>
  </si>
  <si>
    <t>NC_3003</t>
  </si>
  <si>
    <t>U98.11</t>
  </si>
  <si>
    <t>NC_3141</t>
  </si>
  <si>
    <t>U62.13</t>
  </si>
  <si>
    <t>NC_3005</t>
  </si>
  <si>
    <t>U98.13</t>
  </si>
  <si>
    <t>NC_3142</t>
  </si>
  <si>
    <t>U62.14</t>
  </si>
  <si>
    <t>NC_3007</t>
  </si>
  <si>
    <t>U98.15</t>
  </si>
  <si>
    <t>NC_3143</t>
  </si>
  <si>
    <t>U62.17</t>
  </si>
  <si>
    <t>NC_3009</t>
  </si>
  <si>
    <t>U98.17</t>
  </si>
  <si>
    <t>NC_3144</t>
  </si>
  <si>
    <t>U62.18</t>
  </si>
  <si>
    <t>NC_3011</t>
  </si>
  <si>
    <t>U98.19</t>
  </si>
  <si>
    <t>NC_3145</t>
  </si>
  <si>
    <t>U62.19</t>
  </si>
  <si>
    <t>NC_3013</t>
  </si>
  <si>
    <t>U98.21</t>
  </si>
  <si>
    <t>NC_3146</t>
  </si>
  <si>
    <t>U62.20</t>
  </si>
  <si>
    <t>NC_3015</t>
  </si>
  <si>
    <t>U98.23</t>
  </si>
  <si>
    <t>NC_3147</t>
  </si>
  <si>
    <t>U62.21</t>
  </si>
  <si>
    <t>NC_3017</t>
  </si>
  <si>
    <t>U98.27</t>
  </si>
  <si>
    <t>NC_3148</t>
  </si>
  <si>
    <t>U62.22</t>
  </si>
  <si>
    <t>NC_3019</t>
  </si>
  <si>
    <t>U98.29</t>
  </si>
  <si>
    <t>NC_3149</t>
  </si>
  <si>
    <t>U62.23</t>
  </si>
  <si>
    <t>NC_3021</t>
  </si>
  <si>
    <t>U98.31</t>
  </si>
  <si>
    <t>NC_3150</t>
  </si>
  <si>
    <t>U62.26</t>
  </si>
  <si>
    <t>NC_3023</t>
  </si>
  <si>
    <t>U98.33</t>
  </si>
  <si>
    <t>NC_3151</t>
  </si>
  <si>
    <t>U62.27</t>
  </si>
  <si>
    <t>NC_3025</t>
  </si>
  <si>
    <t>U98.35</t>
  </si>
  <si>
    <t>NC_3152</t>
  </si>
  <si>
    <t>U62.28</t>
  </si>
  <si>
    <t>NC_3027</t>
  </si>
  <si>
    <t>U98.37</t>
  </si>
  <si>
    <t>NC_3153</t>
  </si>
  <si>
    <t>U62.29</t>
  </si>
  <si>
    <t>NC_3029</t>
  </si>
  <si>
    <t>U98.40</t>
  </si>
  <si>
    <t>NC_3154</t>
  </si>
  <si>
    <t>U62.30</t>
  </si>
  <si>
    <t>NC_3031</t>
  </si>
  <si>
    <t>U98.42</t>
  </si>
  <si>
    <t>NC_3155</t>
  </si>
  <si>
    <t>U62.31</t>
  </si>
  <si>
    <t>NC_3033</t>
  </si>
  <si>
    <t>U98.44</t>
  </si>
  <si>
    <t>NC_3156</t>
  </si>
  <si>
    <t>U62.32</t>
  </si>
  <si>
    <t>NC_3035</t>
  </si>
  <si>
    <t>U98.46</t>
  </si>
  <si>
    <t>NC_3157</t>
  </si>
  <si>
    <t>U62.33</t>
  </si>
  <si>
    <t>NC_3037</t>
  </si>
  <si>
    <t>U98.50</t>
  </si>
  <si>
    <t>NC_3158</t>
  </si>
  <si>
    <t>U62.34</t>
  </si>
  <si>
    <t>NC_3039</t>
  </si>
  <si>
    <t>U98.52</t>
  </si>
  <si>
    <t>NC_3159</t>
  </si>
  <si>
    <t>U62.35</t>
  </si>
  <si>
    <t>NC_3041</t>
  </si>
  <si>
    <t>U98.54</t>
  </si>
  <si>
    <t>NC_3160</t>
  </si>
  <si>
    <t>U62.36</t>
  </si>
  <si>
    <t>NC_3043</t>
  </si>
  <si>
    <t>U98.56</t>
  </si>
  <si>
    <t>NC_3161</t>
  </si>
  <si>
    <t>U62.37</t>
  </si>
  <si>
    <t>NC_3045</t>
  </si>
  <si>
    <t>U64.5</t>
  </si>
  <si>
    <t>NC_3162</t>
  </si>
  <si>
    <t>U62.38</t>
  </si>
  <si>
    <t>NC_3047</t>
  </si>
  <si>
    <t>U64.7</t>
  </si>
  <si>
    <t>NC_3163</t>
  </si>
  <si>
    <t>U62.40</t>
  </si>
  <si>
    <t>NC_3049</t>
  </si>
  <si>
    <t>U64.9</t>
  </si>
  <si>
    <t>NC_3164</t>
  </si>
  <si>
    <t>U62.41</t>
  </si>
  <si>
    <t>NC_3051</t>
  </si>
  <si>
    <t>U64.11</t>
  </si>
  <si>
    <t>NC_3165</t>
  </si>
  <si>
    <t>U62.42</t>
  </si>
  <si>
    <t>NC_3053</t>
  </si>
  <si>
    <t>U64.13</t>
  </si>
  <si>
    <t>NC_3166</t>
  </si>
  <si>
    <t>U62.43</t>
  </si>
  <si>
    <t>NC_3055</t>
  </si>
  <si>
    <t>U64.17</t>
  </si>
  <si>
    <t>NC_3167</t>
  </si>
  <si>
    <t>U62.44</t>
  </si>
  <si>
    <t>NC_3057</t>
  </si>
  <si>
    <t>U64.19</t>
  </si>
  <si>
    <t>NC_3168</t>
  </si>
  <si>
    <t>U62.45</t>
  </si>
  <si>
    <t>NC_2812</t>
  </si>
  <si>
    <t>SKT2.7</t>
  </si>
  <si>
    <t>NC_3169</t>
  </si>
  <si>
    <t>U62.46</t>
  </si>
  <si>
    <t>NC_2816</t>
  </si>
  <si>
    <t>SKT2.16</t>
  </si>
  <si>
    <t>NC_3170</t>
  </si>
  <si>
    <t>U62.47</t>
  </si>
  <si>
    <t>NC_2826</t>
  </si>
  <si>
    <t>U31.34</t>
  </si>
  <si>
    <t>NC_3171</t>
  </si>
  <si>
    <t>U62.50</t>
  </si>
  <si>
    <t>NC_2830</t>
  </si>
  <si>
    <t>U31.74</t>
  </si>
  <si>
    <t>NC_3172</t>
  </si>
  <si>
    <t>U62.51</t>
  </si>
  <si>
    <t>NC_2834</t>
  </si>
  <si>
    <t>U31.270</t>
  </si>
  <si>
    <t>NC_3173</t>
  </si>
  <si>
    <t>U62.52</t>
  </si>
  <si>
    <t>NC_2838</t>
  </si>
  <si>
    <t>U31.418</t>
  </si>
  <si>
    <t>NC_3174</t>
  </si>
  <si>
    <t>U62.53</t>
  </si>
  <si>
    <t>NC_2842</t>
  </si>
  <si>
    <t>U31.506</t>
  </si>
  <si>
    <t>NC_3175</t>
  </si>
  <si>
    <t>U62.54</t>
  </si>
  <si>
    <t>NC_2846</t>
  </si>
  <si>
    <t>U31.584</t>
  </si>
  <si>
    <t>NC_3176</t>
  </si>
  <si>
    <t>U62.55</t>
  </si>
  <si>
    <t>NC_2850</t>
  </si>
  <si>
    <t>U31.701</t>
  </si>
  <si>
    <t>NC_3177</t>
  </si>
  <si>
    <t>PU19.6</t>
  </si>
  <si>
    <t>NC_2854</t>
  </si>
  <si>
    <t>U31.779</t>
  </si>
  <si>
    <t>NC_3178</t>
  </si>
  <si>
    <t>PU19.31</t>
  </si>
  <si>
    <t>NC_2858</t>
  </si>
  <si>
    <t>U31.819</t>
  </si>
  <si>
    <t>NC_3179</t>
  </si>
  <si>
    <t>PU19.41</t>
  </si>
  <si>
    <t>NC_2862</t>
  </si>
  <si>
    <t>U31.857</t>
  </si>
  <si>
    <t>NC_3180</t>
  </si>
  <si>
    <t>PU18.6</t>
  </si>
  <si>
    <t>NC_2866</t>
  </si>
  <si>
    <t>U31.897</t>
  </si>
  <si>
    <t>NC_3181</t>
  </si>
  <si>
    <t>PU18.31</t>
  </si>
  <si>
    <t>NC_2870</t>
  </si>
  <si>
    <t>U31.935</t>
  </si>
  <si>
    <t>NC_3182</t>
  </si>
  <si>
    <t>PU18.41</t>
  </si>
  <si>
    <t>NC_2874</t>
  </si>
  <si>
    <t>U31.975</t>
  </si>
  <si>
    <t>NC_3183</t>
  </si>
  <si>
    <t>PU17.1</t>
  </si>
  <si>
    <t>NC_2878</t>
  </si>
  <si>
    <t>U31.1013</t>
  </si>
  <si>
    <t>NC_3184</t>
  </si>
  <si>
    <t>PU17.2</t>
  </si>
  <si>
    <t>NC_2882</t>
  </si>
  <si>
    <t>U31.1053</t>
  </si>
  <si>
    <t>NC_3185</t>
  </si>
  <si>
    <t>PU17.3</t>
  </si>
  <si>
    <t>NC_2886</t>
  </si>
  <si>
    <t>U31.1079</t>
  </si>
  <si>
    <t>NC_3186</t>
  </si>
  <si>
    <t>PU17.4</t>
  </si>
  <si>
    <t>NC_2890</t>
  </si>
  <si>
    <t>U31.1154</t>
  </si>
  <si>
    <t>NC_3187</t>
  </si>
  <si>
    <t>PU17.5</t>
  </si>
  <si>
    <t>NC_2894</t>
  </si>
  <si>
    <t>U31.1160</t>
  </si>
  <si>
    <t>NC_3188</t>
  </si>
  <si>
    <t>PU17.6</t>
  </si>
  <si>
    <t>NC_2898</t>
  </si>
  <si>
    <t>U31.1201</t>
  </si>
  <si>
    <t>NC_3189</t>
  </si>
  <si>
    <t>PU17.14</t>
  </si>
  <si>
    <t>NC_2902</t>
  </si>
  <si>
    <t>U31.1351</t>
  </si>
  <si>
    <t>NC_3190</t>
  </si>
  <si>
    <t>PU17.16</t>
  </si>
  <si>
    <t>NC_2906</t>
  </si>
  <si>
    <t>U31.1395</t>
  </si>
  <si>
    <t>NC_3191</t>
  </si>
  <si>
    <t>PU17.27</t>
  </si>
  <si>
    <t>NC_2910</t>
  </si>
  <si>
    <t>U31.1519</t>
  </si>
  <si>
    <t>NC_3192</t>
  </si>
  <si>
    <t>PU17.28</t>
  </si>
  <si>
    <t>NC_2914</t>
  </si>
  <si>
    <t>JD6.144</t>
  </si>
  <si>
    <t>NC_3193</t>
  </si>
  <si>
    <t>PU17.29</t>
  </si>
  <si>
    <t>NC_2922</t>
  </si>
  <si>
    <t>JD5.144</t>
  </si>
  <si>
    <t>NC_3196</t>
  </si>
  <si>
    <t>U175.1</t>
  </si>
  <si>
    <t>NC_2930</t>
  </si>
  <si>
    <t>JD4.144</t>
  </si>
  <si>
    <t>NC_3197</t>
  </si>
  <si>
    <t>U89.1</t>
  </si>
  <si>
    <t>NC_2938</t>
  </si>
  <si>
    <t>JD3.144</t>
  </si>
  <si>
    <t>NC_3198</t>
  </si>
  <si>
    <t>U88.1</t>
  </si>
  <si>
    <t>NC_2946</t>
  </si>
  <si>
    <t>JD2.144</t>
  </si>
  <si>
    <t>NC_3199</t>
  </si>
  <si>
    <t>U92.1</t>
  </si>
  <si>
    <t>NC_2954</t>
  </si>
  <si>
    <t>JD1.144</t>
  </si>
  <si>
    <t>NC_3200</t>
  </si>
  <si>
    <t>U91.1</t>
  </si>
  <si>
    <t>NC_2962</t>
  </si>
  <si>
    <t>U153.20</t>
  </si>
  <si>
    <t>NC_3201</t>
  </si>
  <si>
    <t>U90.1</t>
  </si>
  <si>
    <t>NC_2966</t>
  </si>
  <si>
    <t>U153.27</t>
  </si>
  <si>
    <t>NC_3202</t>
  </si>
  <si>
    <t>U32.3</t>
  </si>
  <si>
    <t>NC_2970</t>
  </si>
  <si>
    <t>U153.31</t>
  </si>
  <si>
    <t>NC_3203</t>
  </si>
  <si>
    <t>U85.8</t>
  </si>
  <si>
    <t>NC_2974</t>
  </si>
  <si>
    <t>U152.5</t>
  </si>
  <si>
    <t>NC_3204</t>
  </si>
  <si>
    <t>U85.11</t>
  </si>
  <si>
    <t>NC_2978</t>
  </si>
  <si>
    <t>U152.10</t>
  </si>
  <si>
    <t>NC_3205</t>
  </si>
  <si>
    <t>U61.6</t>
  </si>
  <si>
    <t>NC_2982</t>
  </si>
  <si>
    <t>U152.21</t>
  </si>
  <si>
    <t>NC_3206</t>
  </si>
  <si>
    <t>U61.7</t>
  </si>
  <si>
    <t>NC_2986</t>
  </si>
  <si>
    <t>U152.27</t>
  </si>
  <si>
    <t>NC_3207</t>
  </si>
  <si>
    <t>U61.37</t>
  </si>
  <si>
    <t>NC_2992</t>
  </si>
  <si>
    <t>U150.6</t>
  </si>
  <si>
    <t>NC_3208</t>
  </si>
  <si>
    <t>U61.38</t>
  </si>
  <si>
    <t>NC_2996</t>
  </si>
  <si>
    <t>U98.4</t>
  </si>
  <si>
    <t>NC_3209</t>
  </si>
  <si>
    <t>U61.57</t>
  </si>
  <si>
    <t>NC_3000</t>
  </si>
  <si>
    <t>U98.8</t>
  </si>
  <si>
    <t>NC_3210</t>
  </si>
  <si>
    <t>U61.58</t>
  </si>
  <si>
    <t>NC_3004</t>
  </si>
  <si>
    <t>U98.12</t>
  </si>
  <si>
    <t>NC_3211</t>
  </si>
  <si>
    <t>U61.61</t>
  </si>
  <si>
    <t>NC_3008</t>
  </si>
  <si>
    <t>U98.16</t>
  </si>
  <si>
    <t>NC_3212</t>
  </si>
  <si>
    <t>U60.6</t>
  </si>
  <si>
    <t>NC_3012</t>
  </si>
  <si>
    <t>U98.20</t>
  </si>
  <si>
    <t>NC_3213</t>
  </si>
  <si>
    <t>U60.7</t>
  </si>
  <si>
    <t>NC_3016</t>
  </si>
  <si>
    <t>U98.26</t>
  </si>
  <si>
    <t>NC_3214</t>
  </si>
  <si>
    <t>U60.37</t>
  </si>
  <si>
    <t>NC_3020</t>
  </si>
  <si>
    <t>U98.30</t>
  </si>
  <si>
    <t>NC_3215</t>
  </si>
  <si>
    <t>U60.38</t>
  </si>
  <si>
    <t>NC_3024</t>
  </si>
  <si>
    <t>U98.34</t>
  </si>
  <si>
    <t>NC_3216</t>
  </si>
  <si>
    <t>U60.57</t>
  </si>
  <si>
    <t>NC_3028</t>
  </si>
  <si>
    <t>U98.38</t>
  </si>
  <si>
    <t>NC_3217</t>
  </si>
  <si>
    <t>U60.58</t>
  </si>
  <si>
    <t>NC_3032</t>
  </si>
  <si>
    <t>U98.43</t>
  </si>
  <si>
    <t>NC_3218</t>
  </si>
  <si>
    <t>U60.61</t>
  </si>
  <si>
    <t>NC_3036</t>
  </si>
  <si>
    <t>U98.47</t>
  </si>
  <si>
    <t>NC_3219</t>
  </si>
  <si>
    <t>U59.6</t>
  </si>
  <si>
    <t>NC_3040</t>
  </si>
  <si>
    <t>U98.53</t>
  </si>
  <si>
    <t>NC_3220</t>
  </si>
  <si>
    <t>U59.7</t>
  </si>
  <si>
    <t>NC_3044</t>
  </si>
  <si>
    <t>U98.57</t>
  </si>
  <si>
    <t>NC_3221</t>
  </si>
  <si>
    <t>U59.37</t>
  </si>
  <si>
    <t>NC_3048</t>
  </si>
  <si>
    <t>U64.8</t>
  </si>
  <si>
    <t>NC_3222</t>
  </si>
  <si>
    <t>U59.38</t>
  </si>
  <si>
    <t>NC_3052</t>
  </si>
  <si>
    <t>U64.12</t>
  </si>
  <si>
    <t>NC_3223</t>
  </si>
  <si>
    <t>U59.57</t>
  </si>
  <si>
    <t>NC_3056</t>
  </si>
  <si>
    <t>U64.18</t>
  </si>
  <si>
    <t>NC_3224</t>
  </si>
  <si>
    <t>U59.58</t>
  </si>
  <si>
    <t>NC_2814</t>
  </si>
  <si>
    <t>SKT2.9</t>
  </si>
  <si>
    <t>NC_3225</t>
  </si>
  <si>
    <t>U59.61</t>
  </si>
  <si>
    <t>NC_2828</t>
  </si>
  <si>
    <t>U31.38</t>
  </si>
  <si>
    <t>NC_3226</t>
  </si>
  <si>
    <t>U4.3</t>
  </si>
  <si>
    <t>NC_2836</t>
  </si>
  <si>
    <t>U31.308</t>
  </si>
  <si>
    <t>NC_3227</t>
  </si>
  <si>
    <t>U4.15</t>
  </si>
  <si>
    <t>NC_2844</t>
  </si>
  <si>
    <t>U31.546</t>
  </si>
  <si>
    <t>NC_3228</t>
  </si>
  <si>
    <t>U4.16</t>
  </si>
  <si>
    <t>NC_2852</t>
  </si>
  <si>
    <t>U31.741</t>
  </si>
  <si>
    <t>NC_3229</t>
  </si>
  <si>
    <t>U3.5</t>
  </si>
  <si>
    <t>NC_2860</t>
  </si>
  <si>
    <t>U31.853</t>
  </si>
  <si>
    <t>NC_3230</t>
  </si>
  <si>
    <t>U3.6</t>
  </si>
  <si>
    <t>NC_2868</t>
  </si>
  <si>
    <t>U31.931</t>
  </si>
  <si>
    <t>NC_3231</t>
  </si>
  <si>
    <t>U3.7</t>
  </si>
  <si>
    <t>NC_2876</t>
  </si>
  <si>
    <t>U31.1009</t>
  </si>
  <si>
    <t>NC_3232</t>
  </si>
  <si>
    <t>U3.8</t>
  </si>
  <si>
    <t>NC_2884</t>
  </si>
  <si>
    <t>U31.1077</t>
  </si>
  <si>
    <t>NC_3233</t>
  </si>
  <si>
    <t>U3.14</t>
  </si>
  <si>
    <t>NC_2892</t>
  </si>
  <si>
    <t>U31.1156</t>
  </si>
  <si>
    <t>NC_3234</t>
  </si>
  <si>
    <t>U3.15</t>
  </si>
  <si>
    <t>NC_2900</t>
  </si>
  <si>
    <t>U31.1240</t>
  </si>
  <si>
    <t>NC_3235</t>
  </si>
  <si>
    <t>U3.20</t>
  </si>
  <si>
    <t>NC_2908</t>
  </si>
  <si>
    <t>U31.1435</t>
  </si>
  <si>
    <t>NC_3236</t>
  </si>
  <si>
    <t>U3.21</t>
  </si>
  <si>
    <t>NC_2920</t>
  </si>
  <si>
    <t>JD5.69</t>
  </si>
  <si>
    <t>NC_3237</t>
  </si>
  <si>
    <t>U1.43</t>
  </si>
  <si>
    <t>NC_2936</t>
  </si>
  <si>
    <t>JD3.69</t>
  </si>
  <si>
    <t>NC_3238</t>
  </si>
  <si>
    <t>U1.76</t>
  </si>
  <si>
    <t>NC_2952</t>
  </si>
  <si>
    <t>JD1.69</t>
  </si>
  <si>
    <t>NC_3239</t>
  </si>
  <si>
    <t>U1.89</t>
  </si>
  <si>
    <t>NC_2964</t>
  </si>
  <si>
    <t>U153.25</t>
  </si>
  <si>
    <t>NC_3240</t>
  </si>
  <si>
    <t>U1.94</t>
  </si>
  <si>
    <t>NC_2972</t>
  </si>
  <si>
    <t>U153.33</t>
  </si>
  <si>
    <t>NC_3241</t>
  </si>
  <si>
    <t>U1.226</t>
  </si>
  <si>
    <t>NC_2980</t>
  </si>
  <si>
    <t>U152.12</t>
  </si>
  <si>
    <t>NC_3242</t>
  </si>
  <si>
    <t>U1.268</t>
  </si>
  <si>
    <t>NC_2988</t>
  </si>
  <si>
    <t>U152.29</t>
  </si>
  <si>
    <t>NC_3243</t>
  </si>
  <si>
    <t>U1.291</t>
  </si>
  <si>
    <t>NC_2998</t>
  </si>
  <si>
    <t>U98.6</t>
  </si>
  <si>
    <t>NC_3244</t>
  </si>
  <si>
    <t>U1.303</t>
  </si>
  <si>
    <t>NC_3006</t>
  </si>
  <si>
    <t>U98.14</t>
  </si>
  <si>
    <t>NC_3245</t>
  </si>
  <si>
    <t>U1.304</t>
  </si>
  <si>
    <t>NC_3014</t>
  </si>
  <si>
    <t>U98.22</t>
  </si>
  <si>
    <t>NC_3246</t>
  </si>
  <si>
    <t>U1.322</t>
  </si>
  <si>
    <t>NC_3022</t>
  </si>
  <si>
    <t>U98.32</t>
  </si>
  <si>
    <t>NC_3247</t>
  </si>
  <si>
    <t>U1.330</t>
  </si>
  <si>
    <t>NC_3030</t>
  </si>
  <si>
    <t>U98.41</t>
  </si>
  <si>
    <t>NC_3248</t>
  </si>
  <si>
    <t>U1.336</t>
  </si>
  <si>
    <t>NC_3038</t>
  </si>
  <si>
    <t>U98.51</t>
  </si>
  <si>
    <t>NC_3249</t>
  </si>
  <si>
    <t>U1.337</t>
  </si>
  <si>
    <t>NC_3046</t>
  </si>
  <si>
    <t>U64.6</t>
  </si>
  <si>
    <t>NC_3250</t>
  </si>
  <si>
    <t>U1.338</t>
  </si>
  <si>
    <t>NC_3054</t>
  </si>
  <si>
    <t>U64.14</t>
  </si>
  <si>
    <t>NC_3251</t>
  </si>
  <si>
    <t>U1.341</t>
  </si>
  <si>
    <t>NC_3307</t>
  </si>
  <si>
    <t>CN1.171</t>
  </si>
  <si>
    <t>NC_3252</t>
  </si>
  <si>
    <t>U1.342</t>
  </si>
  <si>
    <t>NC_2840</t>
  </si>
  <si>
    <t>U31.468</t>
  </si>
  <si>
    <t>NC_3253</t>
  </si>
  <si>
    <t>U1.355</t>
  </si>
  <si>
    <t>NC_2856</t>
  </si>
  <si>
    <t>U31.815</t>
  </si>
  <si>
    <t>NC_3254</t>
  </si>
  <si>
    <t>U1.357</t>
  </si>
  <si>
    <t>NC_2872</t>
  </si>
  <si>
    <t>U31.971</t>
  </si>
  <si>
    <t>NC_3255</t>
  </si>
  <si>
    <t>U1.360</t>
  </si>
  <si>
    <t>NC_2888</t>
  </si>
  <si>
    <t>U31.1114</t>
  </si>
  <si>
    <t>NC_3256</t>
  </si>
  <si>
    <t>U1.361</t>
  </si>
  <si>
    <t>NC_2904</t>
  </si>
  <si>
    <t>U31.1356</t>
  </si>
  <si>
    <t>NC_3257</t>
  </si>
  <si>
    <t>PU3.5</t>
  </si>
  <si>
    <t>NC_2928</t>
  </si>
  <si>
    <t>JD4.69</t>
  </si>
  <si>
    <t>NC_3258</t>
  </si>
  <si>
    <t>PU3.25</t>
  </si>
  <si>
    <t>NC_2960</t>
  </si>
  <si>
    <t>U153.18</t>
  </si>
  <si>
    <t>NC_3259</t>
  </si>
  <si>
    <t>PU2.5</t>
  </si>
  <si>
    <t>NC_2976</t>
  </si>
  <si>
    <t>U152.7</t>
  </si>
  <si>
    <t>NC_3260</t>
  </si>
  <si>
    <t>PU2.25</t>
  </si>
  <si>
    <t>NC_2994</t>
  </si>
  <si>
    <t>PU5.25</t>
  </si>
  <si>
    <t>NC_3261</t>
  </si>
  <si>
    <t>PU1.5</t>
  </si>
  <si>
    <t>NC_3010</t>
  </si>
  <si>
    <t>U98.18</t>
  </si>
  <si>
    <t>NC_3262</t>
  </si>
  <si>
    <t>PU1.25</t>
  </si>
  <si>
    <t>NC_3026</t>
  </si>
  <si>
    <t>U98.36</t>
  </si>
  <si>
    <t>NC_3287</t>
  </si>
  <si>
    <t>CN3.42</t>
  </si>
  <si>
    <t>NC_3042</t>
  </si>
  <si>
    <t>U98.55</t>
  </si>
  <si>
    <t>NC_3288</t>
  </si>
  <si>
    <t>CN3.68</t>
  </si>
  <si>
    <t>NC_2810</t>
  </si>
  <si>
    <t>SKT2.3</t>
  </si>
  <si>
    <t>NC_3289</t>
  </si>
  <si>
    <t>CN3.69</t>
  </si>
  <si>
    <t>NC_2848</t>
  </si>
  <si>
    <t>U31.663</t>
  </si>
  <si>
    <t>NC_3290</t>
  </si>
  <si>
    <t>CN3.81</t>
  </si>
  <si>
    <t>NC_2880</t>
  </si>
  <si>
    <t>U31.1049</t>
  </si>
  <si>
    <t>NC_3291</t>
  </si>
  <si>
    <t>CN3.82</t>
  </si>
  <si>
    <t>NC_2912</t>
  </si>
  <si>
    <t>JD6.69</t>
  </si>
  <si>
    <t>NC_3292</t>
  </si>
  <si>
    <t>CN3.112</t>
  </si>
  <si>
    <t>NC_2968</t>
  </si>
  <si>
    <t>U153.29</t>
  </si>
  <si>
    <t>NC_3293</t>
  </si>
  <si>
    <t>CN3.138</t>
  </si>
  <si>
    <t>NC_3002</t>
  </si>
  <si>
    <t>U98.10</t>
  </si>
  <si>
    <t>NC_3294</t>
  </si>
  <si>
    <t>CN3.139</t>
  </si>
  <si>
    <t>NC_3034</t>
  </si>
  <si>
    <t>U98.45</t>
  </si>
  <si>
    <t>NC_3297</t>
  </si>
  <si>
    <t>CN3.157</t>
  </si>
  <si>
    <t>NC_2832</t>
  </si>
  <si>
    <t>U31.192</t>
  </si>
  <si>
    <t>NC_3298</t>
  </si>
  <si>
    <t>CN3.159</t>
  </si>
  <si>
    <t>NC_2896</t>
  </si>
  <si>
    <t>U31.1199</t>
  </si>
  <si>
    <t>NC_3299</t>
  </si>
  <si>
    <t>CN3.171</t>
  </si>
  <si>
    <t>NC_2984</t>
  </si>
  <si>
    <t>U152.23</t>
  </si>
  <si>
    <t>NC_3300</t>
  </si>
  <si>
    <t>CN1.42</t>
  </si>
  <si>
    <t>NC_3050</t>
  </si>
  <si>
    <t>U64.10</t>
  </si>
  <si>
    <t>NC_3301</t>
  </si>
  <si>
    <t>CN1.81</t>
  </si>
  <si>
    <t>NC_2944</t>
  </si>
  <si>
    <t>JD2.69</t>
  </si>
  <si>
    <t>NC_3302</t>
  </si>
  <si>
    <t>CN1.112</t>
  </si>
  <si>
    <t>NC_2864</t>
  </si>
  <si>
    <t>U31.893</t>
  </si>
  <si>
    <t>NC_3305</t>
  </si>
  <si>
    <t>CN1.157</t>
  </si>
  <si>
    <t>NC_3018</t>
  </si>
  <si>
    <t>U98.28</t>
  </si>
  <si>
    <t>NC_3306</t>
  </si>
  <si>
    <t>CN1.159</t>
  </si>
  <si>
    <t>NC_3308</t>
  </si>
  <si>
    <t>NC_3309</t>
  </si>
  <si>
    <t>NC_3310</t>
  </si>
  <si>
    <t>NC_3311</t>
  </si>
  <si>
    <t>NC_3313</t>
  </si>
  <si>
    <t>NC_3315</t>
  </si>
  <si>
    <t>NC_3317</t>
  </si>
  <si>
    <t>NC_3319</t>
  </si>
  <si>
    <t>NC_3321</t>
  </si>
  <si>
    <t>NC_3324</t>
  </si>
  <si>
    <t>NC_3325</t>
  </si>
  <si>
    <t>NC_3326</t>
  </si>
  <si>
    <t>NC_3327</t>
  </si>
  <si>
    <t>NC_3328</t>
  </si>
  <si>
    <t>NC_3329</t>
  </si>
  <si>
    <t>NC_3331</t>
  </si>
  <si>
    <t>NC_3333</t>
  </si>
  <si>
    <t>NC_3335</t>
  </si>
  <si>
    <t>NC_3337</t>
  </si>
  <si>
    <t>NC_3339</t>
  </si>
  <si>
    <t>NC_3341</t>
  </si>
  <si>
    <t>NC_3342</t>
  </si>
  <si>
    <t>NC_3343</t>
  </si>
  <si>
    <t>NC_3344</t>
  </si>
  <si>
    <t>NC_3345</t>
  </si>
  <si>
    <t>NC_3347</t>
  </si>
  <si>
    <t>NC_3348</t>
  </si>
  <si>
    <t>NC_3349</t>
  </si>
  <si>
    <t>NC_3350</t>
  </si>
  <si>
    <t>NC_3351</t>
  </si>
  <si>
    <t>NC_3352</t>
  </si>
  <si>
    <t>NC_3353</t>
  </si>
  <si>
    <t>NC_3354</t>
  </si>
  <si>
    <t>NC_3355</t>
  </si>
  <si>
    <t>NC_3356</t>
  </si>
  <si>
    <t>NC_3357</t>
  </si>
  <si>
    <t>NC_3358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</si>
</sst>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%"/>
    <numFmt numFmtId="177" formatCode="\$#,##0\ ;\(\$#,##0\)"/>
    <numFmt numFmtId="178" formatCode="&quot;VND&quot;#,##0_);[Red]\(&quot;VND&quot;#,##0\)"/>
    <numFmt numFmtId="179" formatCode="&quot;\&quot;#,##0;[Red]&quot;\&quot;&quot;\&quot;\-#,##0"/>
    <numFmt numFmtId="180" formatCode="&quot;\&quot;#,##0.00;[Red]&quot;\&quot;&quot;\&quot;&quot;\&quot;&quot;\&quot;&quot;\&quot;&quot;\&quot;\-#,##0.00"/>
    <numFmt numFmtId="181" formatCode="&quot;\&quot;#,##0.00;[Red]&quot;\&quot;\-#,##0.00"/>
    <numFmt numFmtId="182" formatCode="&quot;\&quot;#,##0;[Red]&quot;\&quot;\-#,##0"/>
  </numFmts>
  <fonts count="6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VNtimes new roman"/>
      <family val="1"/>
    </font>
    <font>
      <sz val="14"/>
      <name val="뼻뮝"/>
      <family val="3"/>
    </font>
    <font>
      <sz val="12"/>
      <name val="뼻뮝"/>
      <family val="3"/>
    </font>
    <font>
      <sz val="12"/>
      <name val="바탕체"/>
      <family val="3"/>
    </font>
    <font>
      <sz val="10"/>
      <name val="굴림체"/>
      <family val="3"/>
    </font>
    <font>
      <sz val="12"/>
      <name val="宋体"/>
      <charset val="136"/>
    </font>
    <font>
      <sz val="8"/>
      <name val="Arial"/>
      <family val="2"/>
    </font>
    <font>
      <sz val="10"/>
      <color indexed="63"/>
      <name val="Times New Roman"/>
      <family val="1"/>
    </font>
    <font>
      <sz val="10"/>
      <name val="細明體"/>
      <family val="3"/>
      <charset val="136"/>
    </font>
    <font>
      <b/>
      <sz val="9"/>
      <color indexed="81"/>
      <name val="Tahoma"/>
      <family val="2"/>
    </font>
    <font>
      <sz val="10"/>
      <name val="新細明體"/>
      <family val="1"/>
      <charset val="136"/>
    </font>
    <font>
      <sz val="9"/>
      <color indexed="81"/>
      <name val="Tahoma"/>
      <family val="2"/>
    </font>
    <font>
      <b/>
      <sz val="10"/>
      <name val="標楷體"/>
      <family val="4"/>
      <charset val="136"/>
    </font>
    <font>
      <sz val="10"/>
      <name val="標楷體"/>
      <family val="4"/>
      <charset val="136"/>
    </font>
    <font>
      <sz val="10"/>
      <color indexed="63"/>
      <name val="標楷體"/>
      <family val="4"/>
      <charset val="136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8"/>
      <color indexed="9"/>
      <name val="Times New Roman"/>
      <family val="1"/>
    </font>
    <font>
      <sz val="12"/>
      <color indexed="63"/>
      <name val="Times New Roman"/>
      <family val="1"/>
    </font>
    <font>
      <sz val="8"/>
      <color indexed="63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63"/>
      <name val="Times New Roman"/>
      <family val="1"/>
    </font>
    <font>
      <b/>
      <sz val="9"/>
      <name val="Times New Roman"/>
      <family val="1"/>
    </font>
    <font>
      <u/>
      <sz val="10"/>
      <color indexed="12"/>
      <name val="Times New Roman"/>
      <family val="1"/>
    </font>
    <font>
      <b/>
      <sz val="10"/>
      <color indexed="55"/>
      <name val="Times New Roman"/>
      <family val="1"/>
    </font>
    <font>
      <b/>
      <sz val="8"/>
      <color indexed="63"/>
      <name val="Times New Roman"/>
      <family val="1"/>
    </font>
    <font>
      <b/>
      <sz val="12"/>
      <color indexed="63"/>
      <name val="Times New Roman"/>
      <family val="1"/>
    </font>
    <font>
      <b/>
      <sz val="8"/>
      <name val="Times New Roman"/>
      <family val="1"/>
    </font>
    <font>
      <sz val="9"/>
      <name val="Times New Roman"/>
      <family val="1"/>
    </font>
    <font>
      <b/>
      <sz val="16"/>
      <color indexed="12"/>
      <name val="標楷體"/>
      <family val="4"/>
      <charset val="136"/>
    </font>
    <font>
      <sz val="9"/>
      <color indexed="8"/>
      <name val="標楷體"/>
      <family val="4"/>
      <charset val="136"/>
    </font>
    <font>
      <b/>
      <sz val="9"/>
      <color indexed="81"/>
      <name val="細明體"/>
      <family val="3"/>
      <charset val="136"/>
    </font>
    <font>
      <b/>
      <sz val="9"/>
      <color indexed="81"/>
      <name val="標楷體"/>
      <family val="4"/>
      <charset val="136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"/>
      <color indexed="1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b/>
      <sz val="20"/>
      <color rgb="FF0000CC"/>
      <name val="Times New Roman"/>
      <family val="1"/>
    </font>
    <font>
      <sz val="10"/>
      <color rgb="FF0000FF"/>
      <name val="Times New Roman"/>
      <family val="1"/>
    </font>
    <font>
      <sz val="9"/>
      <color theme="1"/>
      <name val="Times New Roman"/>
      <family val="1"/>
    </font>
    <font>
      <sz val="7.5"/>
      <color theme="1"/>
      <name val="新細明體"/>
      <family val="1"/>
      <charset val="136"/>
      <scheme val="minor"/>
    </font>
    <font>
      <sz val="10"/>
      <color rgb="FFFF0000"/>
      <name val="Times New Roman"/>
      <family val="1"/>
    </font>
    <font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color rgb="FF0070C0"/>
      <name val="Times New Roman"/>
      <family val="1"/>
    </font>
    <font>
      <b/>
      <sz val="10"/>
      <color theme="1"/>
      <name val="Times New Roman"/>
      <family val="1"/>
    </font>
    <font>
      <b/>
      <sz val="10"/>
      <color rgb="FF0070C0"/>
      <name val="Times New Roman"/>
      <family val="1"/>
    </font>
    <font>
      <b/>
      <sz val="10"/>
      <color rgb="FFFF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17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2"/>
        <bgColor indexed="17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/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thin">
        <color indexed="64"/>
      </bottom>
      <diagonal/>
    </border>
  </borders>
  <cellStyleXfs count="56">
    <xf numFmtId="0" fontId="0" fillId="0" borderId="0"/>
    <xf numFmtId="3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2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8" fontId="8" fillId="0" borderId="0"/>
    <xf numFmtId="0" fontId="5" fillId="0" borderId="0"/>
    <xf numFmtId="0" fontId="5" fillId="0" borderId="1" applyNumberFormat="0" applyFont="0" applyFill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2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" fillId="0" borderId="0">
      <alignment vertical="center"/>
    </xf>
    <xf numFmtId="40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0" fontId="5" fillId="0" borderId="0" applyFont="0" applyFill="0" applyBorder="0" applyAlignment="0" applyProtection="0"/>
    <xf numFmtId="0" fontId="10" fillId="0" borderId="0"/>
    <xf numFmtId="179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181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2" fillId="0" borderId="0"/>
    <xf numFmtId="0" fontId="60" fillId="0" borderId="0">
      <alignment vertical="center"/>
    </xf>
    <xf numFmtId="0" fontId="1" fillId="0" borderId="0">
      <alignment vertical="center"/>
    </xf>
  </cellStyleXfs>
  <cellXfs count="270">
    <xf numFmtId="0" fontId="0" fillId="0" borderId="0" xfId="0"/>
    <xf numFmtId="0" fontId="0" fillId="0" borderId="2" xfId="0" applyBorder="1"/>
    <xf numFmtId="0" fontId="45" fillId="0" borderId="2" xfId="16" applyFont="1" applyBorder="1" applyAlignment="1">
      <alignment horizontal="left" vertical="center" wrapText="1"/>
    </xf>
    <xf numFmtId="0" fontId="5" fillId="0" borderId="0" xfId="20" applyFont="1" applyBorder="1"/>
    <xf numFmtId="0" fontId="15" fillId="0" borderId="2" xfId="0" applyFont="1" applyBorder="1" applyAlignment="1" applyProtection="1">
      <alignment horizontal="left" vertical="center" wrapText="1"/>
      <protection locked="0"/>
    </xf>
    <xf numFmtId="0" fontId="16" fillId="0" borderId="0" xfId="20" applyFont="1" applyBorder="1"/>
    <xf numFmtId="0" fontId="5" fillId="0" borderId="0" xfId="20" applyFont="1" applyFill="1" applyBorder="1"/>
    <xf numFmtId="0" fontId="47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/>
    <xf numFmtId="0" fontId="23" fillId="0" borderId="0" xfId="0" applyFont="1" applyBorder="1" applyAlignment="1">
      <alignment horizontal="left" vertical="center"/>
    </xf>
    <xf numFmtId="0" fontId="23" fillId="7" borderId="2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2" xfId="0" applyFont="1" applyFill="1" applyBorder="1" applyAlignment="1">
      <alignment vertical="center" wrapText="1"/>
    </xf>
    <xf numFmtId="0" fontId="25" fillId="0" borderId="0" xfId="0" applyFont="1" applyBorder="1" applyAlignment="1">
      <alignment vertical="center"/>
    </xf>
    <xf numFmtId="0" fontId="25" fillId="0" borderId="2" xfId="0" applyFont="1" applyBorder="1" applyAlignment="1">
      <alignment vertical="center" wrapText="1"/>
    </xf>
    <xf numFmtId="0" fontId="15" fillId="0" borderId="2" xfId="0" applyFont="1" applyFill="1" applyBorder="1" applyAlignment="1" applyProtection="1">
      <alignment horizontal="left" vertical="center"/>
    </xf>
    <xf numFmtId="0" fontId="27" fillId="0" borderId="0" xfId="0" applyFont="1" applyProtection="1">
      <protection locked="0"/>
    </xf>
    <xf numFmtId="0" fontId="27" fillId="0" borderId="0" xfId="0" applyFont="1" applyProtection="1"/>
    <xf numFmtId="0" fontId="23" fillId="2" borderId="5" xfId="0" applyFont="1" applyFill="1" applyBorder="1" applyAlignment="1" applyProtection="1">
      <alignment horizontal="center" vertical="center"/>
    </xf>
    <xf numFmtId="0" fontId="23" fillId="2" borderId="0" xfId="0" applyFont="1" applyFill="1" applyBorder="1" applyAlignment="1" applyProtection="1">
      <alignment horizontal="center" vertical="center"/>
    </xf>
    <xf numFmtId="0" fontId="23" fillId="2" borderId="6" xfId="0" applyFont="1" applyFill="1" applyBorder="1" applyAlignment="1" applyProtection="1">
      <alignment horizontal="center" vertical="center"/>
    </xf>
    <xf numFmtId="0" fontId="28" fillId="0" borderId="0" xfId="0" applyFont="1" applyProtection="1">
      <protection locked="0"/>
    </xf>
    <xf numFmtId="0" fontId="28" fillId="0" borderId="0" xfId="0" applyFont="1" applyProtection="1"/>
    <xf numFmtId="0" fontId="29" fillId="2" borderId="5" xfId="0" applyFont="1" applyFill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29" fillId="2" borderId="0" xfId="0" applyFont="1" applyFill="1" applyBorder="1" applyAlignment="1" applyProtection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</xf>
    <xf numFmtId="0" fontId="30" fillId="0" borderId="5" xfId="0" applyFont="1" applyBorder="1" applyAlignment="1" applyProtection="1">
      <alignment horizontal="center" vertical="center" wrapText="1"/>
    </xf>
    <xf numFmtId="0" fontId="25" fillId="0" borderId="2" xfId="0" applyFont="1" applyBorder="1" applyAlignment="1" applyProtection="1">
      <alignment horizontal="center" vertical="center"/>
    </xf>
    <xf numFmtId="0" fontId="25" fillId="0" borderId="6" xfId="0" applyFont="1" applyFill="1" applyBorder="1" applyAlignment="1" applyProtection="1">
      <alignment vertical="center"/>
    </xf>
    <xf numFmtId="0" fontId="28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</xf>
    <xf numFmtId="0" fontId="15" fillId="0" borderId="6" xfId="0" applyFont="1" applyBorder="1" applyAlignment="1" applyProtection="1">
      <alignment vertical="center"/>
    </xf>
    <xf numFmtId="0" fontId="25" fillId="0" borderId="0" xfId="0" applyFont="1" applyBorder="1" applyAlignment="1" applyProtection="1">
      <alignment horizontal="center" vertical="center"/>
    </xf>
    <xf numFmtId="0" fontId="25" fillId="0" borderId="0" xfId="0" applyFont="1" applyBorder="1" applyAlignment="1" applyProtection="1">
      <alignment horizontal="left" vertical="center"/>
    </xf>
    <xf numFmtId="0" fontId="48" fillId="0" borderId="0" xfId="0" applyFont="1" applyBorder="1" applyAlignment="1" applyProtection="1">
      <alignment horizontal="right" vertical="center"/>
    </xf>
    <xf numFmtId="0" fontId="23" fillId="0" borderId="0" xfId="0" applyFont="1" applyBorder="1" applyAlignment="1" applyProtection="1">
      <alignment horizontal="left" vertical="center"/>
    </xf>
    <xf numFmtId="0" fontId="15" fillId="0" borderId="0" xfId="0" applyFont="1" applyBorder="1" applyAlignment="1" applyProtection="1">
      <alignment vertical="center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5" xfId="0" applyFont="1" applyFill="1" applyBorder="1" applyProtection="1">
      <protection locked="0"/>
    </xf>
    <xf numFmtId="0" fontId="28" fillId="0" borderId="0" xfId="0" applyFont="1" applyFill="1" applyProtection="1">
      <protection locked="0"/>
    </xf>
    <xf numFmtId="0" fontId="30" fillId="0" borderId="5" xfId="0" applyFont="1" applyBorder="1" applyAlignment="1" applyProtection="1">
      <alignment horizontal="center" vertical="center"/>
    </xf>
    <xf numFmtId="0" fontId="15" fillId="0" borderId="0" xfId="0" applyFont="1" applyAlignment="1" applyProtection="1">
      <alignment vertical="center"/>
    </xf>
    <xf numFmtId="0" fontId="30" fillId="0" borderId="0" xfId="0" applyFont="1" applyBorder="1" applyAlignment="1" applyProtection="1">
      <alignment horizontal="center" vertical="center"/>
    </xf>
    <xf numFmtId="0" fontId="23" fillId="3" borderId="5" xfId="0" applyFont="1" applyFill="1" applyBorder="1" applyAlignment="1" applyProtection="1">
      <alignment horizontal="left" vertical="center"/>
    </xf>
    <xf numFmtId="0" fontId="23" fillId="3" borderId="0" xfId="0" applyFont="1" applyFill="1" applyBorder="1" applyAlignment="1" applyProtection="1">
      <alignment horizontal="left" vertical="center"/>
    </xf>
    <xf numFmtId="10" fontId="25" fillId="3" borderId="6" xfId="0" applyNumberFormat="1" applyFont="1" applyFill="1" applyBorder="1" applyProtection="1"/>
    <xf numFmtId="0" fontId="28" fillId="0" borderId="0" xfId="0" applyFont="1" applyFill="1" applyProtection="1"/>
    <xf numFmtId="0" fontId="25" fillId="3" borderId="5" xfId="0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vertical="center" wrapText="1"/>
      <protection locked="0"/>
    </xf>
    <xf numFmtId="0" fontId="15" fillId="0" borderId="5" xfId="0" applyFont="1" applyFill="1" applyBorder="1" applyProtection="1"/>
    <xf numFmtId="0" fontId="23" fillId="0" borderId="6" xfId="0" applyFont="1" applyFill="1" applyBorder="1" applyAlignment="1" applyProtection="1">
      <alignment horizontal="center" vertical="center"/>
    </xf>
    <xf numFmtId="0" fontId="30" fillId="0" borderId="6" xfId="0" applyFont="1" applyFill="1" applyBorder="1" applyAlignment="1" applyProtection="1">
      <alignment vertical="center" wrapText="1"/>
    </xf>
    <xf numFmtId="0" fontId="28" fillId="0" borderId="0" xfId="0" applyFont="1" applyAlignment="1" applyProtection="1">
      <alignment vertical="center" wrapText="1"/>
    </xf>
    <xf numFmtId="49" fontId="15" fillId="0" borderId="6" xfId="0" applyNumberFormat="1" applyFont="1" applyFill="1" applyBorder="1" applyAlignment="1" applyProtection="1">
      <alignment vertical="center" wrapText="1"/>
    </xf>
    <xf numFmtId="0" fontId="30" fillId="0" borderId="0" xfId="0" applyFont="1" applyBorder="1" applyAlignment="1" applyProtection="1">
      <alignment horizontal="center" vertical="center" wrapText="1"/>
    </xf>
    <xf numFmtId="0" fontId="15" fillId="0" borderId="5" xfId="0" applyFont="1" applyFill="1" applyBorder="1" applyAlignment="1" applyProtection="1">
      <alignment vertical="center"/>
    </xf>
    <xf numFmtId="0" fontId="15" fillId="0" borderId="0" xfId="0" applyFont="1" applyFill="1" applyBorder="1" applyAlignment="1" applyProtection="1">
      <alignment vertical="center"/>
    </xf>
    <xf numFmtId="0" fontId="25" fillId="7" borderId="2" xfId="0" applyFont="1" applyFill="1" applyBorder="1" applyAlignment="1" applyProtection="1">
      <alignment horizontal="center" vertical="center"/>
    </xf>
    <xf numFmtId="0" fontId="15" fillId="0" borderId="3" xfId="0" applyFont="1" applyFill="1" applyBorder="1" applyAlignment="1" applyProtection="1">
      <alignment horizontal="center" vertical="center"/>
    </xf>
    <xf numFmtId="0" fontId="32" fillId="0" borderId="0" xfId="42" quotePrefix="1" applyFont="1" applyBorder="1" applyAlignment="1" applyProtection="1">
      <alignment vertical="center"/>
    </xf>
    <xf numFmtId="0" fontId="33" fillId="0" borderId="7" xfId="0" applyFont="1" applyBorder="1" applyAlignment="1" applyProtection="1">
      <alignment horizontal="left" vertical="center"/>
    </xf>
    <xf numFmtId="0" fontId="33" fillId="0" borderId="8" xfId="0" applyFont="1" applyBorder="1" applyAlignment="1" applyProtection="1">
      <alignment horizontal="left" vertical="center"/>
    </xf>
    <xf numFmtId="0" fontId="15" fillId="0" borderId="9" xfId="0" applyFont="1" applyBorder="1" applyAlignment="1" applyProtection="1">
      <alignment vertical="center"/>
    </xf>
    <xf numFmtId="0" fontId="34" fillId="0" borderId="0" xfId="0" applyFont="1" applyAlignment="1" applyProtection="1">
      <alignment horizontal="center"/>
    </xf>
    <xf numFmtId="0" fontId="35" fillId="0" borderId="0" xfId="0" applyFont="1" applyAlignment="1" applyProtection="1">
      <alignment horizontal="center"/>
    </xf>
    <xf numFmtId="0" fontId="25" fillId="3" borderId="10" xfId="0" applyFont="1" applyFill="1" applyBorder="1" applyAlignment="1" applyProtection="1">
      <alignment horizontal="left" vertical="center"/>
    </xf>
    <xf numFmtId="0" fontId="30" fillId="0" borderId="11" xfId="0" applyFont="1" applyBorder="1" applyAlignment="1" applyProtection="1">
      <alignment horizontal="center" vertical="center" wrapText="1"/>
    </xf>
    <xf numFmtId="0" fontId="15" fillId="0" borderId="11" xfId="0" applyFont="1" applyBorder="1" applyAlignment="1" applyProtection="1">
      <alignment vertical="center" wrapText="1"/>
    </xf>
    <xf numFmtId="0" fontId="25" fillId="3" borderId="12" xfId="0" applyFont="1" applyFill="1" applyBorder="1" applyAlignment="1" applyProtection="1">
      <alignment horizontal="left" vertical="center"/>
    </xf>
    <xf numFmtId="0" fontId="15" fillId="0" borderId="0" xfId="0" applyFont="1" applyBorder="1" applyAlignment="1" applyProtection="1">
      <alignment vertical="center" wrapText="1"/>
    </xf>
    <xf numFmtId="0" fontId="25" fillId="3" borderId="13" xfId="0" applyFont="1" applyFill="1" applyBorder="1" applyAlignment="1" applyProtection="1">
      <alignment horizontal="left" vertical="center"/>
    </xf>
    <xf numFmtId="0" fontId="30" fillId="0" borderId="4" xfId="0" applyFont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vertical="center"/>
    </xf>
    <xf numFmtId="0" fontId="23" fillId="4" borderId="14" xfId="20" applyFont="1" applyFill="1" applyBorder="1" applyAlignment="1" applyProtection="1">
      <alignment horizontal="center" vertical="center"/>
      <protection locked="0"/>
    </xf>
    <xf numFmtId="0" fontId="37" fillId="0" borderId="0" xfId="20" applyFont="1" applyBorder="1" applyAlignment="1" applyProtection="1">
      <alignment vertical="center"/>
      <protection locked="0"/>
    </xf>
    <xf numFmtId="0" fontId="36" fillId="0" borderId="2" xfId="20" applyFont="1" applyBorder="1" applyAlignment="1" applyProtection="1">
      <alignment horizontal="center"/>
      <protection locked="0"/>
    </xf>
    <xf numFmtId="0" fontId="36" fillId="0" borderId="2" xfId="0" applyFont="1" applyBorder="1" applyAlignment="1">
      <alignment vertical="center"/>
    </xf>
    <xf numFmtId="0" fontId="36" fillId="0" borderId="2" xfId="20" applyFont="1" applyBorder="1" applyProtection="1">
      <protection locked="0"/>
    </xf>
    <xf numFmtId="0" fontId="36" fillId="0" borderId="2" xfId="0" applyFont="1" applyFill="1" applyBorder="1" applyAlignment="1" applyProtection="1">
      <alignment horizontal="center"/>
      <protection locked="0"/>
    </xf>
    <xf numFmtId="0" fontId="36" fillId="0" borderId="2" xfId="20" applyFont="1" applyFill="1" applyBorder="1" applyProtection="1">
      <protection locked="0"/>
    </xf>
    <xf numFmtId="0" fontId="37" fillId="0" borderId="0" xfId="20" applyFont="1" applyFill="1" applyBorder="1" applyProtection="1">
      <protection locked="0"/>
    </xf>
    <xf numFmtId="0" fontId="37" fillId="0" borderId="0" xfId="20" applyFont="1" applyBorder="1" applyProtection="1">
      <protection locked="0"/>
    </xf>
    <xf numFmtId="0" fontId="37" fillId="0" borderId="0" xfId="20" applyFont="1" applyBorder="1" applyAlignment="1" applyProtection="1">
      <alignment horizontal="center"/>
      <protection locked="0"/>
    </xf>
    <xf numFmtId="0" fontId="36" fillId="0" borderId="0" xfId="20" applyFont="1" applyBorder="1" applyProtection="1">
      <protection locked="0"/>
    </xf>
    <xf numFmtId="0" fontId="37" fillId="0" borderId="0" xfId="0" applyFont="1" applyFill="1" applyProtection="1">
      <protection locked="0"/>
    </xf>
    <xf numFmtId="0" fontId="37" fillId="0" borderId="0" xfId="0" applyFont="1" applyAlignment="1" applyProtection="1">
      <alignment horizontal="center"/>
      <protection locked="0"/>
    </xf>
    <xf numFmtId="0" fontId="23" fillId="4" borderId="2" xfId="20" applyFont="1" applyFill="1" applyBorder="1" applyAlignment="1" applyProtection="1">
      <alignment horizontal="center" vertical="center"/>
      <protection locked="0"/>
    </xf>
    <xf numFmtId="0" fontId="23" fillId="4" borderId="2" xfId="20" applyFont="1" applyFill="1" applyBorder="1" applyAlignment="1" applyProtection="1">
      <alignment vertical="center"/>
      <protection locked="0"/>
    </xf>
    <xf numFmtId="0" fontId="49" fillId="0" borderId="0" xfId="14" applyFont="1" applyBorder="1">
      <alignment vertical="center"/>
    </xf>
    <xf numFmtId="0" fontId="37" fillId="0" borderId="0" xfId="0" applyFont="1" applyBorder="1" applyProtection="1">
      <protection locked="0"/>
    </xf>
    <xf numFmtId="0" fontId="37" fillId="0" borderId="0" xfId="0" applyFont="1" applyProtection="1">
      <protection locked="0"/>
    </xf>
    <xf numFmtId="0" fontId="23" fillId="4" borderId="2" xfId="20" applyFont="1" applyFill="1" applyBorder="1" applyAlignment="1" applyProtection="1">
      <alignment vertical="center" wrapText="1"/>
      <protection locked="0"/>
    </xf>
    <xf numFmtId="0" fontId="25" fillId="0" borderId="0" xfId="0" applyFont="1" applyProtection="1">
      <protection locked="0"/>
    </xf>
    <xf numFmtId="0" fontId="25" fillId="0" borderId="0" xfId="0" applyFont="1" applyBorder="1" applyProtection="1">
      <protection locked="0"/>
    </xf>
    <xf numFmtId="0" fontId="25" fillId="0" borderId="0" xfId="0" applyFont="1" applyFill="1" applyBorder="1" applyProtection="1">
      <protection locked="0"/>
    </xf>
    <xf numFmtId="0" fontId="25" fillId="0" borderId="0" xfId="20" applyFont="1" applyBorder="1"/>
    <xf numFmtId="0" fontId="37" fillId="0" borderId="0" xfId="20" applyFont="1" applyBorder="1"/>
    <xf numFmtId="0" fontId="25" fillId="0" borderId="0" xfId="20" applyFont="1" applyBorder="1" applyAlignment="1">
      <alignment horizontal="center"/>
    </xf>
    <xf numFmtId="0" fontId="23" fillId="4" borderId="14" xfId="20" applyFont="1" applyFill="1" applyBorder="1" applyAlignment="1">
      <alignment horizontal="center" vertical="center"/>
    </xf>
    <xf numFmtId="0" fontId="31" fillId="4" borderId="14" xfId="20" applyFont="1" applyFill="1" applyBorder="1" applyAlignment="1" applyProtection="1">
      <alignment horizontal="center" vertical="center"/>
    </xf>
    <xf numFmtId="0" fontId="31" fillId="4" borderId="14" xfId="39" applyFont="1" applyFill="1" applyBorder="1" applyAlignment="1">
      <alignment horizontal="center" vertical="center"/>
    </xf>
    <xf numFmtId="0" fontId="25" fillId="0" borderId="0" xfId="20" applyFont="1" applyBorder="1" applyAlignment="1">
      <alignment vertical="center"/>
    </xf>
    <xf numFmtId="0" fontId="37" fillId="0" borderId="2" xfId="0" applyFont="1" applyBorder="1" applyProtection="1">
      <protection locked="0"/>
    </xf>
    <xf numFmtId="0" fontId="37" fillId="0" borderId="2" xfId="20" applyFont="1" applyBorder="1" applyProtection="1">
      <protection locked="0"/>
    </xf>
    <xf numFmtId="0" fontId="25" fillId="0" borderId="15" xfId="20" applyFont="1" applyBorder="1" applyAlignment="1">
      <alignment horizontal="center"/>
    </xf>
    <xf numFmtId="0" fontId="36" fillId="4" borderId="14" xfId="20" applyFont="1" applyFill="1" applyBorder="1" applyAlignment="1" applyProtection="1">
      <alignment horizontal="center" vertical="center"/>
      <protection locked="0"/>
    </xf>
    <xf numFmtId="0" fontId="36" fillId="0" borderId="2" xfId="0" applyFont="1" applyBorder="1" applyAlignment="1" applyProtection="1">
      <alignment horizontal="center"/>
      <protection locked="0"/>
    </xf>
    <xf numFmtId="0" fontId="25" fillId="0" borderId="0" xfId="2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23" fillId="4" borderId="14" xfId="20" applyFont="1" applyFill="1" applyBorder="1" applyAlignment="1" applyProtection="1">
      <alignment horizontal="center" vertical="center" wrapText="1"/>
    </xf>
    <xf numFmtId="0" fontId="38" fillId="0" borderId="0" xfId="20" applyFont="1" applyBorder="1" applyAlignment="1">
      <alignment horizontal="left"/>
    </xf>
    <xf numFmtId="0" fontId="39" fillId="0" borderId="2" xfId="30" applyFont="1" applyFill="1" applyBorder="1">
      <alignment vertical="center"/>
    </xf>
    <xf numFmtId="0" fontId="21" fillId="0" borderId="2" xfId="0" applyFont="1" applyBorder="1" applyAlignment="1">
      <alignment horizontal="left" vertical="center"/>
    </xf>
    <xf numFmtId="0" fontId="23" fillId="4" borderId="2" xfId="20" applyFont="1" applyFill="1" applyBorder="1" applyAlignment="1" applyProtection="1">
      <alignment horizontal="center" vertical="center"/>
    </xf>
    <xf numFmtId="0" fontId="20" fillId="4" borderId="2" xfId="20" applyFont="1" applyFill="1" applyBorder="1" applyAlignment="1" applyProtection="1">
      <alignment horizontal="center" vertical="center" wrapText="1"/>
    </xf>
    <xf numFmtId="0" fontId="25" fillId="0" borderId="0" xfId="20" applyFont="1" applyBorder="1" applyAlignment="1" applyProtection="1">
      <alignment horizontal="center" vertical="center"/>
      <protection locked="0"/>
    </xf>
    <xf numFmtId="0" fontId="25" fillId="0" borderId="2" xfId="0" applyFont="1" applyFill="1" applyBorder="1" applyProtection="1">
      <protection locked="0"/>
    </xf>
    <xf numFmtId="0" fontId="36" fillId="0" borderId="2" xfId="0" applyFont="1" applyBorder="1" applyAlignment="1">
      <alignment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30" xfId="29" applyFont="1" applyBorder="1" applyAlignment="1">
      <alignment vertical="center" wrapText="1"/>
    </xf>
    <xf numFmtId="0" fontId="50" fillId="0" borderId="29" xfId="0" applyFont="1" applyBorder="1" applyAlignment="1">
      <alignment horizontal="left" vertical="center" wrapText="1"/>
    </xf>
    <xf numFmtId="0" fontId="53" fillId="0" borderId="2" xfId="0" applyFont="1" applyBorder="1" applyAlignment="1">
      <alignment horizontal="left" vertical="center" wrapText="1"/>
    </xf>
    <xf numFmtId="0" fontId="58" fillId="0" borderId="2" xfId="0" applyFont="1" applyBorder="1" applyAlignment="1">
      <alignment horizontal="left" vertical="center" wrapText="1"/>
    </xf>
    <xf numFmtId="0" fontId="45" fillId="0" borderId="0" xfId="29" applyBorder="1">
      <alignment vertical="center"/>
    </xf>
    <xf numFmtId="0" fontId="49" fillId="0" borderId="0" xfId="14" applyFont="1">
      <alignment vertical="center"/>
    </xf>
    <xf numFmtId="0" fontId="36" fillId="0" borderId="0" xfId="0" applyFont="1" applyBorder="1" applyAlignment="1">
      <alignment vertical="center"/>
    </xf>
    <xf numFmtId="0" fontId="23" fillId="4" borderId="0" xfId="20" applyFont="1" applyFill="1" applyBorder="1" applyAlignment="1" applyProtection="1">
      <alignment horizontal="center" vertical="center"/>
      <protection locked="0"/>
    </xf>
    <xf numFmtId="0" fontId="23" fillId="4" borderId="0" xfId="20" applyFont="1" applyFill="1" applyBorder="1" applyAlignment="1" applyProtection="1">
      <alignment horizontal="center" vertical="center" wrapText="1"/>
    </xf>
    <xf numFmtId="0" fontId="37" fillId="0" borderId="2" xfId="0" applyFont="1" applyBorder="1" applyAlignment="1" applyProtection="1">
      <protection locked="0"/>
    </xf>
    <xf numFmtId="0" fontId="50" fillId="0" borderId="31" xfId="29" applyFont="1" applyBorder="1" applyAlignment="1">
      <alignment vertical="center" wrapText="1"/>
    </xf>
    <xf numFmtId="0" fontId="50" fillId="0" borderId="30" xfId="29" applyFont="1" applyBorder="1" applyAlignment="1">
      <alignment horizontal="left" vertical="center" wrapText="1"/>
    </xf>
    <xf numFmtId="0" fontId="50" fillId="0" borderId="30" xfId="0" applyFont="1" applyBorder="1" applyAlignment="1">
      <alignment horizontal="left" vertical="center" wrapText="1"/>
    </xf>
    <xf numFmtId="0" fontId="50" fillId="0" borderId="2" xfId="29" applyFont="1" applyBorder="1" applyAlignment="1">
      <alignment horizontal="left" vertical="center" wrapText="1"/>
    </xf>
    <xf numFmtId="0" fontId="39" fillId="0" borderId="2" xfId="30" applyFont="1" applyBorder="1">
      <alignment vertical="center"/>
    </xf>
    <xf numFmtId="0" fontId="36" fillId="0" borderId="15" xfId="0" applyFont="1" applyBorder="1" applyAlignment="1" applyProtection="1">
      <alignment horizontal="center"/>
      <protection locked="0"/>
    </xf>
    <xf numFmtId="0" fontId="50" fillId="0" borderId="2" xfId="0" applyFont="1" applyBorder="1" applyAlignment="1">
      <alignment horizontal="left" vertical="center" wrapText="1"/>
    </xf>
    <xf numFmtId="0" fontId="23" fillId="4" borderId="2" xfId="2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left" vertical="center" wrapText="1"/>
    </xf>
    <xf numFmtId="0" fontId="25" fillId="0" borderId="15" xfId="0" applyFont="1" applyFill="1" applyBorder="1" applyAlignment="1">
      <alignment horizontal="left" vertical="center"/>
    </xf>
    <xf numFmtId="0" fontId="25" fillId="0" borderId="3" xfId="0" applyFont="1" applyFill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23" fillId="0" borderId="0" xfId="0" applyFont="1" applyBorder="1" applyAlignment="1">
      <alignment horizontal="left" vertical="center"/>
    </xf>
    <xf numFmtId="0" fontId="23" fillId="7" borderId="3" xfId="0" applyFont="1" applyFill="1" applyBorder="1" applyAlignment="1">
      <alignment horizontal="center" vertical="center"/>
    </xf>
    <xf numFmtId="0" fontId="23" fillId="7" borderId="15" xfId="0" applyFont="1" applyFill="1" applyBorder="1" applyAlignment="1">
      <alignment horizontal="center" vertical="center"/>
    </xf>
    <xf numFmtId="0" fontId="23" fillId="0" borderId="3" xfId="0" applyFont="1" applyBorder="1" applyAlignment="1" applyProtection="1">
      <alignment horizontal="center" vertical="center"/>
    </xf>
    <xf numFmtId="0" fontId="23" fillId="0" borderId="15" xfId="0" applyFont="1" applyBorder="1" applyAlignment="1" applyProtection="1">
      <alignment horizontal="center" vertical="center"/>
    </xf>
    <xf numFmtId="0" fontId="31" fillId="0" borderId="3" xfId="0" applyFont="1" applyBorder="1" applyAlignment="1" applyProtection="1">
      <alignment horizontal="center" vertical="center"/>
    </xf>
    <xf numFmtId="0" fontId="31" fillId="0" borderId="15" xfId="0" applyFont="1" applyBorder="1" applyAlignment="1" applyProtection="1">
      <alignment horizontal="center" vertical="center"/>
    </xf>
    <xf numFmtId="0" fontId="54" fillId="0" borderId="3" xfId="0" applyFont="1" applyBorder="1" applyAlignment="1" applyProtection="1">
      <alignment horizontal="center" vertical="center"/>
    </xf>
    <xf numFmtId="0" fontId="54" fillId="0" borderId="15" xfId="0" applyFont="1" applyBorder="1" applyAlignment="1" applyProtection="1">
      <alignment horizontal="center" vertical="center"/>
    </xf>
    <xf numFmtId="0" fontId="55" fillId="0" borderId="3" xfId="0" applyFont="1" applyBorder="1" applyAlignment="1" applyProtection="1">
      <alignment horizontal="center" vertical="center"/>
    </xf>
    <xf numFmtId="0" fontId="55" fillId="0" borderId="15" xfId="0" applyFont="1" applyBorder="1" applyAlignment="1" applyProtection="1">
      <alignment horizontal="center" vertical="center"/>
    </xf>
    <xf numFmtId="0" fontId="56" fillId="0" borderId="3" xfId="0" applyFont="1" applyBorder="1" applyAlignment="1" applyProtection="1">
      <alignment horizontal="center" vertical="center"/>
    </xf>
    <xf numFmtId="0" fontId="56" fillId="0" borderId="15" xfId="0" applyFont="1" applyBorder="1" applyAlignment="1" applyProtection="1">
      <alignment horizontal="center" vertical="center"/>
    </xf>
    <xf numFmtId="0" fontId="57" fillId="0" borderId="3" xfId="0" applyFont="1" applyBorder="1" applyAlignment="1" applyProtection="1">
      <alignment horizontal="center" vertical="center"/>
    </xf>
    <xf numFmtId="0" fontId="57" fillId="0" borderId="15" xfId="0" applyFont="1" applyBorder="1" applyAlignment="1" applyProtection="1">
      <alignment horizontal="center" vertical="center"/>
    </xf>
    <xf numFmtId="0" fontId="23" fillId="0" borderId="4" xfId="0" applyFont="1" applyBorder="1" applyAlignment="1" applyProtection="1">
      <alignment horizontal="left" vertical="center"/>
    </xf>
    <xf numFmtId="0" fontId="23" fillId="0" borderId="2" xfId="0" applyFont="1" applyBorder="1" applyAlignment="1" applyProtection="1">
      <alignment horizontal="left" vertical="center"/>
    </xf>
    <xf numFmtId="0" fontId="25" fillId="0" borderId="2" xfId="0" applyFont="1" applyBorder="1" applyAlignment="1" applyProtection="1">
      <alignment horizontal="center" vertical="center"/>
      <protection locked="0"/>
    </xf>
    <xf numFmtId="0" fontId="15" fillId="0" borderId="10" xfId="0" applyFont="1" applyBorder="1" applyAlignment="1" applyProtection="1">
      <alignment horizontal="center" vertical="center" wrapText="1"/>
      <protection locked="0"/>
    </xf>
    <xf numFmtId="0" fontId="15" fillId="0" borderId="11" xfId="0" applyFont="1" applyBorder="1" applyAlignment="1" applyProtection="1">
      <alignment horizontal="center" vertical="center" wrapText="1"/>
      <protection locked="0"/>
    </xf>
    <xf numFmtId="0" fontId="15" fillId="0" borderId="20" xfId="0" applyFont="1" applyBorder="1" applyAlignment="1" applyProtection="1">
      <alignment horizontal="center" vertical="center" wrapText="1"/>
      <protection locked="0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5" fillId="0" borderId="19" xfId="0" applyFont="1" applyBorder="1" applyAlignment="1" applyProtection="1">
      <alignment horizontal="center" vertical="center" wrapText="1"/>
      <protection locked="0"/>
    </xf>
    <xf numFmtId="0" fontId="15" fillId="0" borderId="15" xfId="0" applyFont="1" applyBorder="1" applyAlignment="1" applyProtection="1">
      <alignment horizontal="center" vertical="center" wrapText="1"/>
      <protection locked="0"/>
    </xf>
    <xf numFmtId="9" fontId="15" fillId="0" borderId="3" xfId="37" applyFont="1" applyFill="1" applyBorder="1" applyAlignment="1" applyProtection="1">
      <alignment horizontal="center" vertical="center"/>
    </xf>
    <xf numFmtId="9" fontId="15" fillId="0" borderId="19" xfId="37" applyFont="1" applyFill="1" applyBorder="1" applyAlignment="1" applyProtection="1">
      <alignment horizontal="center" vertical="center"/>
    </xf>
    <xf numFmtId="9" fontId="15" fillId="0" borderId="15" xfId="37" applyFont="1" applyFill="1" applyBorder="1" applyAlignment="1" applyProtection="1">
      <alignment horizontal="center" vertical="center"/>
    </xf>
    <xf numFmtId="0" fontId="25" fillId="0" borderId="3" xfId="0" applyFont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/>
      <protection locked="0"/>
    </xf>
    <xf numFmtId="0" fontId="15" fillId="0" borderId="3" xfId="0" applyFont="1" applyFill="1" applyBorder="1" applyAlignment="1" applyProtection="1">
      <alignment horizontal="center" vertical="center"/>
    </xf>
    <xf numFmtId="0" fontId="15" fillId="0" borderId="19" xfId="0" applyFont="1" applyFill="1" applyBorder="1" applyAlignment="1" applyProtection="1">
      <alignment horizontal="center" vertical="center"/>
    </xf>
    <xf numFmtId="0" fontId="15" fillId="0" borderId="15" xfId="0" applyFont="1" applyFill="1" applyBorder="1" applyAlignment="1" applyProtection="1">
      <alignment horizontal="center" vertical="center"/>
    </xf>
    <xf numFmtId="0" fontId="25" fillId="7" borderId="2" xfId="0" applyFont="1" applyFill="1" applyBorder="1" applyAlignment="1" applyProtection="1">
      <alignment horizontal="center" vertical="center"/>
    </xf>
    <xf numFmtId="0" fontId="25" fillId="0" borderId="2" xfId="0" applyFont="1" applyFill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vertical="center"/>
    </xf>
    <xf numFmtId="0" fontId="48" fillId="0" borderId="0" xfId="0" applyFont="1" applyBorder="1" applyAlignment="1" applyProtection="1">
      <alignment horizontal="right" vertical="center"/>
    </xf>
    <xf numFmtId="0" fontId="23" fillId="0" borderId="0" xfId="0" applyFont="1" applyBorder="1" applyAlignment="1" applyProtection="1">
      <alignment horizontal="left" vertical="center"/>
    </xf>
    <xf numFmtId="0" fontId="25" fillId="0" borderId="2" xfId="0" applyFont="1" applyFill="1" applyBorder="1" applyAlignment="1" applyProtection="1">
      <alignment horizontal="left" vertical="center"/>
    </xf>
    <xf numFmtId="0" fontId="25" fillId="0" borderId="3" xfId="0" applyFont="1" applyBorder="1" applyAlignment="1" applyProtection="1">
      <alignment horizontal="right" vertical="center"/>
    </xf>
    <xf numFmtId="0" fontId="25" fillId="0" borderId="19" xfId="0" applyFont="1" applyBorder="1" applyAlignment="1" applyProtection="1">
      <alignment horizontal="right" vertical="center"/>
    </xf>
    <xf numFmtId="0" fontId="25" fillId="0" borderId="15" xfId="0" applyFont="1" applyBorder="1" applyAlignment="1" applyProtection="1">
      <alignment horizontal="right" vertical="center"/>
    </xf>
    <xf numFmtId="176" fontId="25" fillId="0" borderId="3" xfId="37" applyNumberFormat="1" applyFont="1" applyBorder="1" applyAlignment="1" applyProtection="1">
      <alignment horizontal="center" vertical="center"/>
    </xf>
    <xf numFmtId="176" fontId="25" fillId="0" borderId="19" xfId="37" applyNumberFormat="1" applyFont="1" applyBorder="1" applyAlignment="1" applyProtection="1">
      <alignment horizontal="center" vertical="center"/>
    </xf>
    <xf numFmtId="176" fontId="25" fillId="0" borderId="15" xfId="37" applyNumberFormat="1" applyFont="1" applyBorder="1" applyAlignment="1" applyProtection="1">
      <alignment horizontal="center" vertical="center"/>
    </xf>
    <xf numFmtId="0" fontId="25" fillId="6" borderId="10" xfId="0" applyFont="1" applyFill="1" applyBorder="1" applyAlignment="1" applyProtection="1">
      <alignment horizontal="center" vertical="center"/>
    </xf>
    <xf numFmtId="0" fontId="25" fillId="6" borderId="11" xfId="0" applyFont="1" applyFill="1" applyBorder="1" applyAlignment="1" applyProtection="1">
      <alignment horizontal="center" vertical="center"/>
    </xf>
    <xf numFmtId="0" fontId="25" fillId="6" borderId="20" xfId="0" applyFont="1" applyFill="1" applyBorder="1" applyAlignment="1" applyProtection="1">
      <alignment horizontal="center" vertical="center"/>
    </xf>
    <xf numFmtId="0" fontId="25" fillId="6" borderId="13" xfId="0" applyFont="1" applyFill="1" applyBorder="1" applyAlignment="1" applyProtection="1">
      <alignment horizontal="center" vertical="center"/>
    </xf>
    <xf numFmtId="0" fontId="25" fillId="6" borderId="4" xfId="0" applyFont="1" applyFill="1" applyBorder="1" applyAlignment="1" applyProtection="1">
      <alignment horizontal="center" vertical="center"/>
    </xf>
    <xf numFmtId="0" fontId="25" fillId="6" borderId="21" xfId="0" applyFont="1" applyFill="1" applyBorder="1" applyAlignment="1" applyProtection="1">
      <alignment horizontal="center" vertical="center"/>
    </xf>
    <xf numFmtId="0" fontId="52" fillId="3" borderId="3" xfId="0" applyFont="1" applyFill="1" applyBorder="1" applyAlignment="1" applyProtection="1">
      <alignment horizontal="right" vertical="center"/>
    </xf>
    <xf numFmtId="0" fontId="52" fillId="3" borderId="19" xfId="0" applyFont="1" applyFill="1" applyBorder="1" applyAlignment="1" applyProtection="1">
      <alignment horizontal="right" vertical="center"/>
    </xf>
    <xf numFmtId="0" fontId="52" fillId="3" borderId="15" xfId="0" applyFont="1" applyFill="1" applyBorder="1" applyAlignment="1" applyProtection="1">
      <alignment horizontal="right" vertical="center"/>
    </xf>
    <xf numFmtId="176" fontId="53" fillId="0" borderId="2" xfId="37" applyNumberFormat="1" applyFont="1" applyFill="1" applyBorder="1" applyAlignment="1" applyProtection="1">
      <alignment horizontal="center" vertical="center"/>
    </xf>
    <xf numFmtId="176" fontId="23" fillId="0" borderId="2" xfId="37" applyNumberFormat="1" applyFont="1" applyFill="1" applyBorder="1" applyAlignment="1" applyProtection="1">
      <alignment horizontal="center" vertical="center"/>
    </xf>
    <xf numFmtId="176" fontId="53" fillId="0" borderId="2" xfId="0" applyNumberFormat="1" applyFont="1" applyBorder="1" applyAlignment="1" applyProtection="1">
      <alignment horizontal="center" vertical="center"/>
    </xf>
    <xf numFmtId="0" fontId="25" fillId="0" borderId="3" xfId="0" applyFont="1" applyFill="1" applyBorder="1" applyAlignment="1" applyProtection="1">
      <alignment horizontal="center" vertical="center"/>
      <protection locked="0"/>
    </xf>
    <xf numFmtId="0" fontId="25" fillId="0" borderId="19" xfId="0" applyFont="1" applyFill="1" applyBorder="1" applyAlignment="1" applyProtection="1">
      <alignment horizontal="center" vertical="center"/>
      <protection locked="0"/>
    </xf>
    <xf numFmtId="0" fontId="25" fillId="0" borderId="15" xfId="0" applyFont="1" applyFill="1" applyBorder="1" applyAlignment="1" applyProtection="1">
      <alignment horizontal="center" vertical="center"/>
      <protection locked="0"/>
    </xf>
    <xf numFmtId="0" fontId="25" fillId="0" borderId="14" xfId="0" applyFont="1" applyBorder="1" applyAlignment="1" applyProtection="1">
      <alignment horizontal="center" vertical="center"/>
    </xf>
    <xf numFmtId="0" fontId="25" fillId="0" borderId="28" xfId="0" applyFont="1" applyBorder="1" applyAlignment="1" applyProtection="1">
      <alignment horizontal="center" vertical="center"/>
    </xf>
    <xf numFmtId="0" fontId="15" fillId="0" borderId="10" xfId="0" applyFont="1" applyFill="1" applyBorder="1" applyAlignment="1" applyProtection="1">
      <alignment horizontal="center" vertical="center" wrapText="1"/>
    </xf>
    <xf numFmtId="0" fontId="15" fillId="0" borderId="11" xfId="0" applyFont="1" applyFill="1" applyBorder="1" applyAlignment="1" applyProtection="1">
      <alignment horizontal="center" vertical="center"/>
    </xf>
    <xf numFmtId="0" fontId="15" fillId="0" borderId="20" xfId="0" applyFont="1" applyFill="1" applyBorder="1" applyAlignment="1" applyProtection="1">
      <alignment horizontal="center" vertical="center"/>
    </xf>
    <xf numFmtId="0" fontId="15" fillId="0" borderId="13" xfId="0" applyFont="1" applyFill="1" applyBorder="1" applyAlignment="1" applyProtection="1">
      <alignment horizontal="center" vertical="center"/>
    </xf>
    <xf numFmtId="0" fontId="15" fillId="0" borderId="4" xfId="0" applyFont="1" applyFill="1" applyBorder="1" applyAlignment="1" applyProtection="1">
      <alignment horizontal="center" vertical="center"/>
    </xf>
    <xf numFmtId="0" fontId="15" fillId="0" borderId="21" xfId="0" applyFont="1" applyFill="1" applyBorder="1" applyAlignment="1" applyProtection="1">
      <alignment horizontal="center" vertical="center"/>
    </xf>
    <xf numFmtId="0" fontId="15" fillId="7" borderId="3" xfId="0" applyFont="1" applyFill="1" applyBorder="1" applyAlignment="1" applyProtection="1">
      <alignment horizontal="center" vertical="center"/>
    </xf>
    <xf numFmtId="0" fontId="15" fillId="7" borderId="19" xfId="0" applyFont="1" applyFill="1" applyBorder="1" applyAlignment="1" applyProtection="1">
      <alignment horizontal="center" vertical="center"/>
    </xf>
    <xf numFmtId="0" fontId="15" fillId="7" borderId="15" xfId="0" applyFont="1" applyFill="1" applyBorder="1" applyAlignment="1" applyProtection="1">
      <alignment horizontal="center" vertical="center"/>
    </xf>
    <xf numFmtId="0" fontId="15" fillId="0" borderId="3" xfId="0" applyFont="1" applyBorder="1" applyAlignment="1" applyProtection="1">
      <alignment horizontal="center" vertical="center"/>
      <protection locked="0"/>
    </xf>
    <xf numFmtId="0" fontId="15" fillId="0" borderId="19" xfId="0" applyFont="1" applyBorder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51" fillId="3" borderId="3" xfId="0" applyFont="1" applyFill="1" applyBorder="1" applyAlignment="1" applyProtection="1">
      <alignment horizontal="center" vertical="center"/>
    </xf>
    <xf numFmtId="0" fontId="51" fillId="3" borderId="19" xfId="0" applyFont="1" applyFill="1" applyBorder="1" applyAlignment="1" applyProtection="1">
      <alignment horizontal="center" vertical="center"/>
    </xf>
    <xf numFmtId="0" fontId="51" fillId="3" borderId="15" xfId="0" applyFont="1" applyFill="1" applyBorder="1" applyAlignment="1" applyProtection="1">
      <alignment horizontal="center" vertical="center"/>
    </xf>
    <xf numFmtId="0" fontId="15" fillId="7" borderId="2" xfId="0" applyFont="1" applyFill="1" applyBorder="1" applyAlignment="1" applyProtection="1">
      <alignment horizontal="center" vertical="center"/>
    </xf>
    <xf numFmtId="0" fontId="15" fillId="10" borderId="2" xfId="0" applyFont="1" applyFill="1" applyBorder="1" applyAlignment="1" applyProtection="1">
      <alignment horizontal="center" vertical="center"/>
    </xf>
    <xf numFmtId="0" fontId="25" fillId="0" borderId="3" xfId="0" applyFont="1" applyBorder="1" applyAlignment="1" applyProtection="1">
      <alignment horizontal="center" vertical="center"/>
    </xf>
    <xf numFmtId="0" fontId="25" fillId="0" borderId="19" xfId="0" applyFont="1" applyBorder="1" applyAlignment="1" applyProtection="1">
      <alignment horizontal="center" vertical="center"/>
    </xf>
    <xf numFmtId="0" fontId="25" fillId="0" borderId="15" xfId="0" applyFont="1" applyBorder="1" applyAlignment="1" applyProtection="1">
      <alignment horizontal="center" vertical="center"/>
    </xf>
    <xf numFmtId="0" fontId="25" fillId="3" borderId="3" xfId="0" applyFont="1" applyFill="1" applyBorder="1" applyAlignment="1" applyProtection="1">
      <alignment horizontal="center" vertical="center"/>
    </xf>
    <xf numFmtId="0" fontId="25" fillId="3" borderId="19" xfId="0" applyFont="1" applyFill="1" applyBorder="1" applyAlignment="1" applyProtection="1">
      <alignment horizontal="center" vertical="center"/>
    </xf>
    <xf numFmtId="0" fontId="25" fillId="3" borderId="15" xfId="0" applyFont="1" applyFill="1" applyBorder="1" applyAlignment="1" applyProtection="1">
      <alignment horizontal="center" vertical="center"/>
    </xf>
    <xf numFmtId="0" fontId="25" fillId="0" borderId="2" xfId="0" applyFont="1" applyBorder="1" applyAlignment="1" applyProtection="1">
      <alignment horizontal="center" vertical="center"/>
    </xf>
    <xf numFmtId="0" fontId="15" fillId="0" borderId="10" xfId="0" applyFont="1" applyFill="1" applyBorder="1" applyAlignment="1" applyProtection="1">
      <alignment horizontal="center" vertical="center"/>
    </xf>
    <xf numFmtId="0" fontId="25" fillId="8" borderId="3" xfId="0" applyFont="1" applyFill="1" applyBorder="1" applyAlignment="1" applyProtection="1">
      <alignment horizontal="center" vertical="center"/>
    </xf>
    <xf numFmtId="0" fontId="25" fillId="8" borderId="19" xfId="0" applyFont="1" applyFill="1" applyBorder="1" applyAlignment="1" applyProtection="1">
      <alignment horizontal="center" vertical="center"/>
    </xf>
    <xf numFmtId="0" fontId="25" fillId="8" borderId="15" xfId="0" applyFont="1" applyFill="1" applyBorder="1" applyAlignment="1" applyProtection="1">
      <alignment horizontal="center" vertical="center"/>
    </xf>
    <xf numFmtId="0" fontId="25" fillId="4" borderId="3" xfId="0" applyFont="1" applyFill="1" applyBorder="1" applyAlignment="1" applyProtection="1">
      <alignment horizontal="center" vertical="center"/>
    </xf>
    <xf numFmtId="0" fontId="25" fillId="4" borderId="19" xfId="0" applyFont="1" applyFill="1" applyBorder="1" applyAlignment="1" applyProtection="1">
      <alignment horizontal="center" vertical="center"/>
    </xf>
    <xf numFmtId="0" fontId="25" fillId="4" borderId="15" xfId="0" applyFont="1" applyFill="1" applyBorder="1" applyAlignment="1" applyProtection="1">
      <alignment horizontal="center" vertical="center"/>
    </xf>
    <xf numFmtId="0" fontId="25" fillId="6" borderId="22" xfId="0" applyFont="1" applyFill="1" applyBorder="1" applyAlignment="1" applyProtection="1">
      <alignment horizontal="left" vertical="center" wrapText="1"/>
    </xf>
    <xf numFmtId="0" fontId="25" fillId="6" borderId="23" xfId="0" applyFont="1" applyFill="1" applyBorder="1" applyAlignment="1" applyProtection="1">
      <alignment horizontal="left" vertical="center"/>
    </xf>
    <xf numFmtId="0" fontId="25" fillId="6" borderId="24" xfId="0" applyFont="1" applyFill="1" applyBorder="1" applyAlignment="1" applyProtection="1">
      <alignment horizontal="left" vertical="center"/>
    </xf>
    <xf numFmtId="0" fontId="25" fillId="6" borderId="25" xfId="0" applyFont="1" applyFill="1" applyBorder="1" applyAlignment="1" applyProtection="1">
      <alignment horizontal="left" vertical="center"/>
    </xf>
    <xf numFmtId="0" fontId="25" fillId="6" borderId="26" xfId="0" applyFont="1" applyFill="1" applyBorder="1" applyAlignment="1" applyProtection="1">
      <alignment horizontal="left" vertical="center"/>
    </xf>
    <xf numFmtId="0" fontId="25" fillId="6" borderId="27" xfId="0" applyFont="1" applyFill="1" applyBorder="1" applyAlignment="1" applyProtection="1">
      <alignment horizontal="left" vertical="center"/>
    </xf>
    <xf numFmtId="0" fontId="25" fillId="0" borderId="2" xfId="0" applyFont="1" applyBorder="1" applyAlignment="1" applyProtection="1">
      <alignment horizontal="left" vertical="center"/>
    </xf>
    <xf numFmtId="0" fontId="51" fillId="0" borderId="2" xfId="0" applyFont="1" applyBorder="1" applyAlignment="1" applyProtection="1">
      <alignment horizontal="right" vertical="center"/>
      <protection locked="0"/>
    </xf>
    <xf numFmtId="0" fontId="25" fillId="0" borderId="3" xfId="0" applyFont="1" applyFill="1" applyBorder="1" applyAlignment="1" applyProtection="1">
      <alignment horizontal="left" vertical="center"/>
    </xf>
    <xf numFmtId="0" fontId="25" fillId="0" borderId="19" xfId="0" applyFont="1" applyFill="1" applyBorder="1" applyAlignment="1" applyProtection="1">
      <alignment horizontal="left" vertical="center"/>
    </xf>
    <xf numFmtId="0" fontId="25" fillId="0" borderId="15" xfId="0" applyFont="1" applyFill="1" applyBorder="1" applyAlignment="1" applyProtection="1">
      <alignment horizontal="left" vertical="center"/>
    </xf>
    <xf numFmtId="0" fontId="51" fillId="3" borderId="3" xfId="0" applyFont="1" applyFill="1" applyBorder="1" applyAlignment="1" applyProtection="1">
      <alignment horizontal="right" vertical="center"/>
    </xf>
    <xf numFmtId="0" fontId="51" fillId="3" borderId="19" xfId="0" applyFont="1" applyFill="1" applyBorder="1" applyAlignment="1" applyProtection="1">
      <alignment horizontal="right" vertical="center"/>
    </xf>
    <xf numFmtId="0" fontId="51" fillId="3" borderId="15" xfId="0" applyFont="1" applyFill="1" applyBorder="1" applyAlignment="1" applyProtection="1">
      <alignment horizontal="right" vertical="center"/>
    </xf>
    <xf numFmtId="10" fontId="53" fillId="9" borderId="3" xfId="0" applyNumberFormat="1" applyFont="1" applyFill="1" applyBorder="1" applyAlignment="1" applyProtection="1">
      <alignment horizontal="right" vertical="center"/>
    </xf>
    <xf numFmtId="10" fontId="53" fillId="9" borderId="19" xfId="0" applyNumberFormat="1" applyFont="1" applyFill="1" applyBorder="1" applyAlignment="1" applyProtection="1">
      <alignment horizontal="right" vertical="center"/>
    </xf>
    <xf numFmtId="10" fontId="53" fillId="9" borderId="15" xfId="0" applyNumberFormat="1" applyFont="1" applyFill="1" applyBorder="1" applyAlignment="1" applyProtection="1">
      <alignment horizontal="right" vertical="center"/>
    </xf>
    <xf numFmtId="10" fontId="53" fillId="0" borderId="3" xfId="0" applyNumberFormat="1" applyFont="1" applyBorder="1" applyAlignment="1" applyProtection="1">
      <alignment horizontal="right" vertical="center"/>
    </xf>
    <xf numFmtId="10" fontId="53" fillId="0" borderId="19" xfId="0" applyNumberFormat="1" applyFont="1" applyBorder="1" applyAlignment="1" applyProtection="1">
      <alignment horizontal="right" vertical="center"/>
    </xf>
    <xf numFmtId="10" fontId="53" fillId="0" borderId="15" xfId="0" applyNumberFormat="1" applyFont="1" applyBorder="1" applyAlignment="1" applyProtection="1">
      <alignment horizontal="right" vertical="center"/>
    </xf>
    <xf numFmtId="0" fontId="26" fillId="5" borderId="16" xfId="0" applyFont="1" applyFill="1" applyBorder="1" applyAlignment="1" applyProtection="1">
      <alignment horizontal="center" vertical="center"/>
    </xf>
    <xf numFmtId="0" fontId="26" fillId="5" borderId="17" xfId="0" applyFont="1" applyFill="1" applyBorder="1" applyAlignment="1" applyProtection="1">
      <alignment horizontal="center" vertical="center"/>
    </xf>
    <xf numFmtId="0" fontId="26" fillId="5" borderId="18" xfId="0" applyFont="1" applyFill="1" applyBorder="1" applyAlignment="1" applyProtection="1">
      <alignment horizontal="center" vertical="center"/>
    </xf>
    <xf numFmtId="0" fontId="25" fillId="2" borderId="11" xfId="0" applyFont="1" applyFill="1" applyBorder="1" applyAlignment="1" applyProtection="1">
      <alignment horizontal="right" vertical="center"/>
    </xf>
    <xf numFmtId="0" fontId="48" fillId="2" borderId="11" xfId="0" applyFont="1" applyFill="1" applyBorder="1" applyAlignment="1" applyProtection="1">
      <alignment horizontal="left" vertical="center"/>
      <protection locked="0"/>
    </xf>
    <xf numFmtId="0" fontId="25" fillId="2" borderId="4" xfId="0" applyFont="1" applyFill="1" applyBorder="1" applyAlignment="1" applyProtection="1">
      <alignment horizontal="right" vertical="center"/>
    </xf>
    <xf numFmtId="14" fontId="48" fillId="2" borderId="4" xfId="0" applyNumberFormat="1" applyFont="1" applyFill="1" applyBorder="1" applyAlignment="1" applyProtection="1">
      <alignment horizontal="left" vertical="center"/>
      <protection locked="0"/>
    </xf>
  </cellXfs>
  <cellStyles count="56">
    <cellStyle name="Comma0" xfId="1" xr:uid="{00000000-0005-0000-0000-000000000000}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1" xfId="5" xr:uid="{00000000-0005-0000-0000-000004000000}"/>
    <cellStyle name="Heading 2" xfId="6" xr:uid="{00000000-0005-0000-0000-000005000000}"/>
    <cellStyle name="Normal - Style1" xfId="7" xr:uid="{00000000-0005-0000-0000-000006000000}"/>
    <cellStyle name="Normal_08108-1A Untestable_Report" xfId="8" xr:uid="{00000000-0005-0000-0000-000007000000}"/>
    <cellStyle name="Total" xfId="9" xr:uid="{00000000-0005-0000-0000-000008000000}"/>
    <cellStyle name="一般" xfId="0" builtinId="0"/>
    <cellStyle name="一般 10" xfId="10" xr:uid="{00000000-0005-0000-0000-00000A000000}"/>
    <cellStyle name="一般 11" xfId="11" xr:uid="{00000000-0005-0000-0000-00000B000000}"/>
    <cellStyle name="一般 12" xfId="12" xr:uid="{00000000-0005-0000-0000-00000C000000}"/>
    <cellStyle name="一般 13" xfId="13" xr:uid="{00000000-0005-0000-0000-00000D000000}"/>
    <cellStyle name="一般 14" xfId="14" xr:uid="{00000000-0005-0000-0000-00000E000000}"/>
    <cellStyle name="一般 15" xfId="15" xr:uid="{00000000-0005-0000-0000-00000F000000}"/>
    <cellStyle name="一般 16" xfId="16" xr:uid="{00000000-0005-0000-0000-000010000000}"/>
    <cellStyle name="一般 17" xfId="17" xr:uid="{00000000-0005-0000-0000-000011000000}"/>
    <cellStyle name="一般 18" xfId="18" xr:uid="{00000000-0005-0000-0000-000012000000}"/>
    <cellStyle name="一般 19" xfId="19" xr:uid="{00000000-0005-0000-0000-000013000000}"/>
    <cellStyle name="一般 2" xfId="20" xr:uid="{00000000-0005-0000-0000-000014000000}"/>
    <cellStyle name="一般 20" xfId="21" xr:uid="{00000000-0005-0000-0000-000015000000}"/>
    <cellStyle name="一般 21" xfId="22" xr:uid="{00000000-0005-0000-0000-000016000000}"/>
    <cellStyle name="一般 22" xfId="23" xr:uid="{00000000-0005-0000-0000-000017000000}"/>
    <cellStyle name="一般 23" xfId="24" xr:uid="{00000000-0005-0000-0000-000018000000}"/>
    <cellStyle name="一般 24" xfId="25" xr:uid="{00000000-0005-0000-0000-000019000000}"/>
    <cellStyle name="一般 25" xfId="26" xr:uid="{00000000-0005-0000-0000-00001A000000}"/>
    <cellStyle name="一般 26" xfId="27" xr:uid="{00000000-0005-0000-0000-00001B000000}"/>
    <cellStyle name="一般 27" xfId="28" xr:uid="{00000000-0005-0000-0000-00001C000000}"/>
    <cellStyle name="一般 28" xfId="29" xr:uid="{00000000-0005-0000-0000-00001D000000}"/>
    <cellStyle name="一般 29" xfId="55" xr:uid="{3ED28104-60D3-488B-BD19-2F04B12AD06C}"/>
    <cellStyle name="一般 3" xfId="30" xr:uid="{00000000-0005-0000-0000-00001E000000}"/>
    <cellStyle name="一般 3 3 5" xfId="54" xr:uid="{2D162BF8-D827-452F-B785-CA639A4783F8}"/>
    <cellStyle name="一般 4" xfId="31" xr:uid="{00000000-0005-0000-0000-00001F000000}"/>
    <cellStyle name="一般 5" xfId="32" xr:uid="{00000000-0005-0000-0000-000020000000}"/>
    <cellStyle name="一般 6" xfId="33" xr:uid="{00000000-0005-0000-0000-000021000000}"/>
    <cellStyle name="一般 7" xfId="34" xr:uid="{00000000-0005-0000-0000-000022000000}"/>
    <cellStyle name="一般 8" xfId="35" xr:uid="{00000000-0005-0000-0000-000023000000}"/>
    <cellStyle name="一般 9" xfId="36" xr:uid="{00000000-0005-0000-0000-000024000000}"/>
    <cellStyle name="百分比" xfId="37" builtinId="5"/>
    <cellStyle name="百分比 2" xfId="38" xr:uid="{00000000-0005-0000-0000-000026000000}"/>
    <cellStyle name="常规_No TP &amp; Component List " xfId="39" xr:uid="{00000000-0005-0000-0000-000027000000}"/>
    <cellStyle name="똿뗦먛귟 [0.00]_PRODUCT DETAIL Q1" xfId="40" xr:uid="{00000000-0005-0000-0000-000028000000}"/>
    <cellStyle name="똿뗦먛귟_PRODUCT DETAIL Q1" xfId="41" xr:uid="{00000000-0005-0000-0000-000029000000}"/>
    <cellStyle name="超連結" xfId="42" builtinId="8"/>
    <cellStyle name="超連結 2" xfId="43" xr:uid="{00000000-0005-0000-0000-00002B000000}"/>
    <cellStyle name="超連結 3" xfId="44" xr:uid="{00000000-0005-0000-0000-00002C000000}"/>
    <cellStyle name="믅됞 [0.00]_PRODUCT DETAIL Q1" xfId="45" xr:uid="{00000000-0005-0000-0000-00002D000000}"/>
    <cellStyle name="믅됞_PRODUCT DETAIL Q1" xfId="46" xr:uid="{00000000-0005-0000-0000-00002E000000}"/>
    <cellStyle name="백분율_HOBONG" xfId="47" xr:uid="{00000000-0005-0000-0000-00002F000000}"/>
    <cellStyle name="뷭?_BOOKSHIP" xfId="48" xr:uid="{00000000-0005-0000-0000-000030000000}"/>
    <cellStyle name="콤마 [0]_1202" xfId="49" xr:uid="{00000000-0005-0000-0000-000031000000}"/>
    <cellStyle name="콤마_1202" xfId="50" xr:uid="{00000000-0005-0000-0000-000032000000}"/>
    <cellStyle name="통화 [0]_1202" xfId="51" xr:uid="{00000000-0005-0000-0000-000033000000}"/>
    <cellStyle name="통화_1202" xfId="52" xr:uid="{00000000-0005-0000-0000-000034000000}"/>
    <cellStyle name="표준_(정보부문)월별인원계획" xfId="53" xr:uid="{00000000-0005-0000-0000-000035000000}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3</xdr:row>
      <xdr:rowOff>47625</xdr:rowOff>
    </xdr:from>
    <xdr:to>
      <xdr:col>4</xdr:col>
      <xdr:colOff>2114550</xdr:colOff>
      <xdr:row>3</xdr:row>
      <xdr:rowOff>1381125</xdr:rowOff>
    </xdr:to>
    <xdr:pic>
      <xdr:nvPicPr>
        <xdr:cNvPr id="33982" name="圖片 1">
          <a:extLst>
            <a:ext uri="{FF2B5EF4-FFF2-40B4-BE49-F238E27FC236}">
              <a16:creationId xmlns:a16="http://schemas.microsoft.com/office/drawing/2014/main" id="{00000000-0008-0000-0200-0000BE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77152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85725</xdr:colOff>
      <xdr:row>4</xdr:row>
      <xdr:rowOff>85725</xdr:rowOff>
    </xdr:from>
    <xdr:to>
      <xdr:col>4</xdr:col>
      <xdr:colOff>1571625</xdr:colOff>
      <xdr:row>4</xdr:row>
      <xdr:rowOff>1362075</xdr:rowOff>
    </xdr:to>
    <xdr:pic>
      <xdr:nvPicPr>
        <xdr:cNvPr id="33983" name="圖片 2">
          <a:extLst>
            <a:ext uri="{FF2B5EF4-FFF2-40B4-BE49-F238E27FC236}">
              <a16:creationId xmlns:a16="http://schemas.microsoft.com/office/drawing/2014/main" id="{00000000-0008-0000-0200-0000BF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247900"/>
          <a:ext cx="1485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1666875</xdr:colOff>
      <xdr:row>4</xdr:row>
      <xdr:rowOff>47625</xdr:rowOff>
    </xdr:from>
    <xdr:to>
      <xdr:col>4</xdr:col>
      <xdr:colOff>3505200</xdr:colOff>
      <xdr:row>4</xdr:row>
      <xdr:rowOff>1343025</xdr:rowOff>
    </xdr:to>
    <xdr:pic>
      <xdr:nvPicPr>
        <xdr:cNvPr id="33984" name="圖片 3">
          <a:extLst>
            <a:ext uri="{FF2B5EF4-FFF2-40B4-BE49-F238E27FC236}">
              <a16:creationId xmlns:a16="http://schemas.microsoft.com/office/drawing/2014/main" id="{00000000-0008-0000-0200-0000C0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7550" y="2209800"/>
          <a:ext cx="1838325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95250</xdr:colOff>
      <xdr:row>5</xdr:row>
      <xdr:rowOff>85725</xdr:rowOff>
    </xdr:from>
    <xdr:to>
      <xdr:col>4</xdr:col>
      <xdr:colOff>1543050</xdr:colOff>
      <xdr:row>5</xdr:row>
      <xdr:rowOff>1352550</xdr:rowOff>
    </xdr:to>
    <xdr:pic>
      <xdr:nvPicPr>
        <xdr:cNvPr id="33985" name="圖片 4">
          <a:extLst>
            <a:ext uri="{FF2B5EF4-FFF2-40B4-BE49-F238E27FC236}">
              <a16:creationId xmlns:a16="http://schemas.microsoft.com/office/drawing/2014/main" id="{00000000-0008-0000-0200-0000C1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3686175"/>
          <a:ext cx="1447800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1657350</xdr:colOff>
      <xdr:row>5</xdr:row>
      <xdr:rowOff>133350</xdr:rowOff>
    </xdr:from>
    <xdr:to>
      <xdr:col>4</xdr:col>
      <xdr:colOff>4143375</xdr:colOff>
      <xdr:row>5</xdr:row>
      <xdr:rowOff>1304925</xdr:rowOff>
    </xdr:to>
    <xdr:pic>
      <xdr:nvPicPr>
        <xdr:cNvPr id="33986" name="圖片 6">
          <a:extLst>
            <a:ext uri="{FF2B5EF4-FFF2-40B4-BE49-F238E27FC236}">
              <a16:creationId xmlns:a16="http://schemas.microsoft.com/office/drawing/2014/main" id="{00000000-0008-0000-0200-0000C2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3733800"/>
          <a:ext cx="2486025" cy="117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4391025</xdr:colOff>
      <xdr:row>5</xdr:row>
      <xdr:rowOff>38100</xdr:rowOff>
    </xdr:from>
    <xdr:to>
      <xdr:col>4</xdr:col>
      <xdr:colOff>6572250</xdr:colOff>
      <xdr:row>5</xdr:row>
      <xdr:rowOff>1371600</xdr:rowOff>
    </xdr:to>
    <xdr:pic>
      <xdr:nvPicPr>
        <xdr:cNvPr id="33987" name="圖片 7">
          <a:extLst>
            <a:ext uri="{FF2B5EF4-FFF2-40B4-BE49-F238E27FC236}">
              <a16:creationId xmlns:a16="http://schemas.microsoft.com/office/drawing/2014/main" id="{00000000-0008-0000-0200-0000C3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1700" y="3638550"/>
          <a:ext cx="2181225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3895725</xdr:colOff>
      <xdr:row>4</xdr:row>
      <xdr:rowOff>76200</xdr:rowOff>
    </xdr:from>
    <xdr:to>
      <xdr:col>4</xdr:col>
      <xdr:colOff>5934075</xdr:colOff>
      <xdr:row>4</xdr:row>
      <xdr:rowOff>1409700</xdr:rowOff>
    </xdr:to>
    <xdr:pic>
      <xdr:nvPicPr>
        <xdr:cNvPr id="33988" name="圖片 8">
          <a:extLst>
            <a:ext uri="{FF2B5EF4-FFF2-40B4-BE49-F238E27FC236}">
              <a16:creationId xmlns:a16="http://schemas.microsoft.com/office/drawing/2014/main" id="{00000000-0008-0000-0200-0000C4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0" y="223837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266700</xdr:colOff>
      <xdr:row>6</xdr:row>
      <xdr:rowOff>66675</xdr:rowOff>
    </xdr:from>
    <xdr:to>
      <xdr:col>4</xdr:col>
      <xdr:colOff>2286000</xdr:colOff>
      <xdr:row>6</xdr:row>
      <xdr:rowOff>1362075</xdr:rowOff>
    </xdr:to>
    <xdr:pic>
      <xdr:nvPicPr>
        <xdr:cNvPr id="33989" name="圖片 10">
          <a:extLst>
            <a:ext uri="{FF2B5EF4-FFF2-40B4-BE49-F238E27FC236}">
              <a16:creationId xmlns:a16="http://schemas.microsoft.com/office/drawing/2014/main" id="{00000000-0008-0000-0200-0000C5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5105400"/>
          <a:ext cx="2019300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2514600</xdr:colOff>
      <xdr:row>6</xdr:row>
      <xdr:rowOff>47625</xdr:rowOff>
    </xdr:from>
    <xdr:to>
      <xdr:col>4</xdr:col>
      <xdr:colOff>4381500</xdr:colOff>
      <xdr:row>6</xdr:row>
      <xdr:rowOff>1323975</xdr:rowOff>
    </xdr:to>
    <xdr:pic>
      <xdr:nvPicPr>
        <xdr:cNvPr id="33990" name="圖片 11">
          <a:extLst>
            <a:ext uri="{FF2B5EF4-FFF2-40B4-BE49-F238E27FC236}">
              <a16:creationId xmlns:a16="http://schemas.microsoft.com/office/drawing/2014/main" id="{00000000-0008-0000-0200-0000C6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5275" y="5086350"/>
          <a:ext cx="1866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2362200</xdr:colOff>
      <xdr:row>3</xdr:row>
      <xdr:rowOff>47625</xdr:rowOff>
    </xdr:from>
    <xdr:to>
      <xdr:col>4</xdr:col>
      <xdr:colOff>3695700</xdr:colOff>
      <xdr:row>3</xdr:row>
      <xdr:rowOff>1400175</xdr:rowOff>
    </xdr:to>
    <xdr:pic>
      <xdr:nvPicPr>
        <xdr:cNvPr id="33991" name="圖片 12">
          <a:extLst>
            <a:ext uri="{FF2B5EF4-FFF2-40B4-BE49-F238E27FC236}">
              <a16:creationId xmlns:a16="http://schemas.microsoft.com/office/drawing/2014/main" id="{00000000-0008-0000-0200-0000C7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2875" y="771525"/>
          <a:ext cx="133350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552450</xdr:colOff>
          <xdr:row>2</xdr:row>
          <xdr:rowOff>66675</xdr:rowOff>
        </xdr:from>
        <xdr:to>
          <xdr:col>38</xdr:col>
          <xdr:colOff>523875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All in One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858"/>
  <sheetViews>
    <sheetView topLeftCell="A481" workbookViewId="0">
      <selection activeCell="H3" sqref="H3"/>
    </sheetView>
  </sheetViews>
  <sheetFormatPr defaultRowHeight="16.5"/>
  <sheetData>
    <row r="1" spans="1:4" ht="33">
      <c r="A1" s="2" t="s">
        <v>27</v>
      </c>
      <c r="B1" s="2" t="s">
        <v>28</v>
      </c>
      <c r="C1" s="2" t="s">
        <v>29</v>
      </c>
      <c r="D1" s="2" t="s">
        <v>30</v>
      </c>
    </row>
    <row r="2" spans="1:4" ht="49.5">
      <c r="A2" s="2" t="s">
        <v>124</v>
      </c>
      <c r="B2" s="2" t="s">
        <v>125</v>
      </c>
      <c r="C2" s="2" t="s">
        <v>126</v>
      </c>
      <c r="D2" s="2" t="s">
        <v>36</v>
      </c>
    </row>
    <row r="3" spans="1:4" ht="49.5">
      <c r="A3" s="2" t="s">
        <v>127</v>
      </c>
      <c r="B3" s="2" t="s">
        <v>128</v>
      </c>
      <c r="C3" s="2" t="s">
        <v>126</v>
      </c>
      <c r="D3" s="2" t="s">
        <v>36</v>
      </c>
    </row>
    <row r="4" spans="1:4" ht="49.5">
      <c r="A4" s="2" t="s">
        <v>129</v>
      </c>
      <c r="B4" s="2" t="s">
        <v>130</v>
      </c>
      <c r="C4" s="2" t="s">
        <v>126</v>
      </c>
      <c r="D4" s="2" t="s">
        <v>36</v>
      </c>
    </row>
    <row r="5" spans="1:4" ht="49.5">
      <c r="A5" s="2" t="s">
        <v>131</v>
      </c>
      <c r="B5" s="2" t="s">
        <v>132</v>
      </c>
      <c r="C5" s="2" t="s">
        <v>126</v>
      </c>
      <c r="D5" s="2" t="s">
        <v>36</v>
      </c>
    </row>
    <row r="6" spans="1:4" ht="49.5">
      <c r="A6" s="2" t="s">
        <v>133</v>
      </c>
      <c r="B6" s="2" t="s">
        <v>134</v>
      </c>
      <c r="C6" s="2" t="s">
        <v>2076</v>
      </c>
      <c r="D6" s="2" t="s">
        <v>36</v>
      </c>
    </row>
    <row r="7" spans="1:4" ht="49.5">
      <c r="A7" s="2" t="s">
        <v>135</v>
      </c>
      <c r="B7" s="2" t="s">
        <v>136</v>
      </c>
      <c r="C7" s="2" t="s">
        <v>2076</v>
      </c>
      <c r="D7" s="2" t="s">
        <v>36</v>
      </c>
    </row>
    <row r="8" spans="1:4" ht="49.5">
      <c r="A8" s="2" t="s">
        <v>137</v>
      </c>
      <c r="B8" s="2" t="s">
        <v>138</v>
      </c>
      <c r="C8" s="2" t="s">
        <v>2076</v>
      </c>
      <c r="D8" s="2" t="s">
        <v>36</v>
      </c>
    </row>
    <row r="9" spans="1:4" ht="49.5">
      <c r="A9" s="2" t="s">
        <v>139</v>
      </c>
      <c r="B9" s="2" t="s">
        <v>140</v>
      </c>
      <c r="C9" s="2" t="s">
        <v>2076</v>
      </c>
      <c r="D9" s="2" t="s">
        <v>36</v>
      </c>
    </row>
    <row r="10" spans="1:4" ht="49.5">
      <c r="A10" s="2" t="s">
        <v>141</v>
      </c>
      <c r="B10" s="2" t="s">
        <v>142</v>
      </c>
      <c r="C10" s="2" t="s">
        <v>2076</v>
      </c>
      <c r="D10" s="2" t="s">
        <v>36</v>
      </c>
    </row>
    <row r="11" spans="1:4" ht="49.5">
      <c r="A11" s="2" t="s">
        <v>143</v>
      </c>
      <c r="B11" s="2" t="s">
        <v>144</v>
      </c>
      <c r="C11" s="2" t="s">
        <v>2076</v>
      </c>
      <c r="D11" s="2" t="s">
        <v>36</v>
      </c>
    </row>
    <row r="12" spans="1:4" ht="33">
      <c r="A12" s="2" t="s">
        <v>145</v>
      </c>
      <c r="B12" s="2" t="s">
        <v>146</v>
      </c>
      <c r="C12" s="2" t="s">
        <v>2076</v>
      </c>
      <c r="D12" s="2" t="s">
        <v>36</v>
      </c>
    </row>
    <row r="13" spans="1:4" ht="33">
      <c r="A13" s="2" t="s">
        <v>147</v>
      </c>
      <c r="B13" s="2" t="s">
        <v>148</v>
      </c>
      <c r="C13" s="2" t="s">
        <v>2076</v>
      </c>
      <c r="D13" s="2" t="s">
        <v>36</v>
      </c>
    </row>
    <row r="14" spans="1:4" ht="33">
      <c r="A14" s="2" t="s">
        <v>108</v>
      </c>
      <c r="B14" s="2" t="s">
        <v>109</v>
      </c>
      <c r="C14" s="2" t="s">
        <v>2076</v>
      </c>
      <c r="D14" s="2" t="s">
        <v>34</v>
      </c>
    </row>
    <row r="15" spans="1:4" ht="33">
      <c r="A15" s="2" t="s">
        <v>110</v>
      </c>
      <c r="B15" s="2" t="s">
        <v>111</v>
      </c>
      <c r="C15" s="2" t="s">
        <v>2076</v>
      </c>
      <c r="D15" s="2" t="s">
        <v>34</v>
      </c>
    </row>
    <row r="16" spans="1:4" ht="33">
      <c r="A16" s="2" t="s">
        <v>112</v>
      </c>
      <c r="B16" s="2" t="s">
        <v>113</v>
      </c>
      <c r="C16" s="2" t="s">
        <v>2076</v>
      </c>
      <c r="D16" s="2" t="s">
        <v>30</v>
      </c>
    </row>
    <row r="17" spans="1:4" ht="33">
      <c r="A17" s="2" t="s">
        <v>114</v>
      </c>
      <c r="B17" s="2" t="s">
        <v>115</v>
      </c>
      <c r="C17" s="2" t="s">
        <v>2076</v>
      </c>
      <c r="D17" s="2" t="s">
        <v>30</v>
      </c>
    </row>
    <row r="18" spans="1:4" ht="33">
      <c r="A18" s="2" t="s">
        <v>116</v>
      </c>
      <c r="B18" s="2" t="s">
        <v>117</v>
      </c>
      <c r="C18" s="2" t="s">
        <v>2076</v>
      </c>
      <c r="D18" s="2" t="s">
        <v>30</v>
      </c>
    </row>
    <row r="19" spans="1:4" ht="33">
      <c r="A19" s="2" t="s">
        <v>118</v>
      </c>
      <c r="B19" s="2" t="s">
        <v>119</v>
      </c>
      <c r="C19" s="2" t="s">
        <v>2076</v>
      </c>
      <c r="D19" s="2" t="s">
        <v>30</v>
      </c>
    </row>
    <row r="20" spans="1:4" ht="33">
      <c r="A20" s="2" t="s">
        <v>120</v>
      </c>
      <c r="B20" s="2" t="s">
        <v>121</v>
      </c>
      <c r="C20" s="2" t="s">
        <v>2076</v>
      </c>
      <c r="D20" s="2" t="s">
        <v>30</v>
      </c>
    </row>
    <row r="21" spans="1:4" ht="33">
      <c r="A21" s="2" t="s">
        <v>122</v>
      </c>
      <c r="B21" s="2" t="s">
        <v>123</v>
      </c>
      <c r="C21" s="2" t="s">
        <v>2076</v>
      </c>
      <c r="D21" s="2" t="s">
        <v>30</v>
      </c>
    </row>
    <row r="22" spans="1:4" ht="66">
      <c r="A22" s="2" t="s">
        <v>206</v>
      </c>
      <c r="B22" s="2" t="s">
        <v>207</v>
      </c>
      <c r="C22" s="2" t="s">
        <v>208</v>
      </c>
      <c r="D22" s="2" t="s">
        <v>30</v>
      </c>
    </row>
    <row r="23" spans="1:4" ht="66">
      <c r="A23" s="2" t="s">
        <v>209</v>
      </c>
      <c r="B23" s="2" t="s">
        <v>210</v>
      </c>
      <c r="C23" s="2" t="s">
        <v>208</v>
      </c>
      <c r="D23" s="2" t="s">
        <v>34</v>
      </c>
    </row>
    <row r="24" spans="1:4" ht="66">
      <c r="A24" s="2" t="s">
        <v>211</v>
      </c>
      <c r="B24" s="2" t="s">
        <v>212</v>
      </c>
      <c r="C24" s="2" t="s">
        <v>208</v>
      </c>
      <c r="D24" s="2" t="s">
        <v>34</v>
      </c>
    </row>
    <row r="25" spans="1:4" ht="66">
      <c r="A25" s="2" t="s">
        <v>213</v>
      </c>
      <c r="B25" s="2" t="s">
        <v>214</v>
      </c>
      <c r="C25" s="2" t="s">
        <v>208</v>
      </c>
      <c r="D25" s="2" t="s">
        <v>34</v>
      </c>
    </row>
    <row r="26" spans="1:4" ht="66">
      <c r="A26" s="2" t="s">
        <v>215</v>
      </c>
      <c r="B26" s="2" t="s">
        <v>216</v>
      </c>
      <c r="C26" s="2" t="s">
        <v>208</v>
      </c>
      <c r="D26" s="2" t="s">
        <v>34</v>
      </c>
    </row>
    <row r="27" spans="1:4" ht="66">
      <c r="A27" s="2" t="s">
        <v>217</v>
      </c>
      <c r="B27" s="2" t="s">
        <v>218</v>
      </c>
      <c r="C27" s="2" t="s">
        <v>208</v>
      </c>
      <c r="D27" s="2" t="s">
        <v>30</v>
      </c>
    </row>
    <row r="28" spans="1:4" ht="33">
      <c r="A28" s="2" t="s">
        <v>32</v>
      </c>
      <c r="B28" s="2" t="s">
        <v>33</v>
      </c>
      <c r="C28" s="2" t="s">
        <v>29</v>
      </c>
      <c r="D28" s="2" t="s">
        <v>30</v>
      </c>
    </row>
    <row r="29" spans="1:4" ht="49.5">
      <c r="A29" s="2" t="s">
        <v>37</v>
      </c>
      <c r="B29" s="2" t="s">
        <v>38</v>
      </c>
      <c r="C29" s="2" t="s">
        <v>29</v>
      </c>
      <c r="D29" s="2" t="s">
        <v>36</v>
      </c>
    </row>
    <row r="30" spans="1:4" ht="33">
      <c r="A30" s="2" t="s">
        <v>40</v>
      </c>
      <c r="B30" s="2" t="s">
        <v>41</v>
      </c>
      <c r="C30" s="2" t="s">
        <v>29</v>
      </c>
      <c r="D30" s="2" t="s">
        <v>30</v>
      </c>
    </row>
    <row r="31" spans="1:4" ht="49.5">
      <c r="A31" s="2" t="s">
        <v>42</v>
      </c>
      <c r="B31" s="2" t="s">
        <v>43</v>
      </c>
      <c r="C31" s="2" t="s">
        <v>29</v>
      </c>
      <c r="D31" s="2" t="s">
        <v>30</v>
      </c>
    </row>
    <row r="32" spans="1:4" ht="49.5">
      <c r="A32" s="2" t="s">
        <v>44</v>
      </c>
      <c r="B32" s="2" t="s">
        <v>45</v>
      </c>
      <c r="C32" s="2" t="s">
        <v>29</v>
      </c>
      <c r="D32" s="2" t="s">
        <v>30</v>
      </c>
    </row>
    <row r="33" spans="1:4" ht="49.5">
      <c r="A33" s="2" t="s">
        <v>46</v>
      </c>
      <c r="B33" s="2" t="s">
        <v>47</v>
      </c>
      <c r="C33" s="2" t="s">
        <v>29</v>
      </c>
      <c r="D33" s="2" t="s">
        <v>30</v>
      </c>
    </row>
    <row r="34" spans="1:4" ht="49.5">
      <c r="A34" s="2" t="s">
        <v>48</v>
      </c>
      <c r="B34" s="2" t="s">
        <v>49</v>
      </c>
      <c r="C34" s="2" t="s">
        <v>29</v>
      </c>
      <c r="D34" s="2" t="s">
        <v>30</v>
      </c>
    </row>
    <row r="35" spans="1:4" ht="49.5">
      <c r="A35" s="2" t="s">
        <v>50</v>
      </c>
      <c r="B35" s="2" t="s">
        <v>51</v>
      </c>
      <c r="C35" s="2" t="s">
        <v>29</v>
      </c>
      <c r="D35" s="2" t="s">
        <v>36</v>
      </c>
    </row>
    <row r="36" spans="1:4" ht="49.5">
      <c r="A36" s="2" t="s">
        <v>52</v>
      </c>
      <c r="B36" s="2" t="s">
        <v>53</v>
      </c>
      <c r="C36" s="2" t="s">
        <v>29</v>
      </c>
      <c r="D36" s="2" t="s">
        <v>36</v>
      </c>
    </row>
    <row r="37" spans="1:4" ht="49.5">
      <c r="A37" s="2" t="s">
        <v>54</v>
      </c>
      <c r="B37" s="2" t="s">
        <v>55</v>
      </c>
      <c r="C37" s="2" t="s">
        <v>29</v>
      </c>
      <c r="D37" s="2" t="s">
        <v>36</v>
      </c>
    </row>
    <row r="38" spans="1:4" ht="66">
      <c r="A38" s="2" t="s">
        <v>56</v>
      </c>
      <c r="B38" s="2" t="s">
        <v>57</v>
      </c>
      <c r="C38" s="2" t="s">
        <v>29</v>
      </c>
      <c r="D38" s="2" t="s">
        <v>30</v>
      </c>
    </row>
    <row r="39" spans="1:4" ht="49.5">
      <c r="A39" s="2" t="s">
        <v>58</v>
      </c>
      <c r="B39" s="2" t="s">
        <v>59</v>
      </c>
      <c r="C39" s="2" t="s">
        <v>29</v>
      </c>
      <c r="D39" s="2" t="s">
        <v>30</v>
      </c>
    </row>
    <row r="40" spans="1:4" ht="66">
      <c r="A40" s="2" t="s">
        <v>60</v>
      </c>
      <c r="B40" s="2" t="s">
        <v>61</v>
      </c>
      <c r="C40" s="2" t="s">
        <v>29</v>
      </c>
      <c r="D40" s="2" t="s">
        <v>30</v>
      </c>
    </row>
    <row r="41" spans="1:4" ht="66">
      <c r="A41" s="2" t="s">
        <v>62</v>
      </c>
      <c r="B41" s="2" t="s">
        <v>63</v>
      </c>
      <c r="C41" s="2" t="s">
        <v>29</v>
      </c>
      <c r="D41" s="2" t="s">
        <v>30</v>
      </c>
    </row>
    <row r="42" spans="1:4" ht="66">
      <c r="A42" s="2" t="s">
        <v>64</v>
      </c>
      <c r="B42" s="2" t="s">
        <v>65</v>
      </c>
      <c r="C42" s="2" t="s">
        <v>29</v>
      </c>
      <c r="D42" s="2" t="s">
        <v>30</v>
      </c>
    </row>
    <row r="43" spans="1:4" ht="66">
      <c r="A43" s="2" t="s">
        <v>66</v>
      </c>
      <c r="B43" s="2" t="s">
        <v>67</v>
      </c>
      <c r="C43" s="2" t="s">
        <v>29</v>
      </c>
      <c r="D43" s="2" t="s">
        <v>30</v>
      </c>
    </row>
    <row r="44" spans="1:4" ht="66">
      <c r="A44" s="2" t="s">
        <v>68</v>
      </c>
      <c r="B44" s="2" t="s">
        <v>69</v>
      </c>
      <c r="C44" s="2" t="s">
        <v>29</v>
      </c>
      <c r="D44" s="2" t="s">
        <v>30</v>
      </c>
    </row>
    <row r="45" spans="1:4" ht="66">
      <c r="A45" s="2" t="s">
        <v>70</v>
      </c>
      <c r="B45" s="2" t="s">
        <v>71</v>
      </c>
      <c r="C45" s="2" t="s">
        <v>29</v>
      </c>
      <c r="D45" s="2" t="s">
        <v>30</v>
      </c>
    </row>
    <row r="46" spans="1:4" ht="66">
      <c r="A46" s="2" t="s">
        <v>72</v>
      </c>
      <c r="B46" s="2" t="s">
        <v>73</v>
      </c>
      <c r="C46" s="2" t="s">
        <v>29</v>
      </c>
      <c r="D46" s="2" t="s">
        <v>30</v>
      </c>
    </row>
    <row r="47" spans="1:4" ht="49.5">
      <c r="A47" s="2" t="s">
        <v>74</v>
      </c>
      <c r="B47" s="2" t="s">
        <v>75</v>
      </c>
      <c r="C47" s="2" t="s">
        <v>29</v>
      </c>
      <c r="D47" s="2" t="s">
        <v>36</v>
      </c>
    </row>
    <row r="48" spans="1:4" ht="33">
      <c r="A48" s="2" t="s">
        <v>76</v>
      </c>
      <c r="B48" s="2" t="s">
        <v>77</v>
      </c>
      <c r="C48" s="2" t="s">
        <v>29</v>
      </c>
      <c r="D48" s="2" t="s">
        <v>30</v>
      </c>
    </row>
    <row r="49" spans="1:4" ht="33">
      <c r="A49" s="2" t="s">
        <v>78</v>
      </c>
      <c r="B49" s="2" t="s">
        <v>79</v>
      </c>
      <c r="C49" s="2" t="s">
        <v>29</v>
      </c>
      <c r="D49" s="2" t="s">
        <v>30</v>
      </c>
    </row>
    <row r="50" spans="1:4" ht="49.5">
      <c r="A50" s="2" t="s">
        <v>80</v>
      </c>
      <c r="B50" s="2" t="s">
        <v>81</v>
      </c>
      <c r="C50" s="2" t="s">
        <v>29</v>
      </c>
      <c r="D50" s="2" t="s">
        <v>34</v>
      </c>
    </row>
    <row r="51" spans="1:4" ht="66">
      <c r="A51" s="2" t="s">
        <v>82</v>
      </c>
      <c r="B51" s="2" t="s">
        <v>83</v>
      </c>
      <c r="C51" s="2" t="s">
        <v>29</v>
      </c>
      <c r="D51" s="2" t="s">
        <v>36</v>
      </c>
    </row>
    <row r="52" spans="1:4" ht="49.5">
      <c r="A52" s="2" t="s">
        <v>84</v>
      </c>
      <c r="B52" s="2" t="s">
        <v>85</v>
      </c>
      <c r="C52" s="2" t="s">
        <v>29</v>
      </c>
      <c r="D52" s="2" t="s">
        <v>36</v>
      </c>
    </row>
    <row r="53" spans="1:4" ht="66">
      <c r="A53" s="2" t="s">
        <v>86</v>
      </c>
      <c r="B53" s="2" t="s">
        <v>87</v>
      </c>
      <c r="C53" s="2" t="s">
        <v>29</v>
      </c>
      <c r="D53" s="2" t="s">
        <v>30</v>
      </c>
    </row>
    <row r="54" spans="1:4" ht="66">
      <c r="A54" s="2" t="s">
        <v>88</v>
      </c>
      <c r="B54" s="2" t="s">
        <v>89</v>
      </c>
      <c r="C54" s="2" t="s">
        <v>29</v>
      </c>
      <c r="D54" s="2" t="s">
        <v>30</v>
      </c>
    </row>
    <row r="55" spans="1:4" ht="66">
      <c r="A55" s="2" t="s">
        <v>90</v>
      </c>
      <c r="B55" s="2" t="s">
        <v>91</v>
      </c>
      <c r="C55" s="2" t="s">
        <v>29</v>
      </c>
      <c r="D55" s="2" t="s">
        <v>30</v>
      </c>
    </row>
    <row r="56" spans="1:4" ht="66">
      <c r="A56" s="2" t="s">
        <v>92</v>
      </c>
      <c r="B56" s="2" t="s">
        <v>93</v>
      </c>
      <c r="C56" s="2" t="s">
        <v>29</v>
      </c>
      <c r="D56" s="2" t="s">
        <v>30</v>
      </c>
    </row>
    <row r="57" spans="1:4" ht="66">
      <c r="A57" s="2" t="s">
        <v>94</v>
      </c>
      <c r="B57" s="2" t="s">
        <v>95</v>
      </c>
      <c r="C57" s="2" t="s">
        <v>29</v>
      </c>
      <c r="D57" s="2" t="s">
        <v>30</v>
      </c>
    </row>
    <row r="58" spans="1:4" ht="66">
      <c r="A58" s="2" t="s">
        <v>96</v>
      </c>
      <c r="B58" s="2" t="s">
        <v>97</v>
      </c>
      <c r="C58" s="2" t="s">
        <v>29</v>
      </c>
      <c r="D58" s="2" t="s">
        <v>30</v>
      </c>
    </row>
    <row r="59" spans="1:4" ht="66">
      <c r="A59" s="2" t="s">
        <v>98</v>
      </c>
      <c r="B59" s="2" t="s">
        <v>99</v>
      </c>
      <c r="C59" s="2" t="s">
        <v>29</v>
      </c>
      <c r="D59" s="2" t="s">
        <v>34</v>
      </c>
    </row>
    <row r="60" spans="1:4" ht="66">
      <c r="A60" s="2" t="s">
        <v>100</v>
      </c>
      <c r="B60" s="2" t="s">
        <v>101</v>
      </c>
      <c r="C60" s="2" t="s">
        <v>29</v>
      </c>
      <c r="D60" s="2" t="s">
        <v>30</v>
      </c>
    </row>
    <row r="61" spans="1:4" ht="49.5">
      <c r="A61" s="2" t="s">
        <v>102</v>
      </c>
      <c r="B61" s="2" t="s">
        <v>103</v>
      </c>
      <c r="C61" s="2" t="s">
        <v>29</v>
      </c>
      <c r="D61" s="2" t="s">
        <v>30</v>
      </c>
    </row>
    <row r="62" spans="1:4" ht="33">
      <c r="A62" s="2" t="s">
        <v>104</v>
      </c>
      <c r="B62" s="2" t="s">
        <v>105</v>
      </c>
      <c r="C62" s="2" t="s">
        <v>29</v>
      </c>
      <c r="D62" s="2" t="s">
        <v>34</v>
      </c>
    </row>
    <row r="63" spans="1:4" ht="49.5">
      <c r="A63" s="2" t="s">
        <v>106</v>
      </c>
      <c r="B63" s="2" t="s">
        <v>107</v>
      </c>
      <c r="C63" s="2" t="s">
        <v>29</v>
      </c>
      <c r="D63" s="2" t="s">
        <v>34</v>
      </c>
    </row>
    <row r="64" spans="1:4" ht="33">
      <c r="A64" s="2" t="s">
        <v>222</v>
      </c>
      <c r="B64" s="2" t="s">
        <v>223</v>
      </c>
      <c r="C64" s="2" t="s">
        <v>35</v>
      </c>
      <c r="D64" s="2" t="s">
        <v>30</v>
      </c>
    </row>
    <row r="65" spans="1:4" ht="33">
      <c r="A65" s="2" t="s">
        <v>226</v>
      </c>
      <c r="B65" s="2" t="s">
        <v>227</v>
      </c>
      <c r="C65" s="2" t="s">
        <v>35</v>
      </c>
      <c r="D65" s="2" t="s">
        <v>34</v>
      </c>
    </row>
    <row r="66" spans="1:4" ht="33">
      <c r="A66" s="2" t="s">
        <v>246</v>
      </c>
      <c r="B66" s="2" t="s">
        <v>247</v>
      </c>
      <c r="C66" s="2" t="s">
        <v>35</v>
      </c>
      <c r="D66" s="2" t="s">
        <v>30</v>
      </c>
    </row>
    <row r="67" spans="1:4" ht="33">
      <c r="A67" s="2" t="s">
        <v>252</v>
      </c>
      <c r="B67" s="2" t="s">
        <v>253</v>
      </c>
      <c r="C67" s="2" t="s">
        <v>35</v>
      </c>
      <c r="D67" s="2" t="s">
        <v>30</v>
      </c>
    </row>
    <row r="68" spans="1:4" ht="33">
      <c r="A68" s="2" t="s">
        <v>254</v>
      </c>
      <c r="B68" s="2" t="s">
        <v>255</v>
      </c>
      <c r="C68" s="2" t="s">
        <v>35</v>
      </c>
      <c r="D68" s="2" t="s">
        <v>30</v>
      </c>
    </row>
    <row r="69" spans="1:4" ht="33">
      <c r="A69" s="2" t="s">
        <v>264</v>
      </c>
      <c r="B69" s="2" t="s">
        <v>265</v>
      </c>
      <c r="C69" s="2" t="s">
        <v>35</v>
      </c>
      <c r="D69" s="2" t="s">
        <v>30</v>
      </c>
    </row>
    <row r="70" spans="1:4" ht="49.5">
      <c r="A70" s="2" t="s">
        <v>266</v>
      </c>
      <c r="B70" s="2" t="s">
        <v>267</v>
      </c>
      <c r="C70" s="2" t="s">
        <v>35</v>
      </c>
      <c r="D70" s="2" t="s">
        <v>30</v>
      </c>
    </row>
    <row r="71" spans="1:4" ht="49.5">
      <c r="A71" s="2" t="s">
        <v>377</v>
      </c>
      <c r="B71" s="2" t="s">
        <v>378</v>
      </c>
      <c r="C71" s="2" t="s">
        <v>35</v>
      </c>
      <c r="D71" s="2" t="s">
        <v>30</v>
      </c>
    </row>
    <row r="72" spans="1:4" ht="33">
      <c r="A72" s="2" t="s">
        <v>439</v>
      </c>
      <c r="B72" s="2" t="s">
        <v>440</v>
      </c>
      <c r="C72" s="2" t="s">
        <v>35</v>
      </c>
      <c r="D72" s="2" t="s">
        <v>34</v>
      </c>
    </row>
    <row r="73" spans="1:4" ht="33">
      <c r="A73" s="2" t="s">
        <v>461</v>
      </c>
      <c r="B73" s="2" t="s">
        <v>462</v>
      </c>
      <c r="C73" s="2" t="s">
        <v>35</v>
      </c>
      <c r="D73" s="2" t="s">
        <v>34</v>
      </c>
    </row>
    <row r="74" spans="1:4" ht="49.5">
      <c r="A74" s="2" t="s">
        <v>503</v>
      </c>
      <c r="B74" s="2" t="s">
        <v>504</v>
      </c>
      <c r="C74" s="2" t="s">
        <v>35</v>
      </c>
      <c r="D74" s="2" t="s">
        <v>34</v>
      </c>
    </row>
    <row r="75" spans="1:4" ht="49.5">
      <c r="A75" s="2" t="s">
        <v>511</v>
      </c>
      <c r="B75" s="2" t="s">
        <v>512</v>
      </c>
      <c r="C75" s="2" t="s">
        <v>35</v>
      </c>
      <c r="D75" s="2" t="s">
        <v>30</v>
      </c>
    </row>
    <row r="76" spans="1:4" ht="49.5">
      <c r="A76" s="2" t="s">
        <v>515</v>
      </c>
      <c r="B76" s="2" t="s">
        <v>516</v>
      </c>
      <c r="C76" s="2" t="s">
        <v>35</v>
      </c>
      <c r="D76" s="2" t="s">
        <v>34</v>
      </c>
    </row>
    <row r="77" spans="1:4" ht="33">
      <c r="A77" s="2" t="s">
        <v>519</v>
      </c>
      <c r="B77" s="2" t="s">
        <v>520</v>
      </c>
      <c r="C77" s="2" t="s">
        <v>35</v>
      </c>
      <c r="D77" s="2" t="s">
        <v>36</v>
      </c>
    </row>
    <row r="78" spans="1:4" ht="33">
      <c r="A78" s="2" t="s">
        <v>561</v>
      </c>
      <c r="B78" s="2" t="s">
        <v>562</v>
      </c>
      <c r="C78" s="2" t="s">
        <v>35</v>
      </c>
      <c r="D78" s="2" t="s">
        <v>30</v>
      </c>
    </row>
    <row r="79" spans="1:4" ht="49.5">
      <c r="A79" s="2" t="s">
        <v>573</v>
      </c>
      <c r="B79" s="2" t="s">
        <v>574</v>
      </c>
      <c r="C79" s="2" t="s">
        <v>35</v>
      </c>
      <c r="D79" s="2" t="s">
        <v>34</v>
      </c>
    </row>
    <row r="80" spans="1:4" ht="49.5">
      <c r="A80" s="2" t="s">
        <v>609</v>
      </c>
      <c r="B80" s="2" t="s">
        <v>610</v>
      </c>
      <c r="C80" s="2" t="s">
        <v>35</v>
      </c>
      <c r="D80" s="2" t="s">
        <v>30</v>
      </c>
    </row>
    <row r="81" spans="1:4" ht="49.5">
      <c r="A81" s="2" t="s">
        <v>613</v>
      </c>
      <c r="B81" s="2" t="s">
        <v>614</v>
      </c>
      <c r="C81" s="2" t="s">
        <v>35</v>
      </c>
      <c r="D81" s="2" t="s">
        <v>36</v>
      </c>
    </row>
    <row r="82" spans="1:4" ht="66">
      <c r="A82" s="2" t="s">
        <v>687</v>
      </c>
      <c r="B82" s="2" t="s">
        <v>688</v>
      </c>
      <c r="C82" s="2" t="s">
        <v>35</v>
      </c>
      <c r="D82" s="2" t="s">
        <v>30</v>
      </c>
    </row>
    <row r="83" spans="1:4" ht="66">
      <c r="A83" s="2" t="s">
        <v>689</v>
      </c>
      <c r="B83" s="2" t="s">
        <v>690</v>
      </c>
      <c r="C83" s="2" t="s">
        <v>35</v>
      </c>
      <c r="D83" s="2" t="s">
        <v>34</v>
      </c>
    </row>
    <row r="84" spans="1:4" ht="33">
      <c r="A84" s="2" t="s">
        <v>691</v>
      </c>
      <c r="B84" s="2" t="s">
        <v>692</v>
      </c>
      <c r="C84" s="2" t="s">
        <v>35</v>
      </c>
      <c r="D84" s="2" t="s">
        <v>31</v>
      </c>
    </row>
    <row r="85" spans="1:4" ht="66">
      <c r="A85" s="2" t="s">
        <v>693</v>
      </c>
      <c r="B85" s="2" t="s">
        <v>694</v>
      </c>
      <c r="C85" s="2" t="s">
        <v>35</v>
      </c>
      <c r="D85" s="2" t="s">
        <v>34</v>
      </c>
    </row>
    <row r="86" spans="1:4" ht="49.5">
      <c r="A86" s="2" t="s">
        <v>707</v>
      </c>
      <c r="B86" s="2" t="s">
        <v>708</v>
      </c>
      <c r="C86" s="2" t="s">
        <v>35</v>
      </c>
      <c r="D86" s="2" t="s">
        <v>30</v>
      </c>
    </row>
    <row r="87" spans="1:4" ht="66">
      <c r="A87" s="2" t="s">
        <v>711</v>
      </c>
      <c r="B87" s="2" t="s">
        <v>712</v>
      </c>
      <c r="C87" s="2" t="s">
        <v>35</v>
      </c>
      <c r="D87" s="2" t="s">
        <v>30</v>
      </c>
    </row>
    <row r="88" spans="1:4" ht="33">
      <c r="A88" s="2" t="s">
        <v>713</v>
      </c>
      <c r="B88" s="2" t="s">
        <v>714</v>
      </c>
      <c r="C88" s="2" t="s">
        <v>35</v>
      </c>
      <c r="D88" s="2" t="s">
        <v>30</v>
      </c>
    </row>
    <row r="89" spans="1:4" ht="33">
      <c r="A89" s="2" t="s">
        <v>715</v>
      </c>
      <c r="B89" s="2" t="s">
        <v>716</v>
      </c>
      <c r="C89" s="2" t="s">
        <v>35</v>
      </c>
      <c r="D89" s="2" t="s">
        <v>30</v>
      </c>
    </row>
    <row r="90" spans="1:4" ht="33">
      <c r="A90" s="2" t="s">
        <v>717</v>
      </c>
      <c r="B90" s="2" t="s">
        <v>718</v>
      </c>
      <c r="C90" s="2" t="s">
        <v>35</v>
      </c>
      <c r="D90" s="2" t="s">
        <v>30</v>
      </c>
    </row>
    <row r="91" spans="1:4" ht="49.5">
      <c r="A91" s="2" t="s">
        <v>719</v>
      </c>
      <c r="B91" s="2" t="s">
        <v>720</v>
      </c>
      <c r="C91" s="2" t="s">
        <v>35</v>
      </c>
      <c r="D91" s="2" t="s">
        <v>30</v>
      </c>
    </row>
    <row r="92" spans="1:4" ht="49.5">
      <c r="A92" s="2" t="s">
        <v>721</v>
      </c>
      <c r="B92" s="2" t="s">
        <v>722</v>
      </c>
      <c r="C92" s="2" t="s">
        <v>35</v>
      </c>
      <c r="D92" s="2" t="s">
        <v>30</v>
      </c>
    </row>
    <row r="93" spans="1:4" ht="49.5">
      <c r="A93" s="2" t="s">
        <v>723</v>
      </c>
      <c r="B93" s="2" t="s">
        <v>724</v>
      </c>
      <c r="C93" s="2" t="s">
        <v>35</v>
      </c>
      <c r="D93" s="2" t="s">
        <v>30</v>
      </c>
    </row>
    <row r="94" spans="1:4" ht="66">
      <c r="A94" s="2" t="s">
        <v>731</v>
      </c>
      <c r="B94" s="2" t="s">
        <v>732</v>
      </c>
      <c r="C94" s="2" t="s">
        <v>35</v>
      </c>
      <c r="D94" s="2" t="s">
        <v>30</v>
      </c>
    </row>
    <row r="95" spans="1:4" ht="49.5">
      <c r="A95" s="2" t="s">
        <v>755</v>
      </c>
      <c r="B95" s="2" t="s">
        <v>756</v>
      </c>
      <c r="C95" s="2" t="s">
        <v>35</v>
      </c>
      <c r="D95" s="2" t="s">
        <v>30</v>
      </c>
    </row>
    <row r="96" spans="1:4" ht="33">
      <c r="A96" s="2" t="s">
        <v>969</v>
      </c>
      <c r="B96" s="2" t="s">
        <v>970</v>
      </c>
      <c r="C96" s="2" t="s">
        <v>35</v>
      </c>
      <c r="D96" s="2" t="s">
        <v>30</v>
      </c>
    </row>
    <row r="97" spans="1:4" ht="49.5">
      <c r="A97" s="2" t="s">
        <v>979</v>
      </c>
      <c r="B97" s="2" t="s">
        <v>980</v>
      </c>
      <c r="C97" s="2" t="s">
        <v>35</v>
      </c>
      <c r="D97" s="2" t="s">
        <v>34</v>
      </c>
    </row>
    <row r="98" spans="1:4" ht="49.5">
      <c r="A98" s="2" t="s">
        <v>1331</v>
      </c>
      <c r="B98" s="2" t="s">
        <v>1332</v>
      </c>
      <c r="C98" s="2" t="s">
        <v>35</v>
      </c>
      <c r="D98" s="2" t="s">
        <v>34</v>
      </c>
    </row>
    <row r="99" spans="1:4" ht="49.5">
      <c r="A99" s="2" t="s">
        <v>1349</v>
      </c>
      <c r="B99" s="2" t="s">
        <v>1350</v>
      </c>
      <c r="C99" s="2" t="s">
        <v>35</v>
      </c>
      <c r="D99" s="2" t="s">
        <v>30</v>
      </c>
    </row>
    <row r="100" spans="1:4" ht="49.5">
      <c r="A100" s="2" t="s">
        <v>1605</v>
      </c>
      <c r="B100" s="2" t="s">
        <v>1606</v>
      </c>
      <c r="C100" s="2" t="s">
        <v>35</v>
      </c>
      <c r="D100" s="2" t="s">
        <v>30</v>
      </c>
    </row>
    <row r="101" spans="1:4" ht="33">
      <c r="A101" s="2" t="s">
        <v>219</v>
      </c>
      <c r="B101" s="2" t="s">
        <v>220</v>
      </c>
      <c r="C101" s="2" t="s">
        <v>221</v>
      </c>
      <c r="D101" s="2" t="s">
        <v>30</v>
      </c>
    </row>
    <row r="102" spans="1:4" ht="33">
      <c r="A102" s="2" t="s">
        <v>224</v>
      </c>
      <c r="B102" s="2" t="s">
        <v>225</v>
      </c>
      <c r="C102" s="2" t="s">
        <v>221</v>
      </c>
      <c r="D102" s="2" t="s">
        <v>30</v>
      </c>
    </row>
    <row r="103" spans="1:4" ht="33">
      <c r="A103" s="2" t="s">
        <v>228</v>
      </c>
      <c r="B103" s="2" t="s">
        <v>229</v>
      </c>
      <c r="C103" s="2" t="s">
        <v>221</v>
      </c>
      <c r="D103" s="2" t="s">
        <v>34</v>
      </c>
    </row>
    <row r="104" spans="1:4" ht="33">
      <c r="A104" s="2" t="s">
        <v>244</v>
      </c>
      <c r="B104" s="2" t="s">
        <v>245</v>
      </c>
      <c r="C104" s="2" t="s">
        <v>221</v>
      </c>
      <c r="D104" s="2" t="s">
        <v>36</v>
      </c>
    </row>
    <row r="105" spans="1:4" ht="33">
      <c r="A105" s="2" t="s">
        <v>248</v>
      </c>
      <c r="B105" s="2" t="s">
        <v>249</v>
      </c>
      <c r="C105" s="2" t="s">
        <v>221</v>
      </c>
      <c r="D105" s="2" t="s">
        <v>30</v>
      </c>
    </row>
    <row r="106" spans="1:4" ht="33">
      <c r="A106" s="2" t="s">
        <v>250</v>
      </c>
      <c r="B106" s="2" t="s">
        <v>251</v>
      </c>
      <c r="C106" s="2" t="s">
        <v>221</v>
      </c>
      <c r="D106" s="2" t="s">
        <v>30</v>
      </c>
    </row>
    <row r="107" spans="1:4" ht="66">
      <c r="A107" s="2" t="s">
        <v>277</v>
      </c>
      <c r="B107" s="2" t="s">
        <v>278</v>
      </c>
      <c r="C107" s="2" t="s">
        <v>221</v>
      </c>
      <c r="D107" s="2" t="s">
        <v>36</v>
      </c>
    </row>
    <row r="108" spans="1:4" ht="49.5">
      <c r="A108" s="2" t="s">
        <v>279</v>
      </c>
      <c r="B108" s="2" t="s">
        <v>280</v>
      </c>
      <c r="C108" s="2" t="s">
        <v>221</v>
      </c>
      <c r="D108" s="2" t="s">
        <v>36</v>
      </c>
    </row>
    <row r="109" spans="1:4" ht="49.5">
      <c r="A109" s="2" t="s">
        <v>281</v>
      </c>
      <c r="B109" s="2" t="s">
        <v>282</v>
      </c>
      <c r="C109" s="2" t="s">
        <v>221</v>
      </c>
      <c r="D109" s="2" t="s">
        <v>36</v>
      </c>
    </row>
    <row r="110" spans="1:4" ht="49.5">
      <c r="A110" s="2" t="s">
        <v>283</v>
      </c>
      <c r="B110" s="2" t="s">
        <v>284</v>
      </c>
      <c r="C110" s="2" t="s">
        <v>221</v>
      </c>
      <c r="D110" s="2" t="s">
        <v>34</v>
      </c>
    </row>
    <row r="111" spans="1:4" ht="49.5">
      <c r="A111" s="2" t="s">
        <v>285</v>
      </c>
      <c r="B111" s="2" t="s">
        <v>286</v>
      </c>
      <c r="C111" s="2" t="s">
        <v>221</v>
      </c>
      <c r="D111" s="2" t="s">
        <v>34</v>
      </c>
    </row>
    <row r="112" spans="1:4" ht="49.5">
      <c r="A112" s="2" t="s">
        <v>297</v>
      </c>
      <c r="B112" s="2" t="s">
        <v>298</v>
      </c>
      <c r="C112" s="2" t="s">
        <v>221</v>
      </c>
      <c r="D112" s="2" t="s">
        <v>31</v>
      </c>
    </row>
    <row r="113" spans="1:4" ht="33">
      <c r="A113" s="2" t="s">
        <v>299</v>
      </c>
      <c r="B113" s="2" t="s">
        <v>300</v>
      </c>
      <c r="C113" s="2" t="s">
        <v>221</v>
      </c>
      <c r="D113" s="2" t="s">
        <v>31</v>
      </c>
    </row>
    <row r="114" spans="1:4" ht="49.5">
      <c r="A114" s="2" t="s">
        <v>305</v>
      </c>
      <c r="B114" s="2" t="s">
        <v>306</v>
      </c>
      <c r="C114" s="2" t="s">
        <v>221</v>
      </c>
      <c r="D114" s="2" t="s">
        <v>31</v>
      </c>
    </row>
    <row r="115" spans="1:4" ht="33">
      <c r="A115" s="2" t="s">
        <v>309</v>
      </c>
      <c r="B115" s="2" t="s">
        <v>310</v>
      </c>
      <c r="C115" s="2" t="s">
        <v>221</v>
      </c>
      <c r="D115" s="2" t="s">
        <v>31</v>
      </c>
    </row>
    <row r="116" spans="1:4" ht="49.5">
      <c r="A116" s="2" t="s">
        <v>315</v>
      </c>
      <c r="B116" s="2" t="s">
        <v>316</v>
      </c>
      <c r="C116" s="2" t="s">
        <v>221</v>
      </c>
      <c r="D116" s="2" t="s">
        <v>31</v>
      </c>
    </row>
    <row r="117" spans="1:4" ht="33">
      <c r="A117" s="2" t="s">
        <v>319</v>
      </c>
      <c r="B117" s="2" t="s">
        <v>320</v>
      </c>
      <c r="C117" s="2" t="s">
        <v>221</v>
      </c>
      <c r="D117" s="2" t="s">
        <v>31</v>
      </c>
    </row>
    <row r="118" spans="1:4" ht="49.5">
      <c r="A118" s="2" t="s">
        <v>327</v>
      </c>
      <c r="B118" s="2" t="s">
        <v>328</v>
      </c>
      <c r="C118" s="2" t="s">
        <v>221</v>
      </c>
      <c r="D118" s="2" t="s">
        <v>31</v>
      </c>
    </row>
    <row r="119" spans="1:4" ht="33">
      <c r="A119" s="2" t="s">
        <v>335</v>
      </c>
      <c r="B119" s="2" t="s">
        <v>336</v>
      </c>
      <c r="C119" s="2" t="s">
        <v>221</v>
      </c>
      <c r="D119" s="2" t="s">
        <v>31</v>
      </c>
    </row>
    <row r="120" spans="1:4" ht="49.5">
      <c r="A120" s="2" t="s">
        <v>341</v>
      </c>
      <c r="B120" s="2" t="s">
        <v>342</v>
      </c>
      <c r="C120" s="2" t="s">
        <v>221</v>
      </c>
      <c r="D120" s="2" t="s">
        <v>31</v>
      </c>
    </row>
    <row r="121" spans="1:4" ht="49.5">
      <c r="A121" s="2" t="s">
        <v>343</v>
      </c>
      <c r="B121" s="2" t="s">
        <v>344</v>
      </c>
      <c r="C121" s="2" t="s">
        <v>221</v>
      </c>
      <c r="D121" s="2" t="s">
        <v>31</v>
      </c>
    </row>
    <row r="122" spans="1:4" ht="49.5">
      <c r="A122" s="2" t="s">
        <v>347</v>
      </c>
      <c r="B122" s="2" t="s">
        <v>348</v>
      </c>
      <c r="C122" s="2" t="s">
        <v>221</v>
      </c>
      <c r="D122" s="2" t="s">
        <v>31</v>
      </c>
    </row>
    <row r="123" spans="1:4" ht="49.5">
      <c r="A123" s="2" t="s">
        <v>349</v>
      </c>
      <c r="B123" s="2" t="s">
        <v>350</v>
      </c>
      <c r="C123" s="2" t="s">
        <v>221</v>
      </c>
      <c r="D123" s="2" t="s">
        <v>31</v>
      </c>
    </row>
    <row r="124" spans="1:4" ht="49.5">
      <c r="A124" s="2" t="s">
        <v>351</v>
      </c>
      <c r="B124" s="2" t="s">
        <v>352</v>
      </c>
      <c r="C124" s="2" t="s">
        <v>221</v>
      </c>
      <c r="D124" s="2" t="s">
        <v>34</v>
      </c>
    </row>
    <row r="125" spans="1:4" ht="49.5">
      <c r="A125" s="2" t="s">
        <v>353</v>
      </c>
      <c r="B125" s="2" t="s">
        <v>354</v>
      </c>
      <c r="C125" s="2" t="s">
        <v>221</v>
      </c>
      <c r="D125" s="2" t="s">
        <v>31</v>
      </c>
    </row>
    <row r="126" spans="1:4" ht="33">
      <c r="A126" s="2" t="s">
        <v>357</v>
      </c>
      <c r="B126" s="2" t="s">
        <v>358</v>
      </c>
      <c r="C126" s="2" t="s">
        <v>221</v>
      </c>
      <c r="D126" s="2" t="s">
        <v>30</v>
      </c>
    </row>
    <row r="127" spans="1:4" ht="49.5">
      <c r="A127" s="2" t="s">
        <v>359</v>
      </c>
      <c r="B127" s="2" t="s">
        <v>360</v>
      </c>
      <c r="C127" s="2" t="s">
        <v>221</v>
      </c>
      <c r="D127" s="2" t="s">
        <v>31</v>
      </c>
    </row>
    <row r="128" spans="1:4" ht="49.5">
      <c r="A128" s="2" t="s">
        <v>361</v>
      </c>
      <c r="B128" s="2" t="s">
        <v>362</v>
      </c>
      <c r="C128" s="2" t="s">
        <v>221</v>
      </c>
      <c r="D128" s="2" t="s">
        <v>31</v>
      </c>
    </row>
    <row r="129" spans="1:4" ht="49.5">
      <c r="A129" s="2" t="s">
        <v>363</v>
      </c>
      <c r="B129" s="2" t="s">
        <v>364</v>
      </c>
      <c r="C129" s="2" t="s">
        <v>221</v>
      </c>
      <c r="D129" s="2" t="s">
        <v>31</v>
      </c>
    </row>
    <row r="130" spans="1:4" ht="49.5">
      <c r="A130" s="2" t="s">
        <v>365</v>
      </c>
      <c r="B130" s="2" t="s">
        <v>366</v>
      </c>
      <c r="C130" s="2" t="s">
        <v>221</v>
      </c>
      <c r="D130" s="2" t="s">
        <v>31</v>
      </c>
    </row>
    <row r="131" spans="1:4" ht="49.5">
      <c r="A131" s="2" t="s">
        <v>367</v>
      </c>
      <c r="B131" s="2" t="s">
        <v>368</v>
      </c>
      <c r="C131" s="2" t="s">
        <v>221</v>
      </c>
      <c r="D131" s="2" t="s">
        <v>31</v>
      </c>
    </row>
    <row r="132" spans="1:4" ht="49.5">
      <c r="A132" s="2" t="s">
        <v>369</v>
      </c>
      <c r="B132" s="2" t="s">
        <v>370</v>
      </c>
      <c r="C132" s="2" t="s">
        <v>221</v>
      </c>
      <c r="D132" s="2" t="s">
        <v>31</v>
      </c>
    </row>
    <row r="133" spans="1:4" ht="49.5">
      <c r="A133" s="2" t="s">
        <v>371</v>
      </c>
      <c r="B133" s="2" t="s">
        <v>372</v>
      </c>
      <c r="C133" s="2" t="s">
        <v>221</v>
      </c>
      <c r="D133" s="2" t="s">
        <v>31</v>
      </c>
    </row>
    <row r="134" spans="1:4" ht="49.5">
      <c r="A134" s="2" t="s">
        <v>373</v>
      </c>
      <c r="B134" s="2" t="s">
        <v>374</v>
      </c>
      <c r="C134" s="2" t="s">
        <v>221</v>
      </c>
      <c r="D134" s="2" t="s">
        <v>34</v>
      </c>
    </row>
    <row r="135" spans="1:4" ht="33">
      <c r="A135" s="2" t="s">
        <v>375</v>
      </c>
      <c r="B135" s="2" t="s">
        <v>376</v>
      </c>
      <c r="C135" s="2" t="s">
        <v>221</v>
      </c>
      <c r="D135" s="2" t="s">
        <v>34</v>
      </c>
    </row>
    <row r="136" spans="1:4" ht="49.5">
      <c r="A136" s="2" t="s">
        <v>381</v>
      </c>
      <c r="B136" s="2" t="s">
        <v>382</v>
      </c>
      <c r="C136" s="2" t="s">
        <v>221</v>
      </c>
      <c r="D136" s="2" t="s">
        <v>31</v>
      </c>
    </row>
    <row r="137" spans="1:4" ht="49.5">
      <c r="A137" s="2" t="s">
        <v>385</v>
      </c>
      <c r="B137" s="2" t="s">
        <v>386</v>
      </c>
      <c r="C137" s="2" t="s">
        <v>221</v>
      </c>
      <c r="D137" s="2" t="s">
        <v>30</v>
      </c>
    </row>
    <row r="138" spans="1:4" ht="49.5">
      <c r="A138" s="2" t="s">
        <v>387</v>
      </c>
      <c r="B138" s="2" t="s">
        <v>388</v>
      </c>
      <c r="C138" s="2" t="s">
        <v>221</v>
      </c>
      <c r="D138" s="2" t="s">
        <v>31</v>
      </c>
    </row>
    <row r="139" spans="1:4" ht="49.5">
      <c r="A139" s="2" t="s">
        <v>389</v>
      </c>
      <c r="B139" s="2" t="s">
        <v>390</v>
      </c>
      <c r="C139" s="2" t="s">
        <v>221</v>
      </c>
      <c r="D139" s="2" t="s">
        <v>31</v>
      </c>
    </row>
    <row r="140" spans="1:4" ht="33">
      <c r="A140" s="2" t="s">
        <v>393</v>
      </c>
      <c r="B140" s="2" t="s">
        <v>394</v>
      </c>
      <c r="C140" s="2" t="s">
        <v>221</v>
      </c>
      <c r="D140" s="2" t="s">
        <v>31</v>
      </c>
    </row>
    <row r="141" spans="1:4" ht="33">
      <c r="A141" s="2" t="s">
        <v>395</v>
      </c>
      <c r="B141" s="2" t="s">
        <v>396</v>
      </c>
      <c r="C141" s="2" t="s">
        <v>221</v>
      </c>
      <c r="D141" s="2" t="s">
        <v>31</v>
      </c>
    </row>
    <row r="142" spans="1:4" ht="33">
      <c r="A142" s="2" t="s">
        <v>401</v>
      </c>
      <c r="B142" s="2" t="s">
        <v>402</v>
      </c>
      <c r="C142" s="2" t="s">
        <v>221</v>
      </c>
      <c r="D142" s="2" t="s">
        <v>34</v>
      </c>
    </row>
    <row r="143" spans="1:4" ht="33">
      <c r="A143" s="2" t="s">
        <v>403</v>
      </c>
      <c r="B143" s="2" t="s">
        <v>404</v>
      </c>
      <c r="C143" s="2" t="s">
        <v>221</v>
      </c>
      <c r="D143" s="2" t="s">
        <v>30</v>
      </c>
    </row>
    <row r="144" spans="1:4" ht="49.5">
      <c r="A144" s="2" t="s">
        <v>407</v>
      </c>
      <c r="B144" s="2" t="s">
        <v>408</v>
      </c>
      <c r="C144" s="2" t="s">
        <v>221</v>
      </c>
      <c r="D144" s="2" t="s">
        <v>31</v>
      </c>
    </row>
    <row r="145" spans="1:4" ht="33">
      <c r="A145" s="2" t="s">
        <v>411</v>
      </c>
      <c r="B145" s="2" t="s">
        <v>412</v>
      </c>
      <c r="C145" s="2" t="s">
        <v>221</v>
      </c>
      <c r="D145" s="2" t="s">
        <v>31</v>
      </c>
    </row>
    <row r="146" spans="1:4" ht="49.5">
      <c r="A146" s="2" t="s">
        <v>417</v>
      </c>
      <c r="B146" s="2" t="s">
        <v>418</v>
      </c>
      <c r="C146" s="2" t="s">
        <v>221</v>
      </c>
      <c r="D146" s="2" t="s">
        <v>31</v>
      </c>
    </row>
    <row r="147" spans="1:4" ht="49.5">
      <c r="A147" s="2" t="s">
        <v>419</v>
      </c>
      <c r="B147" s="2" t="s">
        <v>420</v>
      </c>
      <c r="C147" s="2" t="s">
        <v>221</v>
      </c>
      <c r="D147" s="2" t="s">
        <v>31</v>
      </c>
    </row>
    <row r="148" spans="1:4" ht="49.5">
      <c r="A148" s="2" t="s">
        <v>423</v>
      </c>
      <c r="B148" s="2" t="s">
        <v>424</v>
      </c>
      <c r="C148" s="2" t="s">
        <v>221</v>
      </c>
      <c r="D148" s="2" t="s">
        <v>31</v>
      </c>
    </row>
    <row r="149" spans="1:4" ht="49.5">
      <c r="A149" s="2" t="s">
        <v>425</v>
      </c>
      <c r="B149" s="2" t="s">
        <v>426</v>
      </c>
      <c r="C149" s="2" t="s">
        <v>221</v>
      </c>
      <c r="D149" s="2" t="s">
        <v>31</v>
      </c>
    </row>
    <row r="150" spans="1:4" ht="49.5">
      <c r="A150" s="2" t="s">
        <v>431</v>
      </c>
      <c r="B150" s="2" t="s">
        <v>432</v>
      </c>
      <c r="C150" s="2" t="s">
        <v>221</v>
      </c>
      <c r="D150" s="2" t="s">
        <v>31</v>
      </c>
    </row>
    <row r="151" spans="1:4" ht="49.5">
      <c r="A151" s="2" t="s">
        <v>433</v>
      </c>
      <c r="B151" s="2" t="s">
        <v>434</v>
      </c>
      <c r="C151" s="2" t="s">
        <v>221</v>
      </c>
      <c r="D151" s="2" t="s">
        <v>34</v>
      </c>
    </row>
    <row r="152" spans="1:4" ht="49.5">
      <c r="A152" s="2" t="s">
        <v>435</v>
      </c>
      <c r="B152" s="2" t="s">
        <v>436</v>
      </c>
      <c r="C152" s="2" t="s">
        <v>221</v>
      </c>
      <c r="D152" s="2" t="s">
        <v>31</v>
      </c>
    </row>
    <row r="153" spans="1:4" ht="49.5">
      <c r="A153" s="2" t="s">
        <v>437</v>
      </c>
      <c r="B153" s="2" t="s">
        <v>438</v>
      </c>
      <c r="C153" s="2" t="s">
        <v>221</v>
      </c>
      <c r="D153" s="2" t="s">
        <v>31</v>
      </c>
    </row>
    <row r="154" spans="1:4" ht="49.5">
      <c r="A154" s="2" t="s">
        <v>441</v>
      </c>
      <c r="B154" s="2" t="s">
        <v>442</v>
      </c>
      <c r="C154" s="2" t="s">
        <v>221</v>
      </c>
      <c r="D154" s="2" t="s">
        <v>31</v>
      </c>
    </row>
    <row r="155" spans="1:4" ht="49.5">
      <c r="A155" s="2" t="s">
        <v>445</v>
      </c>
      <c r="B155" s="2" t="s">
        <v>446</v>
      </c>
      <c r="C155" s="2" t="s">
        <v>221</v>
      </c>
      <c r="D155" s="2" t="s">
        <v>34</v>
      </c>
    </row>
    <row r="156" spans="1:4" ht="49.5">
      <c r="A156" s="2" t="s">
        <v>449</v>
      </c>
      <c r="B156" s="2" t="s">
        <v>450</v>
      </c>
      <c r="C156" s="2" t="s">
        <v>221</v>
      </c>
      <c r="D156" s="2" t="s">
        <v>31</v>
      </c>
    </row>
    <row r="157" spans="1:4" ht="49.5">
      <c r="A157" s="2" t="s">
        <v>453</v>
      </c>
      <c r="B157" s="2" t="s">
        <v>454</v>
      </c>
      <c r="C157" s="2" t="s">
        <v>221</v>
      </c>
      <c r="D157" s="2" t="s">
        <v>31</v>
      </c>
    </row>
    <row r="158" spans="1:4" ht="49.5">
      <c r="A158" s="2" t="s">
        <v>455</v>
      </c>
      <c r="B158" s="2" t="s">
        <v>456</v>
      </c>
      <c r="C158" s="2" t="s">
        <v>221</v>
      </c>
      <c r="D158" s="2" t="s">
        <v>31</v>
      </c>
    </row>
    <row r="159" spans="1:4" ht="49.5">
      <c r="A159" s="2" t="s">
        <v>457</v>
      </c>
      <c r="B159" s="2" t="s">
        <v>458</v>
      </c>
      <c r="C159" s="2" t="s">
        <v>221</v>
      </c>
      <c r="D159" s="2" t="s">
        <v>31</v>
      </c>
    </row>
    <row r="160" spans="1:4" ht="49.5">
      <c r="A160" s="2" t="s">
        <v>465</v>
      </c>
      <c r="B160" s="2" t="s">
        <v>466</v>
      </c>
      <c r="C160" s="2" t="s">
        <v>221</v>
      </c>
      <c r="D160" s="2" t="s">
        <v>31</v>
      </c>
    </row>
    <row r="161" spans="1:4" ht="49.5">
      <c r="A161" s="2" t="s">
        <v>467</v>
      </c>
      <c r="B161" s="2" t="s">
        <v>468</v>
      </c>
      <c r="C161" s="2" t="s">
        <v>221</v>
      </c>
      <c r="D161" s="2" t="s">
        <v>31</v>
      </c>
    </row>
    <row r="162" spans="1:4" ht="49.5">
      <c r="A162" s="2" t="s">
        <v>469</v>
      </c>
      <c r="B162" s="2" t="s">
        <v>470</v>
      </c>
      <c r="C162" s="2" t="s">
        <v>221</v>
      </c>
      <c r="D162" s="2" t="s">
        <v>31</v>
      </c>
    </row>
    <row r="163" spans="1:4" ht="49.5">
      <c r="A163" s="2" t="s">
        <v>471</v>
      </c>
      <c r="B163" s="2" t="s">
        <v>472</v>
      </c>
      <c r="C163" s="2" t="s">
        <v>221</v>
      </c>
      <c r="D163" s="2" t="s">
        <v>31</v>
      </c>
    </row>
    <row r="164" spans="1:4" ht="49.5">
      <c r="A164" s="2" t="s">
        <v>473</v>
      </c>
      <c r="B164" s="2" t="s">
        <v>474</v>
      </c>
      <c r="C164" s="2" t="s">
        <v>221</v>
      </c>
      <c r="D164" s="2" t="s">
        <v>31</v>
      </c>
    </row>
    <row r="165" spans="1:4" ht="49.5">
      <c r="A165" s="2" t="s">
        <v>477</v>
      </c>
      <c r="B165" s="2" t="s">
        <v>478</v>
      </c>
      <c r="C165" s="2" t="s">
        <v>221</v>
      </c>
      <c r="D165" s="2" t="s">
        <v>31</v>
      </c>
    </row>
    <row r="166" spans="1:4" ht="49.5">
      <c r="A166" s="2" t="s">
        <v>479</v>
      </c>
      <c r="B166" s="2" t="s">
        <v>480</v>
      </c>
      <c r="C166" s="2" t="s">
        <v>221</v>
      </c>
      <c r="D166" s="2" t="s">
        <v>31</v>
      </c>
    </row>
    <row r="167" spans="1:4" ht="49.5">
      <c r="A167" s="2" t="s">
        <v>481</v>
      </c>
      <c r="B167" s="2" t="s">
        <v>482</v>
      </c>
      <c r="C167" s="2" t="s">
        <v>221</v>
      </c>
      <c r="D167" s="2" t="s">
        <v>34</v>
      </c>
    </row>
    <row r="168" spans="1:4" ht="33">
      <c r="A168" s="2" t="s">
        <v>483</v>
      </c>
      <c r="B168" s="2" t="s">
        <v>484</v>
      </c>
      <c r="C168" s="2" t="s">
        <v>221</v>
      </c>
      <c r="D168" s="2" t="s">
        <v>30</v>
      </c>
    </row>
    <row r="169" spans="1:4" ht="49.5">
      <c r="A169" s="2" t="s">
        <v>485</v>
      </c>
      <c r="B169" s="2" t="s">
        <v>486</v>
      </c>
      <c r="C169" s="2" t="s">
        <v>221</v>
      </c>
      <c r="D169" s="2" t="s">
        <v>31</v>
      </c>
    </row>
    <row r="170" spans="1:4" ht="49.5">
      <c r="A170" s="2" t="s">
        <v>487</v>
      </c>
      <c r="B170" s="2" t="s">
        <v>488</v>
      </c>
      <c r="C170" s="2" t="s">
        <v>221</v>
      </c>
      <c r="D170" s="2" t="s">
        <v>31</v>
      </c>
    </row>
    <row r="171" spans="1:4" ht="49.5">
      <c r="A171" s="2" t="s">
        <v>489</v>
      </c>
      <c r="B171" s="2" t="s">
        <v>490</v>
      </c>
      <c r="C171" s="2" t="s">
        <v>221</v>
      </c>
      <c r="D171" s="2" t="s">
        <v>31</v>
      </c>
    </row>
    <row r="172" spans="1:4" ht="49.5">
      <c r="A172" s="2" t="s">
        <v>491</v>
      </c>
      <c r="B172" s="2" t="s">
        <v>492</v>
      </c>
      <c r="C172" s="2" t="s">
        <v>221</v>
      </c>
      <c r="D172" s="2" t="s">
        <v>31</v>
      </c>
    </row>
    <row r="173" spans="1:4" ht="49.5">
      <c r="A173" s="2" t="s">
        <v>493</v>
      </c>
      <c r="B173" s="2" t="s">
        <v>494</v>
      </c>
      <c r="C173" s="2" t="s">
        <v>221</v>
      </c>
      <c r="D173" s="2" t="s">
        <v>34</v>
      </c>
    </row>
    <row r="174" spans="1:4" ht="49.5">
      <c r="A174" s="2" t="s">
        <v>495</v>
      </c>
      <c r="B174" s="2" t="s">
        <v>496</v>
      </c>
      <c r="C174" s="2" t="s">
        <v>221</v>
      </c>
      <c r="D174" s="2" t="s">
        <v>31</v>
      </c>
    </row>
    <row r="175" spans="1:4" ht="49.5">
      <c r="A175" s="2" t="s">
        <v>497</v>
      </c>
      <c r="B175" s="2" t="s">
        <v>498</v>
      </c>
      <c r="C175" s="2" t="s">
        <v>221</v>
      </c>
      <c r="D175" s="2" t="s">
        <v>31</v>
      </c>
    </row>
    <row r="176" spans="1:4" ht="49.5">
      <c r="A176" s="2" t="s">
        <v>499</v>
      </c>
      <c r="B176" s="2" t="s">
        <v>500</v>
      </c>
      <c r="C176" s="2" t="s">
        <v>221</v>
      </c>
      <c r="D176" s="2" t="s">
        <v>31</v>
      </c>
    </row>
    <row r="177" spans="1:4" ht="33">
      <c r="A177" s="2" t="s">
        <v>501</v>
      </c>
      <c r="B177" s="2" t="s">
        <v>502</v>
      </c>
      <c r="C177" s="2" t="s">
        <v>221</v>
      </c>
      <c r="D177" s="2" t="s">
        <v>34</v>
      </c>
    </row>
    <row r="178" spans="1:4" ht="49.5">
      <c r="A178" s="2" t="s">
        <v>505</v>
      </c>
      <c r="B178" s="2" t="s">
        <v>506</v>
      </c>
      <c r="C178" s="2" t="s">
        <v>221</v>
      </c>
      <c r="D178" s="2" t="s">
        <v>34</v>
      </c>
    </row>
    <row r="179" spans="1:4" ht="49.5">
      <c r="A179" s="2" t="s">
        <v>507</v>
      </c>
      <c r="B179" s="2" t="s">
        <v>508</v>
      </c>
      <c r="C179" s="2" t="s">
        <v>221</v>
      </c>
      <c r="D179" s="2" t="s">
        <v>31</v>
      </c>
    </row>
    <row r="180" spans="1:4" ht="49.5">
      <c r="A180" s="2" t="s">
        <v>509</v>
      </c>
      <c r="B180" s="2" t="s">
        <v>510</v>
      </c>
      <c r="C180" s="2" t="s">
        <v>221</v>
      </c>
      <c r="D180" s="2" t="s">
        <v>30</v>
      </c>
    </row>
    <row r="181" spans="1:4" ht="49.5">
      <c r="A181" s="2" t="s">
        <v>513</v>
      </c>
      <c r="B181" s="2" t="s">
        <v>514</v>
      </c>
      <c r="C181" s="2" t="s">
        <v>221</v>
      </c>
      <c r="D181" s="2" t="s">
        <v>31</v>
      </c>
    </row>
    <row r="182" spans="1:4" ht="33">
      <c r="A182" s="2" t="s">
        <v>517</v>
      </c>
      <c r="B182" s="2" t="s">
        <v>518</v>
      </c>
      <c r="C182" s="2" t="s">
        <v>221</v>
      </c>
      <c r="D182" s="2" t="s">
        <v>34</v>
      </c>
    </row>
    <row r="183" spans="1:4" ht="49.5">
      <c r="A183" s="2" t="s">
        <v>521</v>
      </c>
      <c r="B183" s="2" t="s">
        <v>522</v>
      </c>
      <c r="C183" s="2" t="s">
        <v>221</v>
      </c>
      <c r="D183" s="2" t="s">
        <v>31</v>
      </c>
    </row>
    <row r="184" spans="1:4" ht="49.5">
      <c r="A184" s="2" t="s">
        <v>529</v>
      </c>
      <c r="B184" s="2" t="s">
        <v>530</v>
      </c>
      <c r="C184" s="2" t="s">
        <v>221</v>
      </c>
      <c r="D184" s="2" t="s">
        <v>31</v>
      </c>
    </row>
    <row r="185" spans="1:4" ht="49.5">
      <c r="A185" s="2" t="s">
        <v>539</v>
      </c>
      <c r="B185" s="2" t="s">
        <v>540</v>
      </c>
      <c r="C185" s="2" t="s">
        <v>221</v>
      </c>
      <c r="D185" s="2" t="s">
        <v>31</v>
      </c>
    </row>
    <row r="186" spans="1:4" ht="49.5">
      <c r="A186" s="2" t="s">
        <v>543</v>
      </c>
      <c r="B186" s="2" t="s">
        <v>544</v>
      </c>
      <c r="C186" s="2" t="s">
        <v>221</v>
      </c>
      <c r="D186" s="2" t="s">
        <v>31</v>
      </c>
    </row>
    <row r="187" spans="1:4" ht="49.5">
      <c r="A187" s="2" t="s">
        <v>545</v>
      </c>
      <c r="B187" s="2" t="s">
        <v>546</v>
      </c>
      <c r="C187" s="2" t="s">
        <v>221</v>
      </c>
      <c r="D187" s="2" t="s">
        <v>31</v>
      </c>
    </row>
    <row r="188" spans="1:4" ht="66">
      <c r="A188" s="2" t="s">
        <v>549</v>
      </c>
      <c r="B188" s="2" t="s">
        <v>550</v>
      </c>
      <c r="C188" s="2" t="s">
        <v>221</v>
      </c>
      <c r="D188" s="2" t="s">
        <v>30</v>
      </c>
    </row>
    <row r="189" spans="1:4" ht="49.5">
      <c r="A189" s="2" t="s">
        <v>557</v>
      </c>
      <c r="B189" s="2" t="s">
        <v>558</v>
      </c>
      <c r="C189" s="2" t="s">
        <v>221</v>
      </c>
      <c r="D189" s="2" t="s">
        <v>30</v>
      </c>
    </row>
    <row r="190" spans="1:4" ht="49.5">
      <c r="A190" s="2" t="s">
        <v>559</v>
      </c>
      <c r="B190" s="2" t="s">
        <v>560</v>
      </c>
      <c r="C190" s="2" t="s">
        <v>221</v>
      </c>
      <c r="D190" s="2" t="s">
        <v>31</v>
      </c>
    </row>
    <row r="191" spans="1:4" ht="49.5">
      <c r="A191" s="2" t="s">
        <v>575</v>
      </c>
      <c r="B191" s="2" t="s">
        <v>576</v>
      </c>
      <c r="C191" s="2" t="s">
        <v>221</v>
      </c>
      <c r="D191" s="2" t="s">
        <v>30</v>
      </c>
    </row>
    <row r="192" spans="1:4" ht="66">
      <c r="A192" s="2" t="s">
        <v>577</v>
      </c>
      <c r="B192" s="2" t="s">
        <v>578</v>
      </c>
      <c r="C192" s="2" t="s">
        <v>221</v>
      </c>
      <c r="D192" s="2" t="s">
        <v>30</v>
      </c>
    </row>
    <row r="193" spans="1:4" ht="49.5">
      <c r="A193" s="2" t="s">
        <v>579</v>
      </c>
      <c r="B193" s="2" t="s">
        <v>580</v>
      </c>
      <c r="C193" s="2" t="s">
        <v>221</v>
      </c>
      <c r="D193" s="2" t="s">
        <v>30</v>
      </c>
    </row>
    <row r="194" spans="1:4" ht="49.5">
      <c r="A194" s="2" t="s">
        <v>581</v>
      </c>
      <c r="B194" s="2" t="s">
        <v>582</v>
      </c>
      <c r="C194" s="2" t="s">
        <v>221</v>
      </c>
      <c r="D194" s="2" t="s">
        <v>31</v>
      </c>
    </row>
    <row r="195" spans="1:4" ht="49.5">
      <c r="A195" s="2" t="s">
        <v>583</v>
      </c>
      <c r="B195" s="2" t="s">
        <v>584</v>
      </c>
      <c r="C195" s="2" t="s">
        <v>221</v>
      </c>
      <c r="D195" s="2" t="s">
        <v>34</v>
      </c>
    </row>
    <row r="196" spans="1:4" ht="49.5">
      <c r="A196" s="2" t="s">
        <v>585</v>
      </c>
      <c r="B196" s="2" t="s">
        <v>586</v>
      </c>
      <c r="C196" s="2" t="s">
        <v>221</v>
      </c>
      <c r="D196" s="2" t="s">
        <v>31</v>
      </c>
    </row>
    <row r="197" spans="1:4" ht="66">
      <c r="A197" s="2" t="s">
        <v>605</v>
      </c>
      <c r="B197" s="2" t="s">
        <v>606</v>
      </c>
      <c r="C197" s="2" t="s">
        <v>221</v>
      </c>
      <c r="D197" s="2" t="s">
        <v>36</v>
      </c>
    </row>
    <row r="198" spans="1:4" ht="49.5">
      <c r="A198" s="2" t="s">
        <v>607</v>
      </c>
      <c r="B198" s="2" t="s">
        <v>608</v>
      </c>
      <c r="C198" s="2" t="s">
        <v>221</v>
      </c>
      <c r="D198" s="2" t="s">
        <v>30</v>
      </c>
    </row>
    <row r="199" spans="1:4" ht="49.5">
      <c r="A199" s="2" t="s">
        <v>611</v>
      </c>
      <c r="B199" s="2" t="s">
        <v>612</v>
      </c>
      <c r="C199" s="2" t="s">
        <v>221</v>
      </c>
      <c r="D199" s="2" t="s">
        <v>30</v>
      </c>
    </row>
    <row r="200" spans="1:4" ht="82.5">
      <c r="A200" s="2" t="s">
        <v>623</v>
      </c>
      <c r="B200" s="2" t="s">
        <v>624</v>
      </c>
      <c r="C200" s="2" t="s">
        <v>221</v>
      </c>
      <c r="D200" s="2" t="s">
        <v>31</v>
      </c>
    </row>
    <row r="201" spans="1:4" ht="82.5">
      <c r="A201" s="2" t="s">
        <v>625</v>
      </c>
      <c r="B201" s="2" t="s">
        <v>626</v>
      </c>
      <c r="C201" s="2" t="s">
        <v>221</v>
      </c>
      <c r="D201" s="2" t="s">
        <v>31</v>
      </c>
    </row>
    <row r="202" spans="1:4" ht="49.5">
      <c r="A202" s="2" t="s">
        <v>681</v>
      </c>
      <c r="B202" s="2" t="s">
        <v>682</v>
      </c>
      <c r="C202" s="2" t="s">
        <v>221</v>
      </c>
      <c r="D202" s="2" t="s">
        <v>34</v>
      </c>
    </row>
    <row r="203" spans="1:4" ht="49.5">
      <c r="A203" s="2" t="s">
        <v>695</v>
      </c>
      <c r="B203" s="2" t="s">
        <v>696</v>
      </c>
      <c r="C203" s="2" t="s">
        <v>221</v>
      </c>
      <c r="D203" s="2" t="s">
        <v>31</v>
      </c>
    </row>
    <row r="204" spans="1:4" ht="49.5">
      <c r="A204" s="2" t="s">
        <v>697</v>
      </c>
      <c r="B204" s="2" t="s">
        <v>698</v>
      </c>
      <c r="C204" s="2" t="s">
        <v>221</v>
      </c>
      <c r="D204" s="2" t="s">
        <v>31</v>
      </c>
    </row>
    <row r="205" spans="1:4" ht="49.5">
      <c r="A205" s="2" t="s">
        <v>699</v>
      </c>
      <c r="B205" s="2" t="s">
        <v>700</v>
      </c>
      <c r="C205" s="2" t="s">
        <v>221</v>
      </c>
      <c r="D205" s="2" t="s">
        <v>31</v>
      </c>
    </row>
    <row r="206" spans="1:4" ht="49.5">
      <c r="A206" s="2" t="s">
        <v>709</v>
      </c>
      <c r="B206" s="2" t="s">
        <v>710</v>
      </c>
      <c r="C206" s="2" t="s">
        <v>221</v>
      </c>
      <c r="D206" s="2" t="s">
        <v>31</v>
      </c>
    </row>
    <row r="207" spans="1:4" ht="66">
      <c r="A207" s="2" t="s">
        <v>725</v>
      </c>
      <c r="B207" s="2" t="s">
        <v>726</v>
      </c>
      <c r="C207" s="2" t="s">
        <v>221</v>
      </c>
      <c r="D207" s="2" t="s">
        <v>30</v>
      </c>
    </row>
    <row r="208" spans="1:4" ht="66">
      <c r="A208" s="2" t="s">
        <v>727</v>
      </c>
      <c r="B208" s="2" t="s">
        <v>728</v>
      </c>
      <c r="C208" s="2" t="s">
        <v>221</v>
      </c>
      <c r="D208" s="2" t="s">
        <v>30</v>
      </c>
    </row>
    <row r="209" spans="1:4" ht="49.5">
      <c r="A209" s="2" t="s">
        <v>729</v>
      </c>
      <c r="B209" s="2" t="s">
        <v>730</v>
      </c>
      <c r="C209" s="2" t="s">
        <v>221</v>
      </c>
      <c r="D209" s="2" t="s">
        <v>30</v>
      </c>
    </row>
    <row r="210" spans="1:4" ht="49.5">
      <c r="A210" s="2" t="s">
        <v>733</v>
      </c>
      <c r="B210" s="2" t="s">
        <v>734</v>
      </c>
      <c r="C210" s="2" t="s">
        <v>221</v>
      </c>
      <c r="D210" s="2" t="s">
        <v>30</v>
      </c>
    </row>
    <row r="211" spans="1:4" ht="49.5">
      <c r="A211" s="2" t="s">
        <v>735</v>
      </c>
      <c r="B211" s="2" t="s">
        <v>736</v>
      </c>
      <c r="C211" s="2" t="s">
        <v>221</v>
      </c>
      <c r="D211" s="2" t="s">
        <v>30</v>
      </c>
    </row>
    <row r="212" spans="1:4" ht="49.5">
      <c r="A212" s="2" t="s">
        <v>737</v>
      </c>
      <c r="B212" s="2" t="s">
        <v>738</v>
      </c>
      <c r="C212" s="2" t="s">
        <v>221</v>
      </c>
      <c r="D212" s="2" t="s">
        <v>30</v>
      </c>
    </row>
    <row r="213" spans="1:4" ht="49.5">
      <c r="A213" s="2" t="s">
        <v>739</v>
      </c>
      <c r="B213" s="2" t="s">
        <v>740</v>
      </c>
      <c r="C213" s="2" t="s">
        <v>221</v>
      </c>
      <c r="D213" s="2" t="s">
        <v>36</v>
      </c>
    </row>
    <row r="214" spans="1:4" ht="49.5">
      <c r="A214" s="2" t="s">
        <v>741</v>
      </c>
      <c r="B214" s="2" t="s">
        <v>742</v>
      </c>
      <c r="C214" s="2" t="s">
        <v>221</v>
      </c>
      <c r="D214" s="2" t="s">
        <v>34</v>
      </c>
    </row>
    <row r="215" spans="1:4" ht="49.5">
      <c r="A215" s="2" t="s">
        <v>743</v>
      </c>
      <c r="B215" s="2" t="s">
        <v>744</v>
      </c>
      <c r="C215" s="2" t="s">
        <v>221</v>
      </c>
      <c r="D215" s="2" t="s">
        <v>30</v>
      </c>
    </row>
    <row r="216" spans="1:4" ht="49.5">
      <c r="A216" s="2" t="s">
        <v>745</v>
      </c>
      <c r="B216" s="2" t="s">
        <v>746</v>
      </c>
      <c r="C216" s="2" t="s">
        <v>221</v>
      </c>
      <c r="D216" s="2" t="s">
        <v>30</v>
      </c>
    </row>
    <row r="217" spans="1:4" ht="49.5">
      <c r="A217" s="2" t="s">
        <v>747</v>
      </c>
      <c r="B217" s="2" t="s">
        <v>748</v>
      </c>
      <c r="C217" s="2" t="s">
        <v>221</v>
      </c>
      <c r="D217" s="2" t="s">
        <v>30</v>
      </c>
    </row>
    <row r="218" spans="1:4" ht="49.5">
      <c r="A218" s="2" t="s">
        <v>749</v>
      </c>
      <c r="B218" s="2" t="s">
        <v>750</v>
      </c>
      <c r="C218" s="2" t="s">
        <v>221</v>
      </c>
      <c r="D218" s="2" t="s">
        <v>30</v>
      </c>
    </row>
    <row r="219" spans="1:4" ht="66">
      <c r="A219" s="2" t="s">
        <v>751</v>
      </c>
      <c r="B219" s="2" t="s">
        <v>752</v>
      </c>
      <c r="C219" s="2" t="s">
        <v>221</v>
      </c>
      <c r="D219" s="2" t="s">
        <v>34</v>
      </c>
    </row>
    <row r="220" spans="1:4" ht="49.5">
      <c r="A220" s="2" t="s">
        <v>753</v>
      </c>
      <c r="B220" s="2" t="s">
        <v>754</v>
      </c>
      <c r="C220" s="2" t="s">
        <v>221</v>
      </c>
      <c r="D220" s="2" t="s">
        <v>30</v>
      </c>
    </row>
    <row r="221" spans="1:4" ht="49.5">
      <c r="A221" s="2" t="s">
        <v>787</v>
      </c>
      <c r="B221" s="2" t="s">
        <v>788</v>
      </c>
      <c r="C221" s="2" t="s">
        <v>221</v>
      </c>
      <c r="D221" s="2" t="s">
        <v>31</v>
      </c>
    </row>
    <row r="222" spans="1:4" ht="49.5">
      <c r="A222" s="2" t="s">
        <v>791</v>
      </c>
      <c r="B222" s="2" t="s">
        <v>792</v>
      </c>
      <c r="C222" s="2" t="s">
        <v>221</v>
      </c>
      <c r="D222" s="2" t="s">
        <v>31</v>
      </c>
    </row>
    <row r="223" spans="1:4" ht="49.5">
      <c r="A223" s="2" t="s">
        <v>793</v>
      </c>
      <c r="B223" s="2" t="s">
        <v>794</v>
      </c>
      <c r="C223" s="2" t="s">
        <v>221</v>
      </c>
      <c r="D223" s="2" t="s">
        <v>31</v>
      </c>
    </row>
    <row r="224" spans="1:4" ht="66">
      <c r="A224" s="2" t="s">
        <v>811</v>
      </c>
      <c r="B224" s="2" t="s">
        <v>812</v>
      </c>
      <c r="C224" s="2" t="s">
        <v>221</v>
      </c>
      <c r="D224" s="2" t="s">
        <v>31</v>
      </c>
    </row>
    <row r="225" spans="1:4" ht="66">
      <c r="A225" s="2" t="s">
        <v>813</v>
      </c>
      <c r="B225" s="2" t="s">
        <v>814</v>
      </c>
      <c r="C225" s="2" t="s">
        <v>221</v>
      </c>
      <c r="D225" s="2" t="s">
        <v>31</v>
      </c>
    </row>
    <row r="226" spans="1:4" ht="66">
      <c r="A226" s="2" t="s">
        <v>815</v>
      </c>
      <c r="B226" s="2" t="s">
        <v>816</v>
      </c>
      <c r="C226" s="2" t="s">
        <v>221</v>
      </c>
      <c r="D226" s="2" t="s">
        <v>31</v>
      </c>
    </row>
    <row r="227" spans="1:4" ht="66">
      <c r="A227" s="2" t="s">
        <v>817</v>
      </c>
      <c r="B227" s="2" t="s">
        <v>818</v>
      </c>
      <c r="C227" s="2" t="s">
        <v>221</v>
      </c>
      <c r="D227" s="2" t="s">
        <v>31</v>
      </c>
    </row>
    <row r="228" spans="1:4" ht="66">
      <c r="A228" s="2" t="s">
        <v>839</v>
      </c>
      <c r="B228" s="2" t="s">
        <v>840</v>
      </c>
      <c r="C228" s="2" t="s">
        <v>221</v>
      </c>
      <c r="D228" s="2" t="s">
        <v>31</v>
      </c>
    </row>
    <row r="229" spans="1:4" ht="66">
      <c r="A229" s="2" t="s">
        <v>841</v>
      </c>
      <c r="B229" s="2" t="s">
        <v>842</v>
      </c>
      <c r="C229" s="2" t="s">
        <v>221</v>
      </c>
      <c r="D229" s="2" t="s">
        <v>31</v>
      </c>
    </row>
    <row r="230" spans="1:4" ht="66">
      <c r="A230" s="2" t="s">
        <v>843</v>
      </c>
      <c r="B230" s="2" t="s">
        <v>844</v>
      </c>
      <c r="C230" s="2" t="s">
        <v>221</v>
      </c>
      <c r="D230" s="2" t="s">
        <v>31</v>
      </c>
    </row>
    <row r="231" spans="1:4" ht="66">
      <c r="A231" s="2" t="s">
        <v>883</v>
      </c>
      <c r="B231" s="2" t="s">
        <v>884</v>
      </c>
      <c r="C231" s="2" t="s">
        <v>221</v>
      </c>
      <c r="D231" s="2" t="s">
        <v>31</v>
      </c>
    </row>
    <row r="232" spans="1:4" ht="66">
      <c r="A232" s="2" t="s">
        <v>919</v>
      </c>
      <c r="B232" s="2" t="s">
        <v>920</v>
      </c>
      <c r="C232" s="2" t="s">
        <v>221</v>
      </c>
      <c r="D232" s="2" t="s">
        <v>31</v>
      </c>
    </row>
    <row r="233" spans="1:4" ht="66">
      <c r="A233" s="2" t="s">
        <v>921</v>
      </c>
      <c r="B233" s="2" t="s">
        <v>922</v>
      </c>
      <c r="C233" s="2" t="s">
        <v>221</v>
      </c>
      <c r="D233" s="2" t="s">
        <v>31</v>
      </c>
    </row>
    <row r="234" spans="1:4" ht="66">
      <c r="A234" s="2" t="s">
        <v>925</v>
      </c>
      <c r="B234" s="2" t="s">
        <v>926</v>
      </c>
      <c r="C234" s="2" t="s">
        <v>221</v>
      </c>
      <c r="D234" s="2" t="s">
        <v>31</v>
      </c>
    </row>
    <row r="235" spans="1:4" ht="66">
      <c r="A235" s="2" t="s">
        <v>927</v>
      </c>
      <c r="B235" s="2" t="s">
        <v>928</v>
      </c>
      <c r="C235" s="2" t="s">
        <v>221</v>
      </c>
      <c r="D235" s="2" t="s">
        <v>31</v>
      </c>
    </row>
    <row r="236" spans="1:4" ht="66">
      <c r="A236" s="2" t="s">
        <v>929</v>
      </c>
      <c r="B236" s="2" t="s">
        <v>930</v>
      </c>
      <c r="C236" s="2" t="s">
        <v>221</v>
      </c>
      <c r="D236" s="2" t="s">
        <v>31</v>
      </c>
    </row>
    <row r="237" spans="1:4" ht="49.5">
      <c r="A237" s="2" t="s">
        <v>965</v>
      </c>
      <c r="B237" s="2" t="s">
        <v>966</v>
      </c>
      <c r="C237" s="2" t="s">
        <v>221</v>
      </c>
      <c r="D237" s="2" t="s">
        <v>30</v>
      </c>
    </row>
    <row r="238" spans="1:4" ht="49.5">
      <c r="A238" s="2" t="s">
        <v>967</v>
      </c>
      <c r="B238" s="2" t="s">
        <v>968</v>
      </c>
      <c r="C238" s="2" t="s">
        <v>221</v>
      </c>
      <c r="D238" s="2" t="s">
        <v>30</v>
      </c>
    </row>
    <row r="239" spans="1:4" ht="33">
      <c r="A239" s="2" t="s">
        <v>971</v>
      </c>
      <c r="B239" s="2" t="s">
        <v>972</v>
      </c>
      <c r="C239" s="2" t="s">
        <v>221</v>
      </c>
      <c r="D239" s="2" t="s">
        <v>30</v>
      </c>
    </row>
    <row r="240" spans="1:4" ht="33">
      <c r="A240" s="2" t="s">
        <v>973</v>
      </c>
      <c r="B240" s="2" t="s">
        <v>974</v>
      </c>
      <c r="C240" s="2" t="s">
        <v>221</v>
      </c>
      <c r="D240" s="2" t="s">
        <v>30</v>
      </c>
    </row>
    <row r="241" spans="1:4" ht="49.5">
      <c r="A241" s="2" t="s">
        <v>975</v>
      </c>
      <c r="B241" s="2" t="s">
        <v>976</v>
      </c>
      <c r="C241" s="2" t="s">
        <v>221</v>
      </c>
      <c r="D241" s="2" t="s">
        <v>36</v>
      </c>
    </row>
    <row r="242" spans="1:4" ht="49.5">
      <c r="A242" s="2" t="s">
        <v>981</v>
      </c>
      <c r="B242" s="2" t="s">
        <v>982</v>
      </c>
      <c r="C242" s="2" t="s">
        <v>221</v>
      </c>
      <c r="D242" s="2" t="s">
        <v>31</v>
      </c>
    </row>
    <row r="243" spans="1:4" ht="49.5">
      <c r="A243" s="2" t="s">
        <v>1015</v>
      </c>
      <c r="B243" s="2" t="s">
        <v>1016</v>
      </c>
      <c r="C243" s="2" t="s">
        <v>221</v>
      </c>
      <c r="D243" s="2" t="s">
        <v>31</v>
      </c>
    </row>
    <row r="244" spans="1:4" ht="49.5">
      <c r="A244" s="2" t="s">
        <v>1017</v>
      </c>
      <c r="B244" s="2" t="s">
        <v>1018</v>
      </c>
      <c r="C244" s="2" t="s">
        <v>221</v>
      </c>
      <c r="D244" s="2" t="s">
        <v>31</v>
      </c>
    </row>
    <row r="245" spans="1:4" ht="49.5">
      <c r="A245" s="2" t="s">
        <v>1019</v>
      </c>
      <c r="B245" s="2" t="s">
        <v>1020</v>
      </c>
      <c r="C245" s="2" t="s">
        <v>221</v>
      </c>
      <c r="D245" s="2" t="s">
        <v>31</v>
      </c>
    </row>
    <row r="246" spans="1:4" ht="49.5">
      <c r="A246" s="2" t="s">
        <v>1021</v>
      </c>
      <c r="B246" s="2" t="s">
        <v>1022</v>
      </c>
      <c r="C246" s="2" t="s">
        <v>221</v>
      </c>
      <c r="D246" s="2" t="s">
        <v>31</v>
      </c>
    </row>
    <row r="247" spans="1:4" ht="49.5">
      <c r="A247" s="2" t="s">
        <v>1023</v>
      </c>
      <c r="B247" s="2" t="s">
        <v>1024</v>
      </c>
      <c r="C247" s="2" t="s">
        <v>221</v>
      </c>
      <c r="D247" s="2" t="s">
        <v>31</v>
      </c>
    </row>
    <row r="248" spans="1:4" ht="49.5">
      <c r="A248" s="2" t="s">
        <v>1025</v>
      </c>
      <c r="B248" s="2" t="s">
        <v>1026</v>
      </c>
      <c r="C248" s="2" t="s">
        <v>221</v>
      </c>
      <c r="D248" s="2" t="s">
        <v>31</v>
      </c>
    </row>
    <row r="249" spans="1:4" ht="49.5">
      <c r="A249" s="2" t="s">
        <v>1027</v>
      </c>
      <c r="B249" s="2" t="s">
        <v>1028</v>
      </c>
      <c r="C249" s="2" t="s">
        <v>221</v>
      </c>
      <c r="D249" s="2" t="s">
        <v>31</v>
      </c>
    </row>
    <row r="250" spans="1:4" ht="49.5">
      <c r="A250" s="2" t="s">
        <v>1029</v>
      </c>
      <c r="B250" s="2" t="s">
        <v>1030</v>
      </c>
      <c r="C250" s="2" t="s">
        <v>221</v>
      </c>
      <c r="D250" s="2" t="s">
        <v>31</v>
      </c>
    </row>
    <row r="251" spans="1:4" ht="49.5">
      <c r="A251" s="2" t="s">
        <v>1031</v>
      </c>
      <c r="B251" s="2" t="s">
        <v>1032</v>
      </c>
      <c r="C251" s="2" t="s">
        <v>221</v>
      </c>
      <c r="D251" s="2" t="s">
        <v>31</v>
      </c>
    </row>
    <row r="252" spans="1:4" ht="49.5">
      <c r="A252" s="2" t="s">
        <v>1033</v>
      </c>
      <c r="B252" s="2" t="s">
        <v>1034</v>
      </c>
      <c r="C252" s="2" t="s">
        <v>221</v>
      </c>
      <c r="D252" s="2" t="s">
        <v>31</v>
      </c>
    </row>
    <row r="253" spans="1:4" ht="49.5">
      <c r="A253" s="2" t="s">
        <v>1035</v>
      </c>
      <c r="B253" s="2" t="s">
        <v>1036</v>
      </c>
      <c r="C253" s="2" t="s">
        <v>221</v>
      </c>
      <c r="D253" s="2" t="s">
        <v>31</v>
      </c>
    </row>
    <row r="254" spans="1:4" ht="49.5">
      <c r="A254" s="2" t="s">
        <v>1037</v>
      </c>
      <c r="B254" s="2" t="s">
        <v>1038</v>
      </c>
      <c r="C254" s="2" t="s">
        <v>221</v>
      </c>
      <c r="D254" s="2" t="s">
        <v>31</v>
      </c>
    </row>
    <row r="255" spans="1:4" ht="49.5">
      <c r="A255" s="2" t="s">
        <v>1039</v>
      </c>
      <c r="B255" s="2" t="s">
        <v>1040</v>
      </c>
      <c r="C255" s="2" t="s">
        <v>221</v>
      </c>
      <c r="D255" s="2" t="s">
        <v>31</v>
      </c>
    </row>
    <row r="256" spans="1:4" ht="49.5">
      <c r="A256" s="2" t="s">
        <v>1041</v>
      </c>
      <c r="B256" s="2" t="s">
        <v>1042</v>
      </c>
      <c r="C256" s="2" t="s">
        <v>221</v>
      </c>
      <c r="D256" s="2" t="s">
        <v>31</v>
      </c>
    </row>
    <row r="257" spans="1:4" ht="49.5">
      <c r="A257" s="2" t="s">
        <v>1043</v>
      </c>
      <c r="B257" s="2" t="s">
        <v>1044</v>
      </c>
      <c r="C257" s="2" t="s">
        <v>221</v>
      </c>
      <c r="D257" s="2" t="s">
        <v>31</v>
      </c>
    </row>
    <row r="258" spans="1:4" ht="49.5">
      <c r="A258" s="2" t="s">
        <v>1045</v>
      </c>
      <c r="B258" s="2" t="s">
        <v>1046</v>
      </c>
      <c r="C258" s="2" t="s">
        <v>221</v>
      </c>
      <c r="D258" s="2" t="s">
        <v>31</v>
      </c>
    </row>
    <row r="259" spans="1:4" ht="49.5">
      <c r="A259" s="2" t="s">
        <v>1049</v>
      </c>
      <c r="B259" s="2" t="s">
        <v>1050</v>
      </c>
      <c r="C259" s="2" t="s">
        <v>221</v>
      </c>
      <c r="D259" s="2" t="s">
        <v>31</v>
      </c>
    </row>
    <row r="260" spans="1:4" ht="49.5">
      <c r="A260" s="2" t="s">
        <v>1051</v>
      </c>
      <c r="B260" s="2" t="s">
        <v>1052</v>
      </c>
      <c r="C260" s="2" t="s">
        <v>221</v>
      </c>
      <c r="D260" s="2" t="s">
        <v>31</v>
      </c>
    </row>
    <row r="261" spans="1:4" ht="49.5">
      <c r="A261" s="2" t="s">
        <v>1053</v>
      </c>
      <c r="B261" s="2" t="s">
        <v>1054</v>
      </c>
      <c r="C261" s="2" t="s">
        <v>221</v>
      </c>
      <c r="D261" s="2" t="s">
        <v>34</v>
      </c>
    </row>
    <row r="262" spans="1:4" ht="49.5">
      <c r="A262" s="2" t="s">
        <v>1055</v>
      </c>
      <c r="B262" s="2" t="s">
        <v>1056</v>
      </c>
      <c r="C262" s="2" t="s">
        <v>221</v>
      </c>
      <c r="D262" s="2" t="s">
        <v>31</v>
      </c>
    </row>
    <row r="263" spans="1:4" ht="49.5">
      <c r="A263" s="2" t="s">
        <v>1063</v>
      </c>
      <c r="B263" s="2" t="s">
        <v>1064</v>
      </c>
      <c r="C263" s="2" t="s">
        <v>221</v>
      </c>
      <c r="D263" s="2" t="s">
        <v>31</v>
      </c>
    </row>
    <row r="264" spans="1:4" ht="49.5">
      <c r="A264" s="2" t="s">
        <v>1065</v>
      </c>
      <c r="B264" s="2" t="s">
        <v>1066</v>
      </c>
      <c r="C264" s="2" t="s">
        <v>221</v>
      </c>
      <c r="D264" s="2" t="s">
        <v>31</v>
      </c>
    </row>
    <row r="265" spans="1:4" ht="49.5">
      <c r="A265" s="2" t="s">
        <v>1067</v>
      </c>
      <c r="B265" s="2" t="s">
        <v>1068</v>
      </c>
      <c r="C265" s="2" t="s">
        <v>221</v>
      </c>
      <c r="D265" s="2" t="s">
        <v>31</v>
      </c>
    </row>
    <row r="266" spans="1:4" ht="49.5">
      <c r="A266" s="2" t="s">
        <v>1073</v>
      </c>
      <c r="B266" s="2" t="s">
        <v>1074</v>
      </c>
      <c r="C266" s="2" t="s">
        <v>221</v>
      </c>
      <c r="D266" s="2" t="s">
        <v>31</v>
      </c>
    </row>
    <row r="267" spans="1:4" ht="49.5">
      <c r="A267" s="2" t="s">
        <v>1075</v>
      </c>
      <c r="B267" s="2" t="s">
        <v>1076</v>
      </c>
      <c r="C267" s="2" t="s">
        <v>221</v>
      </c>
      <c r="D267" s="2" t="s">
        <v>31</v>
      </c>
    </row>
    <row r="268" spans="1:4" ht="49.5">
      <c r="A268" s="2" t="s">
        <v>1077</v>
      </c>
      <c r="B268" s="2" t="s">
        <v>1078</v>
      </c>
      <c r="C268" s="2" t="s">
        <v>221</v>
      </c>
      <c r="D268" s="2" t="s">
        <v>31</v>
      </c>
    </row>
    <row r="269" spans="1:4" ht="49.5">
      <c r="A269" s="2" t="s">
        <v>1079</v>
      </c>
      <c r="B269" s="2" t="s">
        <v>1080</v>
      </c>
      <c r="C269" s="2" t="s">
        <v>221</v>
      </c>
      <c r="D269" s="2" t="s">
        <v>31</v>
      </c>
    </row>
    <row r="270" spans="1:4" ht="49.5">
      <c r="A270" s="2" t="s">
        <v>1081</v>
      </c>
      <c r="B270" s="2" t="s">
        <v>1082</v>
      </c>
      <c r="C270" s="2" t="s">
        <v>221</v>
      </c>
      <c r="D270" s="2" t="s">
        <v>31</v>
      </c>
    </row>
    <row r="271" spans="1:4" ht="49.5">
      <c r="A271" s="2" t="s">
        <v>1083</v>
      </c>
      <c r="B271" s="2" t="s">
        <v>1084</v>
      </c>
      <c r="C271" s="2" t="s">
        <v>221</v>
      </c>
      <c r="D271" s="2" t="s">
        <v>31</v>
      </c>
    </row>
    <row r="272" spans="1:4" ht="49.5">
      <c r="A272" s="2" t="s">
        <v>1085</v>
      </c>
      <c r="B272" s="2" t="s">
        <v>1086</v>
      </c>
      <c r="C272" s="2" t="s">
        <v>221</v>
      </c>
      <c r="D272" s="2" t="s">
        <v>31</v>
      </c>
    </row>
    <row r="273" spans="1:4" ht="49.5">
      <c r="A273" s="2" t="s">
        <v>1087</v>
      </c>
      <c r="B273" s="2" t="s">
        <v>1088</v>
      </c>
      <c r="C273" s="2" t="s">
        <v>221</v>
      </c>
      <c r="D273" s="2" t="s">
        <v>31</v>
      </c>
    </row>
    <row r="274" spans="1:4" ht="49.5">
      <c r="A274" s="2" t="s">
        <v>1089</v>
      </c>
      <c r="B274" s="2" t="s">
        <v>1090</v>
      </c>
      <c r="C274" s="2" t="s">
        <v>221</v>
      </c>
      <c r="D274" s="2" t="s">
        <v>31</v>
      </c>
    </row>
    <row r="275" spans="1:4" ht="49.5">
      <c r="A275" s="2" t="s">
        <v>1091</v>
      </c>
      <c r="B275" s="2" t="s">
        <v>1092</v>
      </c>
      <c r="C275" s="2" t="s">
        <v>221</v>
      </c>
      <c r="D275" s="2" t="s">
        <v>31</v>
      </c>
    </row>
    <row r="276" spans="1:4" ht="49.5">
      <c r="A276" s="2" t="s">
        <v>1093</v>
      </c>
      <c r="B276" s="2" t="s">
        <v>1094</v>
      </c>
      <c r="C276" s="2" t="s">
        <v>221</v>
      </c>
      <c r="D276" s="2" t="s">
        <v>31</v>
      </c>
    </row>
    <row r="277" spans="1:4" ht="49.5">
      <c r="A277" s="2" t="s">
        <v>1095</v>
      </c>
      <c r="B277" s="2" t="s">
        <v>1096</v>
      </c>
      <c r="C277" s="2" t="s">
        <v>221</v>
      </c>
      <c r="D277" s="2" t="s">
        <v>31</v>
      </c>
    </row>
    <row r="278" spans="1:4" ht="49.5">
      <c r="A278" s="2" t="s">
        <v>1097</v>
      </c>
      <c r="B278" s="2" t="s">
        <v>1098</v>
      </c>
      <c r="C278" s="2" t="s">
        <v>221</v>
      </c>
      <c r="D278" s="2" t="s">
        <v>31</v>
      </c>
    </row>
    <row r="279" spans="1:4" ht="49.5">
      <c r="A279" s="2" t="s">
        <v>1099</v>
      </c>
      <c r="B279" s="2" t="s">
        <v>1100</v>
      </c>
      <c r="C279" s="2" t="s">
        <v>221</v>
      </c>
      <c r="D279" s="2" t="s">
        <v>31</v>
      </c>
    </row>
    <row r="280" spans="1:4" ht="49.5">
      <c r="A280" s="2" t="s">
        <v>1101</v>
      </c>
      <c r="B280" s="2" t="s">
        <v>1102</v>
      </c>
      <c r="C280" s="2" t="s">
        <v>221</v>
      </c>
      <c r="D280" s="2" t="s">
        <v>31</v>
      </c>
    </row>
    <row r="281" spans="1:4" ht="49.5">
      <c r="A281" s="2" t="s">
        <v>1103</v>
      </c>
      <c r="B281" s="2" t="s">
        <v>1104</v>
      </c>
      <c r="C281" s="2" t="s">
        <v>221</v>
      </c>
      <c r="D281" s="2" t="s">
        <v>31</v>
      </c>
    </row>
    <row r="282" spans="1:4" ht="49.5">
      <c r="A282" s="2" t="s">
        <v>1107</v>
      </c>
      <c r="B282" s="2" t="s">
        <v>1108</v>
      </c>
      <c r="C282" s="2" t="s">
        <v>221</v>
      </c>
      <c r="D282" s="2" t="s">
        <v>31</v>
      </c>
    </row>
    <row r="283" spans="1:4" ht="49.5">
      <c r="A283" s="2" t="s">
        <v>1111</v>
      </c>
      <c r="B283" s="2" t="s">
        <v>1112</v>
      </c>
      <c r="C283" s="2" t="s">
        <v>221</v>
      </c>
      <c r="D283" s="2" t="s">
        <v>31</v>
      </c>
    </row>
    <row r="284" spans="1:4" ht="49.5">
      <c r="A284" s="2" t="s">
        <v>1135</v>
      </c>
      <c r="B284" s="2" t="s">
        <v>1136</v>
      </c>
      <c r="C284" s="2" t="s">
        <v>221</v>
      </c>
      <c r="D284" s="2" t="s">
        <v>31</v>
      </c>
    </row>
    <row r="285" spans="1:4" ht="49.5">
      <c r="A285" s="2" t="s">
        <v>1137</v>
      </c>
      <c r="B285" s="2" t="s">
        <v>1138</v>
      </c>
      <c r="C285" s="2" t="s">
        <v>221</v>
      </c>
      <c r="D285" s="2" t="s">
        <v>31</v>
      </c>
    </row>
    <row r="286" spans="1:4" ht="49.5">
      <c r="A286" s="2" t="s">
        <v>1145</v>
      </c>
      <c r="B286" s="2" t="s">
        <v>1146</v>
      </c>
      <c r="C286" s="2" t="s">
        <v>221</v>
      </c>
      <c r="D286" s="2" t="s">
        <v>31</v>
      </c>
    </row>
    <row r="287" spans="1:4" ht="49.5">
      <c r="A287" s="2" t="s">
        <v>1149</v>
      </c>
      <c r="B287" s="2" t="s">
        <v>1150</v>
      </c>
      <c r="C287" s="2" t="s">
        <v>221</v>
      </c>
      <c r="D287" s="2" t="s">
        <v>31</v>
      </c>
    </row>
    <row r="288" spans="1:4" ht="49.5">
      <c r="A288" s="2" t="s">
        <v>1153</v>
      </c>
      <c r="B288" s="2" t="s">
        <v>1154</v>
      </c>
      <c r="C288" s="2" t="s">
        <v>221</v>
      </c>
      <c r="D288" s="2" t="s">
        <v>34</v>
      </c>
    </row>
    <row r="289" spans="1:4" ht="49.5">
      <c r="A289" s="2" t="s">
        <v>1155</v>
      </c>
      <c r="B289" s="2" t="s">
        <v>1156</v>
      </c>
      <c r="C289" s="2" t="s">
        <v>221</v>
      </c>
      <c r="D289" s="2" t="s">
        <v>31</v>
      </c>
    </row>
    <row r="290" spans="1:4" ht="49.5">
      <c r="A290" s="2" t="s">
        <v>1157</v>
      </c>
      <c r="B290" s="2" t="s">
        <v>1158</v>
      </c>
      <c r="C290" s="2" t="s">
        <v>221</v>
      </c>
      <c r="D290" s="2" t="s">
        <v>31</v>
      </c>
    </row>
    <row r="291" spans="1:4" ht="49.5">
      <c r="A291" s="2" t="s">
        <v>1159</v>
      </c>
      <c r="B291" s="2" t="s">
        <v>1160</v>
      </c>
      <c r="C291" s="2" t="s">
        <v>221</v>
      </c>
      <c r="D291" s="2" t="s">
        <v>31</v>
      </c>
    </row>
    <row r="292" spans="1:4" ht="49.5">
      <c r="A292" s="2" t="s">
        <v>1163</v>
      </c>
      <c r="B292" s="2" t="s">
        <v>1164</v>
      </c>
      <c r="C292" s="2" t="s">
        <v>221</v>
      </c>
      <c r="D292" s="2" t="s">
        <v>31</v>
      </c>
    </row>
    <row r="293" spans="1:4" ht="49.5">
      <c r="A293" s="2" t="s">
        <v>1165</v>
      </c>
      <c r="B293" s="2" t="s">
        <v>1166</v>
      </c>
      <c r="C293" s="2" t="s">
        <v>221</v>
      </c>
      <c r="D293" s="2" t="s">
        <v>31</v>
      </c>
    </row>
    <row r="294" spans="1:4" ht="49.5">
      <c r="A294" s="2" t="s">
        <v>1167</v>
      </c>
      <c r="B294" s="2" t="s">
        <v>1168</v>
      </c>
      <c r="C294" s="2" t="s">
        <v>221</v>
      </c>
      <c r="D294" s="2" t="s">
        <v>31</v>
      </c>
    </row>
    <row r="295" spans="1:4" ht="49.5">
      <c r="A295" s="2" t="s">
        <v>1169</v>
      </c>
      <c r="B295" s="2" t="s">
        <v>1170</v>
      </c>
      <c r="C295" s="2" t="s">
        <v>221</v>
      </c>
      <c r="D295" s="2" t="s">
        <v>31</v>
      </c>
    </row>
    <row r="296" spans="1:4" ht="49.5">
      <c r="A296" s="2" t="s">
        <v>1171</v>
      </c>
      <c r="B296" s="2" t="s">
        <v>1172</v>
      </c>
      <c r="C296" s="2" t="s">
        <v>221</v>
      </c>
      <c r="D296" s="2" t="s">
        <v>31</v>
      </c>
    </row>
    <row r="297" spans="1:4" ht="49.5">
      <c r="A297" s="2" t="s">
        <v>1173</v>
      </c>
      <c r="B297" s="2" t="s">
        <v>1174</v>
      </c>
      <c r="C297" s="2" t="s">
        <v>221</v>
      </c>
      <c r="D297" s="2" t="s">
        <v>31</v>
      </c>
    </row>
    <row r="298" spans="1:4" ht="49.5">
      <c r="A298" s="2" t="s">
        <v>1175</v>
      </c>
      <c r="B298" s="2" t="s">
        <v>1176</v>
      </c>
      <c r="C298" s="2" t="s">
        <v>221</v>
      </c>
      <c r="D298" s="2" t="s">
        <v>31</v>
      </c>
    </row>
    <row r="299" spans="1:4" ht="49.5">
      <c r="A299" s="2" t="s">
        <v>1177</v>
      </c>
      <c r="B299" s="2" t="s">
        <v>1178</v>
      </c>
      <c r="C299" s="2" t="s">
        <v>221</v>
      </c>
      <c r="D299" s="2" t="s">
        <v>31</v>
      </c>
    </row>
    <row r="300" spans="1:4" ht="49.5">
      <c r="A300" s="2" t="s">
        <v>1193</v>
      </c>
      <c r="B300" s="2" t="s">
        <v>1194</v>
      </c>
      <c r="C300" s="2" t="s">
        <v>221</v>
      </c>
      <c r="D300" s="2" t="s">
        <v>31</v>
      </c>
    </row>
    <row r="301" spans="1:4" ht="49.5">
      <c r="A301" s="2" t="s">
        <v>1195</v>
      </c>
      <c r="B301" s="2" t="s">
        <v>1196</v>
      </c>
      <c r="C301" s="2" t="s">
        <v>221</v>
      </c>
      <c r="D301" s="2" t="s">
        <v>31</v>
      </c>
    </row>
    <row r="302" spans="1:4" ht="49.5">
      <c r="A302" s="2" t="s">
        <v>1197</v>
      </c>
      <c r="B302" s="2" t="s">
        <v>1198</v>
      </c>
      <c r="C302" s="2" t="s">
        <v>221</v>
      </c>
      <c r="D302" s="2" t="s">
        <v>31</v>
      </c>
    </row>
    <row r="303" spans="1:4" ht="49.5">
      <c r="A303" s="2" t="s">
        <v>1199</v>
      </c>
      <c r="B303" s="2" t="s">
        <v>1200</v>
      </c>
      <c r="C303" s="2" t="s">
        <v>221</v>
      </c>
      <c r="D303" s="2" t="s">
        <v>31</v>
      </c>
    </row>
    <row r="304" spans="1:4" ht="49.5">
      <c r="A304" s="2" t="s">
        <v>1201</v>
      </c>
      <c r="B304" s="2" t="s">
        <v>1202</v>
      </c>
      <c r="C304" s="2" t="s">
        <v>221</v>
      </c>
      <c r="D304" s="2" t="s">
        <v>31</v>
      </c>
    </row>
    <row r="305" spans="1:4" ht="49.5">
      <c r="A305" s="2" t="s">
        <v>1205</v>
      </c>
      <c r="B305" s="2" t="s">
        <v>1206</v>
      </c>
      <c r="C305" s="2" t="s">
        <v>221</v>
      </c>
      <c r="D305" s="2" t="s">
        <v>31</v>
      </c>
    </row>
    <row r="306" spans="1:4" ht="49.5">
      <c r="A306" s="2" t="s">
        <v>1211</v>
      </c>
      <c r="B306" s="2" t="s">
        <v>1212</v>
      </c>
      <c r="C306" s="2" t="s">
        <v>221</v>
      </c>
      <c r="D306" s="2" t="s">
        <v>31</v>
      </c>
    </row>
    <row r="307" spans="1:4" ht="49.5">
      <c r="A307" s="2" t="s">
        <v>1215</v>
      </c>
      <c r="B307" s="2" t="s">
        <v>1216</v>
      </c>
      <c r="C307" s="2" t="s">
        <v>221</v>
      </c>
      <c r="D307" s="2" t="s">
        <v>31</v>
      </c>
    </row>
    <row r="308" spans="1:4" ht="49.5">
      <c r="A308" s="2" t="s">
        <v>1217</v>
      </c>
      <c r="B308" s="2" t="s">
        <v>1218</v>
      </c>
      <c r="C308" s="2" t="s">
        <v>221</v>
      </c>
      <c r="D308" s="2" t="s">
        <v>31</v>
      </c>
    </row>
    <row r="309" spans="1:4" ht="49.5">
      <c r="A309" s="2" t="s">
        <v>1219</v>
      </c>
      <c r="B309" s="2" t="s">
        <v>1220</v>
      </c>
      <c r="C309" s="2" t="s">
        <v>221</v>
      </c>
      <c r="D309" s="2" t="s">
        <v>31</v>
      </c>
    </row>
    <row r="310" spans="1:4" ht="49.5">
      <c r="A310" s="2" t="s">
        <v>1221</v>
      </c>
      <c r="B310" s="2" t="s">
        <v>1222</v>
      </c>
      <c r="C310" s="2" t="s">
        <v>221</v>
      </c>
      <c r="D310" s="2" t="s">
        <v>31</v>
      </c>
    </row>
    <row r="311" spans="1:4" ht="49.5">
      <c r="A311" s="2" t="s">
        <v>1223</v>
      </c>
      <c r="B311" s="2" t="s">
        <v>1224</v>
      </c>
      <c r="C311" s="2" t="s">
        <v>221</v>
      </c>
      <c r="D311" s="2" t="s">
        <v>31</v>
      </c>
    </row>
    <row r="312" spans="1:4" ht="49.5">
      <c r="A312" s="2" t="s">
        <v>1225</v>
      </c>
      <c r="B312" s="2" t="s">
        <v>1226</v>
      </c>
      <c r="C312" s="2" t="s">
        <v>221</v>
      </c>
      <c r="D312" s="2" t="s">
        <v>31</v>
      </c>
    </row>
    <row r="313" spans="1:4" ht="49.5">
      <c r="A313" s="2" t="s">
        <v>1227</v>
      </c>
      <c r="B313" s="2" t="s">
        <v>1228</v>
      </c>
      <c r="C313" s="2" t="s">
        <v>221</v>
      </c>
      <c r="D313" s="2" t="s">
        <v>31</v>
      </c>
    </row>
    <row r="314" spans="1:4" ht="49.5">
      <c r="A314" s="2" t="s">
        <v>1229</v>
      </c>
      <c r="B314" s="2" t="s">
        <v>1230</v>
      </c>
      <c r="C314" s="2" t="s">
        <v>221</v>
      </c>
      <c r="D314" s="2" t="s">
        <v>31</v>
      </c>
    </row>
    <row r="315" spans="1:4" ht="49.5">
      <c r="A315" s="2" t="s">
        <v>1231</v>
      </c>
      <c r="B315" s="2" t="s">
        <v>1232</v>
      </c>
      <c r="C315" s="2" t="s">
        <v>221</v>
      </c>
      <c r="D315" s="2" t="s">
        <v>31</v>
      </c>
    </row>
    <row r="316" spans="1:4" ht="49.5">
      <c r="A316" s="2" t="s">
        <v>1233</v>
      </c>
      <c r="B316" s="2" t="s">
        <v>1234</v>
      </c>
      <c r="C316" s="2" t="s">
        <v>221</v>
      </c>
      <c r="D316" s="2" t="s">
        <v>31</v>
      </c>
    </row>
    <row r="317" spans="1:4" ht="49.5">
      <c r="A317" s="2" t="s">
        <v>1235</v>
      </c>
      <c r="B317" s="2" t="s">
        <v>1236</v>
      </c>
      <c r="C317" s="2" t="s">
        <v>221</v>
      </c>
      <c r="D317" s="2" t="s">
        <v>31</v>
      </c>
    </row>
    <row r="318" spans="1:4" ht="49.5">
      <c r="A318" s="2" t="s">
        <v>1237</v>
      </c>
      <c r="B318" s="2" t="s">
        <v>1238</v>
      </c>
      <c r="C318" s="2" t="s">
        <v>221</v>
      </c>
      <c r="D318" s="2" t="s">
        <v>31</v>
      </c>
    </row>
    <row r="319" spans="1:4" ht="49.5">
      <c r="A319" s="2" t="s">
        <v>1239</v>
      </c>
      <c r="B319" s="2" t="s">
        <v>1240</v>
      </c>
      <c r="C319" s="2" t="s">
        <v>221</v>
      </c>
      <c r="D319" s="2" t="s">
        <v>31</v>
      </c>
    </row>
    <row r="320" spans="1:4" ht="49.5">
      <c r="A320" s="2" t="s">
        <v>1241</v>
      </c>
      <c r="B320" s="2" t="s">
        <v>1242</v>
      </c>
      <c r="C320" s="2" t="s">
        <v>221</v>
      </c>
      <c r="D320" s="2" t="s">
        <v>31</v>
      </c>
    </row>
    <row r="321" spans="1:4" ht="49.5">
      <c r="A321" s="2" t="s">
        <v>1243</v>
      </c>
      <c r="B321" s="2" t="s">
        <v>1244</v>
      </c>
      <c r="C321" s="2" t="s">
        <v>221</v>
      </c>
      <c r="D321" s="2" t="s">
        <v>31</v>
      </c>
    </row>
    <row r="322" spans="1:4" ht="49.5">
      <c r="A322" s="2" t="s">
        <v>1245</v>
      </c>
      <c r="B322" s="2" t="s">
        <v>1246</v>
      </c>
      <c r="C322" s="2" t="s">
        <v>221</v>
      </c>
      <c r="D322" s="2" t="s">
        <v>31</v>
      </c>
    </row>
    <row r="323" spans="1:4" ht="49.5">
      <c r="A323" s="2" t="s">
        <v>1247</v>
      </c>
      <c r="B323" s="2" t="s">
        <v>1248</v>
      </c>
      <c r="C323" s="2" t="s">
        <v>221</v>
      </c>
      <c r="D323" s="2" t="s">
        <v>31</v>
      </c>
    </row>
    <row r="324" spans="1:4" ht="49.5">
      <c r="A324" s="2" t="s">
        <v>1249</v>
      </c>
      <c r="B324" s="2" t="s">
        <v>1250</v>
      </c>
      <c r="C324" s="2" t="s">
        <v>221</v>
      </c>
      <c r="D324" s="2" t="s">
        <v>31</v>
      </c>
    </row>
    <row r="325" spans="1:4" ht="49.5">
      <c r="A325" s="2" t="s">
        <v>1251</v>
      </c>
      <c r="B325" s="2" t="s">
        <v>1252</v>
      </c>
      <c r="C325" s="2" t="s">
        <v>221</v>
      </c>
      <c r="D325" s="2" t="s">
        <v>31</v>
      </c>
    </row>
    <row r="326" spans="1:4" ht="49.5">
      <c r="A326" s="2" t="s">
        <v>1253</v>
      </c>
      <c r="B326" s="2" t="s">
        <v>1254</v>
      </c>
      <c r="C326" s="2" t="s">
        <v>221</v>
      </c>
      <c r="D326" s="2" t="s">
        <v>31</v>
      </c>
    </row>
    <row r="327" spans="1:4" ht="49.5">
      <c r="A327" s="2" t="s">
        <v>1255</v>
      </c>
      <c r="B327" s="2" t="s">
        <v>1256</v>
      </c>
      <c r="C327" s="2" t="s">
        <v>221</v>
      </c>
      <c r="D327" s="2" t="s">
        <v>31</v>
      </c>
    </row>
    <row r="328" spans="1:4" ht="49.5">
      <c r="A328" s="2" t="s">
        <v>1257</v>
      </c>
      <c r="B328" s="2" t="s">
        <v>1258</v>
      </c>
      <c r="C328" s="2" t="s">
        <v>221</v>
      </c>
      <c r="D328" s="2" t="s">
        <v>31</v>
      </c>
    </row>
    <row r="329" spans="1:4" ht="49.5">
      <c r="A329" s="2" t="s">
        <v>1259</v>
      </c>
      <c r="B329" s="2" t="s">
        <v>1260</v>
      </c>
      <c r="C329" s="2" t="s">
        <v>221</v>
      </c>
      <c r="D329" s="2" t="s">
        <v>31</v>
      </c>
    </row>
    <row r="330" spans="1:4" ht="49.5">
      <c r="A330" s="2" t="s">
        <v>1261</v>
      </c>
      <c r="B330" s="2" t="s">
        <v>1262</v>
      </c>
      <c r="C330" s="2" t="s">
        <v>221</v>
      </c>
      <c r="D330" s="2" t="s">
        <v>31</v>
      </c>
    </row>
    <row r="331" spans="1:4" ht="49.5">
      <c r="A331" s="2" t="s">
        <v>1263</v>
      </c>
      <c r="B331" s="2" t="s">
        <v>1264</v>
      </c>
      <c r="C331" s="2" t="s">
        <v>221</v>
      </c>
      <c r="D331" s="2" t="s">
        <v>31</v>
      </c>
    </row>
    <row r="332" spans="1:4" ht="49.5">
      <c r="A332" s="2" t="s">
        <v>1265</v>
      </c>
      <c r="B332" s="2" t="s">
        <v>1266</v>
      </c>
      <c r="C332" s="2" t="s">
        <v>221</v>
      </c>
      <c r="D332" s="2" t="s">
        <v>31</v>
      </c>
    </row>
    <row r="333" spans="1:4" ht="49.5">
      <c r="A333" s="2" t="s">
        <v>1267</v>
      </c>
      <c r="B333" s="2" t="s">
        <v>1268</v>
      </c>
      <c r="C333" s="2" t="s">
        <v>221</v>
      </c>
      <c r="D333" s="2" t="s">
        <v>31</v>
      </c>
    </row>
    <row r="334" spans="1:4" ht="49.5">
      <c r="A334" s="2" t="s">
        <v>1269</v>
      </c>
      <c r="B334" s="2" t="s">
        <v>1270</v>
      </c>
      <c r="C334" s="2" t="s">
        <v>221</v>
      </c>
      <c r="D334" s="2" t="s">
        <v>31</v>
      </c>
    </row>
    <row r="335" spans="1:4" ht="49.5">
      <c r="A335" s="2" t="s">
        <v>1271</v>
      </c>
      <c r="B335" s="2" t="s">
        <v>1272</v>
      </c>
      <c r="C335" s="2" t="s">
        <v>221</v>
      </c>
      <c r="D335" s="2" t="s">
        <v>31</v>
      </c>
    </row>
    <row r="336" spans="1:4" ht="49.5">
      <c r="A336" s="2" t="s">
        <v>1273</v>
      </c>
      <c r="B336" s="2" t="s">
        <v>1274</v>
      </c>
      <c r="C336" s="2" t="s">
        <v>221</v>
      </c>
      <c r="D336" s="2" t="s">
        <v>31</v>
      </c>
    </row>
    <row r="337" spans="1:4" ht="49.5">
      <c r="A337" s="2" t="s">
        <v>1275</v>
      </c>
      <c r="B337" s="2" t="s">
        <v>1276</v>
      </c>
      <c r="C337" s="2" t="s">
        <v>221</v>
      </c>
      <c r="D337" s="2" t="s">
        <v>31</v>
      </c>
    </row>
    <row r="338" spans="1:4" ht="49.5">
      <c r="A338" s="2" t="s">
        <v>1277</v>
      </c>
      <c r="B338" s="2" t="s">
        <v>1278</v>
      </c>
      <c r="C338" s="2" t="s">
        <v>221</v>
      </c>
      <c r="D338" s="2" t="s">
        <v>31</v>
      </c>
    </row>
    <row r="339" spans="1:4" ht="49.5">
      <c r="A339" s="2" t="s">
        <v>1279</v>
      </c>
      <c r="B339" s="2" t="s">
        <v>1280</v>
      </c>
      <c r="C339" s="2" t="s">
        <v>221</v>
      </c>
      <c r="D339" s="2" t="s">
        <v>31</v>
      </c>
    </row>
    <row r="340" spans="1:4" ht="49.5">
      <c r="A340" s="2" t="s">
        <v>1281</v>
      </c>
      <c r="B340" s="2" t="s">
        <v>1282</v>
      </c>
      <c r="C340" s="2" t="s">
        <v>221</v>
      </c>
      <c r="D340" s="2" t="s">
        <v>31</v>
      </c>
    </row>
    <row r="341" spans="1:4" ht="49.5">
      <c r="A341" s="2" t="s">
        <v>1283</v>
      </c>
      <c r="B341" s="2" t="s">
        <v>1284</v>
      </c>
      <c r="C341" s="2" t="s">
        <v>221</v>
      </c>
      <c r="D341" s="2" t="s">
        <v>31</v>
      </c>
    </row>
    <row r="342" spans="1:4" ht="49.5">
      <c r="A342" s="2" t="s">
        <v>1285</v>
      </c>
      <c r="B342" s="2" t="s">
        <v>1286</v>
      </c>
      <c r="C342" s="2" t="s">
        <v>221</v>
      </c>
      <c r="D342" s="2" t="s">
        <v>31</v>
      </c>
    </row>
    <row r="343" spans="1:4" ht="49.5">
      <c r="A343" s="2" t="s">
        <v>1287</v>
      </c>
      <c r="B343" s="2" t="s">
        <v>1288</v>
      </c>
      <c r="C343" s="2" t="s">
        <v>221</v>
      </c>
      <c r="D343" s="2" t="s">
        <v>31</v>
      </c>
    </row>
    <row r="344" spans="1:4" ht="49.5">
      <c r="A344" s="2" t="s">
        <v>1289</v>
      </c>
      <c r="B344" s="2" t="s">
        <v>1290</v>
      </c>
      <c r="C344" s="2" t="s">
        <v>221</v>
      </c>
      <c r="D344" s="2" t="s">
        <v>31</v>
      </c>
    </row>
    <row r="345" spans="1:4" ht="49.5">
      <c r="A345" s="2" t="s">
        <v>1291</v>
      </c>
      <c r="B345" s="2" t="s">
        <v>1292</v>
      </c>
      <c r="C345" s="2" t="s">
        <v>221</v>
      </c>
      <c r="D345" s="2" t="s">
        <v>31</v>
      </c>
    </row>
    <row r="346" spans="1:4" ht="49.5">
      <c r="A346" s="2" t="s">
        <v>1293</v>
      </c>
      <c r="B346" s="2" t="s">
        <v>1294</v>
      </c>
      <c r="C346" s="2" t="s">
        <v>221</v>
      </c>
      <c r="D346" s="2" t="s">
        <v>31</v>
      </c>
    </row>
    <row r="347" spans="1:4" ht="49.5">
      <c r="A347" s="2" t="s">
        <v>1295</v>
      </c>
      <c r="B347" s="2" t="s">
        <v>1296</v>
      </c>
      <c r="C347" s="2" t="s">
        <v>221</v>
      </c>
      <c r="D347" s="2" t="s">
        <v>31</v>
      </c>
    </row>
    <row r="348" spans="1:4" ht="49.5">
      <c r="A348" s="2" t="s">
        <v>1297</v>
      </c>
      <c r="B348" s="2" t="s">
        <v>1298</v>
      </c>
      <c r="C348" s="2" t="s">
        <v>221</v>
      </c>
      <c r="D348" s="2" t="s">
        <v>31</v>
      </c>
    </row>
    <row r="349" spans="1:4" ht="49.5">
      <c r="A349" s="2" t="s">
        <v>1299</v>
      </c>
      <c r="B349" s="2" t="s">
        <v>1300</v>
      </c>
      <c r="C349" s="2" t="s">
        <v>221</v>
      </c>
      <c r="D349" s="2" t="s">
        <v>31</v>
      </c>
    </row>
    <row r="350" spans="1:4" ht="49.5">
      <c r="A350" s="2" t="s">
        <v>1301</v>
      </c>
      <c r="B350" s="2" t="s">
        <v>1302</v>
      </c>
      <c r="C350" s="2" t="s">
        <v>221</v>
      </c>
      <c r="D350" s="2" t="s">
        <v>31</v>
      </c>
    </row>
    <row r="351" spans="1:4" ht="49.5">
      <c r="A351" s="2" t="s">
        <v>1303</v>
      </c>
      <c r="B351" s="2" t="s">
        <v>1304</v>
      </c>
      <c r="C351" s="2" t="s">
        <v>221</v>
      </c>
      <c r="D351" s="2" t="s">
        <v>31</v>
      </c>
    </row>
    <row r="352" spans="1:4" ht="49.5">
      <c r="A352" s="2" t="s">
        <v>1305</v>
      </c>
      <c r="B352" s="2" t="s">
        <v>1306</v>
      </c>
      <c r="C352" s="2" t="s">
        <v>221</v>
      </c>
      <c r="D352" s="2" t="s">
        <v>31</v>
      </c>
    </row>
    <row r="353" spans="1:4" ht="49.5">
      <c r="A353" s="2" t="s">
        <v>1307</v>
      </c>
      <c r="B353" s="2" t="s">
        <v>1308</v>
      </c>
      <c r="C353" s="2" t="s">
        <v>221</v>
      </c>
      <c r="D353" s="2" t="s">
        <v>31</v>
      </c>
    </row>
    <row r="354" spans="1:4" ht="49.5">
      <c r="A354" s="2" t="s">
        <v>1309</v>
      </c>
      <c r="B354" s="2" t="s">
        <v>1310</v>
      </c>
      <c r="C354" s="2" t="s">
        <v>221</v>
      </c>
      <c r="D354" s="2" t="s">
        <v>36</v>
      </c>
    </row>
    <row r="355" spans="1:4" ht="49.5">
      <c r="A355" s="2" t="s">
        <v>1311</v>
      </c>
      <c r="B355" s="2" t="s">
        <v>1312</v>
      </c>
      <c r="C355" s="2" t="s">
        <v>221</v>
      </c>
      <c r="D355" s="2" t="s">
        <v>31</v>
      </c>
    </row>
    <row r="356" spans="1:4" ht="49.5">
      <c r="A356" s="2" t="s">
        <v>1313</v>
      </c>
      <c r="B356" s="2" t="s">
        <v>1314</v>
      </c>
      <c r="C356" s="2" t="s">
        <v>221</v>
      </c>
      <c r="D356" s="2" t="s">
        <v>31</v>
      </c>
    </row>
    <row r="357" spans="1:4" ht="49.5">
      <c r="A357" s="2" t="s">
        <v>1315</v>
      </c>
      <c r="B357" s="2" t="s">
        <v>1316</v>
      </c>
      <c r="C357" s="2" t="s">
        <v>221</v>
      </c>
      <c r="D357" s="2" t="s">
        <v>31</v>
      </c>
    </row>
    <row r="358" spans="1:4" ht="49.5">
      <c r="A358" s="2" t="s">
        <v>1317</v>
      </c>
      <c r="B358" s="2" t="s">
        <v>1318</v>
      </c>
      <c r="C358" s="2" t="s">
        <v>221</v>
      </c>
      <c r="D358" s="2" t="s">
        <v>31</v>
      </c>
    </row>
    <row r="359" spans="1:4" ht="49.5">
      <c r="A359" s="2" t="s">
        <v>1319</v>
      </c>
      <c r="B359" s="2" t="s">
        <v>1320</v>
      </c>
      <c r="C359" s="2" t="s">
        <v>221</v>
      </c>
      <c r="D359" s="2" t="s">
        <v>31</v>
      </c>
    </row>
    <row r="360" spans="1:4" ht="49.5">
      <c r="A360" s="2" t="s">
        <v>1321</v>
      </c>
      <c r="B360" s="2" t="s">
        <v>1322</v>
      </c>
      <c r="C360" s="2" t="s">
        <v>221</v>
      </c>
      <c r="D360" s="2" t="s">
        <v>31</v>
      </c>
    </row>
    <row r="361" spans="1:4" ht="49.5">
      <c r="A361" s="2" t="s">
        <v>1323</v>
      </c>
      <c r="B361" s="2" t="s">
        <v>1324</v>
      </c>
      <c r="C361" s="2" t="s">
        <v>221</v>
      </c>
      <c r="D361" s="2" t="s">
        <v>31</v>
      </c>
    </row>
    <row r="362" spans="1:4" ht="49.5">
      <c r="A362" s="2" t="s">
        <v>1325</v>
      </c>
      <c r="B362" s="2" t="s">
        <v>1326</v>
      </c>
      <c r="C362" s="2" t="s">
        <v>221</v>
      </c>
      <c r="D362" s="2" t="s">
        <v>31</v>
      </c>
    </row>
    <row r="363" spans="1:4" ht="49.5">
      <c r="A363" s="2" t="s">
        <v>1327</v>
      </c>
      <c r="B363" s="2" t="s">
        <v>1328</v>
      </c>
      <c r="C363" s="2" t="s">
        <v>221</v>
      </c>
      <c r="D363" s="2" t="s">
        <v>31</v>
      </c>
    </row>
    <row r="364" spans="1:4" ht="49.5">
      <c r="A364" s="2" t="s">
        <v>1329</v>
      </c>
      <c r="B364" s="2" t="s">
        <v>1330</v>
      </c>
      <c r="C364" s="2" t="s">
        <v>221</v>
      </c>
      <c r="D364" s="2" t="s">
        <v>31</v>
      </c>
    </row>
    <row r="365" spans="1:4" ht="49.5">
      <c r="A365" s="2" t="s">
        <v>1333</v>
      </c>
      <c r="B365" s="2" t="s">
        <v>1334</v>
      </c>
      <c r="C365" s="2" t="s">
        <v>221</v>
      </c>
      <c r="D365" s="2" t="s">
        <v>31</v>
      </c>
    </row>
    <row r="366" spans="1:4" ht="49.5">
      <c r="A366" s="2" t="s">
        <v>1335</v>
      </c>
      <c r="B366" s="2" t="s">
        <v>1336</v>
      </c>
      <c r="C366" s="2" t="s">
        <v>221</v>
      </c>
      <c r="D366" s="2" t="s">
        <v>31</v>
      </c>
    </row>
    <row r="367" spans="1:4" ht="49.5">
      <c r="A367" s="2" t="s">
        <v>1347</v>
      </c>
      <c r="B367" s="2" t="s">
        <v>1348</v>
      </c>
      <c r="C367" s="2" t="s">
        <v>221</v>
      </c>
      <c r="D367" s="2" t="s">
        <v>31</v>
      </c>
    </row>
    <row r="368" spans="1:4" ht="82.5">
      <c r="A368" s="2" t="s">
        <v>1351</v>
      </c>
      <c r="B368" s="2" t="s">
        <v>1352</v>
      </c>
      <c r="C368" s="2" t="s">
        <v>221</v>
      </c>
      <c r="D368" s="2" t="s">
        <v>31</v>
      </c>
    </row>
    <row r="369" spans="1:4" ht="82.5">
      <c r="A369" s="2" t="s">
        <v>1353</v>
      </c>
      <c r="B369" s="2" t="s">
        <v>1354</v>
      </c>
      <c r="C369" s="2" t="s">
        <v>221</v>
      </c>
      <c r="D369" s="2" t="s">
        <v>31</v>
      </c>
    </row>
    <row r="370" spans="1:4" ht="66">
      <c r="A370" s="2" t="s">
        <v>1355</v>
      </c>
      <c r="B370" s="2" t="s">
        <v>1356</v>
      </c>
      <c r="C370" s="2" t="s">
        <v>221</v>
      </c>
      <c r="D370" s="2" t="s">
        <v>30</v>
      </c>
    </row>
    <row r="371" spans="1:4" ht="66">
      <c r="A371" s="2" t="s">
        <v>1357</v>
      </c>
      <c r="B371" s="2" t="s">
        <v>1358</v>
      </c>
      <c r="C371" s="2" t="s">
        <v>221</v>
      </c>
      <c r="D371" s="2" t="s">
        <v>36</v>
      </c>
    </row>
    <row r="372" spans="1:4" ht="49.5">
      <c r="A372" s="2" t="s">
        <v>1383</v>
      </c>
      <c r="B372" s="2" t="s">
        <v>1384</v>
      </c>
      <c r="C372" s="2" t="s">
        <v>221</v>
      </c>
      <c r="D372" s="2" t="s">
        <v>31</v>
      </c>
    </row>
    <row r="373" spans="1:4" ht="49.5">
      <c r="A373" s="2" t="s">
        <v>1389</v>
      </c>
      <c r="B373" s="2" t="s">
        <v>1390</v>
      </c>
      <c r="C373" s="2" t="s">
        <v>221</v>
      </c>
      <c r="D373" s="2" t="s">
        <v>31</v>
      </c>
    </row>
    <row r="374" spans="1:4" ht="49.5">
      <c r="A374" s="2" t="s">
        <v>1397</v>
      </c>
      <c r="B374" s="2" t="s">
        <v>1398</v>
      </c>
      <c r="C374" s="2" t="s">
        <v>221</v>
      </c>
      <c r="D374" s="2" t="s">
        <v>34</v>
      </c>
    </row>
    <row r="375" spans="1:4" ht="33">
      <c r="A375" s="2" t="s">
        <v>1399</v>
      </c>
      <c r="B375" s="2" t="s">
        <v>1400</v>
      </c>
      <c r="C375" s="2" t="s">
        <v>221</v>
      </c>
      <c r="D375" s="2" t="s">
        <v>34</v>
      </c>
    </row>
    <row r="376" spans="1:4" ht="33">
      <c r="A376" s="2" t="s">
        <v>1401</v>
      </c>
      <c r="B376" s="2" t="s">
        <v>1402</v>
      </c>
      <c r="C376" s="2" t="s">
        <v>221</v>
      </c>
      <c r="D376" s="2" t="s">
        <v>31</v>
      </c>
    </row>
    <row r="377" spans="1:4" ht="66">
      <c r="A377" s="2" t="s">
        <v>1497</v>
      </c>
      <c r="B377" s="2" t="s">
        <v>1498</v>
      </c>
      <c r="C377" s="2" t="s">
        <v>221</v>
      </c>
      <c r="D377" s="2" t="s">
        <v>31</v>
      </c>
    </row>
    <row r="378" spans="1:4" ht="49.5">
      <c r="A378" s="2" t="s">
        <v>1501</v>
      </c>
      <c r="B378" s="2" t="s">
        <v>1502</v>
      </c>
      <c r="C378" s="2" t="s">
        <v>221</v>
      </c>
      <c r="D378" s="2" t="s">
        <v>31</v>
      </c>
    </row>
    <row r="379" spans="1:4" ht="66">
      <c r="A379" s="2" t="s">
        <v>1503</v>
      </c>
      <c r="B379" s="2" t="s">
        <v>1504</v>
      </c>
      <c r="C379" s="2" t="s">
        <v>221</v>
      </c>
      <c r="D379" s="2" t="s">
        <v>31</v>
      </c>
    </row>
    <row r="380" spans="1:4" ht="49.5">
      <c r="A380" s="2" t="s">
        <v>1505</v>
      </c>
      <c r="B380" s="2" t="s">
        <v>1506</v>
      </c>
      <c r="C380" s="2" t="s">
        <v>221</v>
      </c>
      <c r="D380" s="2" t="s">
        <v>31</v>
      </c>
    </row>
    <row r="381" spans="1:4" ht="49.5">
      <c r="A381" s="2" t="s">
        <v>1507</v>
      </c>
      <c r="B381" s="2" t="s">
        <v>1508</v>
      </c>
      <c r="C381" s="2" t="s">
        <v>221</v>
      </c>
      <c r="D381" s="2" t="s">
        <v>31</v>
      </c>
    </row>
    <row r="382" spans="1:4" ht="66">
      <c r="A382" s="2" t="s">
        <v>1509</v>
      </c>
      <c r="B382" s="2" t="s">
        <v>1510</v>
      </c>
      <c r="C382" s="2" t="s">
        <v>221</v>
      </c>
      <c r="D382" s="2" t="s">
        <v>31</v>
      </c>
    </row>
    <row r="383" spans="1:4" ht="49.5">
      <c r="A383" s="2" t="s">
        <v>1525</v>
      </c>
      <c r="B383" s="2" t="s">
        <v>1526</v>
      </c>
      <c r="C383" s="2" t="s">
        <v>221</v>
      </c>
      <c r="D383" s="2" t="s">
        <v>31</v>
      </c>
    </row>
    <row r="384" spans="1:4" ht="66">
      <c r="A384" s="2" t="s">
        <v>1529</v>
      </c>
      <c r="B384" s="2" t="s">
        <v>1530</v>
      </c>
      <c r="C384" s="2" t="s">
        <v>221</v>
      </c>
      <c r="D384" s="2" t="s">
        <v>31</v>
      </c>
    </row>
    <row r="385" spans="1:4" ht="49.5">
      <c r="A385" s="2" t="s">
        <v>1531</v>
      </c>
      <c r="B385" s="2" t="s">
        <v>1532</v>
      </c>
      <c r="C385" s="2" t="s">
        <v>221</v>
      </c>
      <c r="D385" s="2" t="s">
        <v>31</v>
      </c>
    </row>
    <row r="386" spans="1:4" ht="49.5">
      <c r="A386" s="2" t="s">
        <v>1533</v>
      </c>
      <c r="B386" s="2" t="s">
        <v>1534</v>
      </c>
      <c r="C386" s="2" t="s">
        <v>221</v>
      </c>
      <c r="D386" s="2" t="s">
        <v>31</v>
      </c>
    </row>
    <row r="387" spans="1:4" ht="66">
      <c r="A387" s="2" t="s">
        <v>1537</v>
      </c>
      <c r="B387" s="2" t="s">
        <v>1538</v>
      </c>
      <c r="C387" s="2" t="s">
        <v>221</v>
      </c>
      <c r="D387" s="2" t="s">
        <v>31</v>
      </c>
    </row>
    <row r="388" spans="1:4" ht="66">
      <c r="A388" s="2" t="s">
        <v>1541</v>
      </c>
      <c r="B388" s="2" t="s">
        <v>1542</v>
      </c>
      <c r="C388" s="2" t="s">
        <v>221</v>
      </c>
      <c r="D388" s="2" t="s">
        <v>31</v>
      </c>
    </row>
    <row r="389" spans="1:4" ht="66">
      <c r="A389" s="2" t="s">
        <v>1543</v>
      </c>
      <c r="B389" s="2" t="s">
        <v>1544</v>
      </c>
      <c r="C389" s="2" t="s">
        <v>221</v>
      </c>
      <c r="D389" s="2" t="s">
        <v>31</v>
      </c>
    </row>
    <row r="390" spans="1:4" ht="66">
      <c r="A390" s="2" t="s">
        <v>1545</v>
      </c>
      <c r="B390" s="2" t="s">
        <v>1546</v>
      </c>
      <c r="C390" s="2" t="s">
        <v>221</v>
      </c>
      <c r="D390" s="2" t="s">
        <v>31</v>
      </c>
    </row>
    <row r="391" spans="1:4" ht="49.5">
      <c r="A391" s="2" t="s">
        <v>1547</v>
      </c>
      <c r="B391" s="2" t="s">
        <v>1548</v>
      </c>
      <c r="C391" s="2" t="s">
        <v>221</v>
      </c>
      <c r="D391" s="2" t="s">
        <v>31</v>
      </c>
    </row>
    <row r="392" spans="1:4" ht="49.5">
      <c r="A392" s="2" t="s">
        <v>1561</v>
      </c>
      <c r="B392" s="2" t="s">
        <v>1562</v>
      </c>
      <c r="C392" s="2" t="s">
        <v>221</v>
      </c>
      <c r="D392" s="2" t="s">
        <v>31</v>
      </c>
    </row>
    <row r="393" spans="1:4" ht="66">
      <c r="A393" s="2" t="s">
        <v>1565</v>
      </c>
      <c r="B393" s="2" t="s">
        <v>1566</v>
      </c>
      <c r="C393" s="2" t="s">
        <v>221</v>
      </c>
      <c r="D393" s="2" t="s">
        <v>31</v>
      </c>
    </row>
    <row r="394" spans="1:4" ht="66">
      <c r="A394" s="2" t="s">
        <v>1567</v>
      </c>
      <c r="B394" s="2" t="s">
        <v>1568</v>
      </c>
      <c r="C394" s="2" t="s">
        <v>221</v>
      </c>
      <c r="D394" s="2" t="s">
        <v>31</v>
      </c>
    </row>
    <row r="395" spans="1:4" ht="66">
      <c r="A395" s="2" t="s">
        <v>1571</v>
      </c>
      <c r="B395" s="2" t="s">
        <v>1572</v>
      </c>
      <c r="C395" s="2" t="s">
        <v>221</v>
      </c>
      <c r="D395" s="2" t="s">
        <v>31</v>
      </c>
    </row>
    <row r="396" spans="1:4" ht="66">
      <c r="A396" s="2" t="s">
        <v>1573</v>
      </c>
      <c r="B396" s="2" t="s">
        <v>1574</v>
      </c>
      <c r="C396" s="2" t="s">
        <v>221</v>
      </c>
      <c r="D396" s="2" t="s">
        <v>31</v>
      </c>
    </row>
    <row r="397" spans="1:4" ht="49.5">
      <c r="A397" s="2" t="s">
        <v>1575</v>
      </c>
      <c r="B397" s="2" t="s">
        <v>1576</v>
      </c>
      <c r="C397" s="2" t="s">
        <v>221</v>
      </c>
      <c r="D397" s="2" t="s">
        <v>31</v>
      </c>
    </row>
    <row r="398" spans="1:4" ht="49.5">
      <c r="A398" s="2" t="s">
        <v>1577</v>
      </c>
      <c r="B398" s="2" t="s">
        <v>1578</v>
      </c>
      <c r="C398" s="2" t="s">
        <v>221</v>
      </c>
      <c r="D398" s="2" t="s">
        <v>31</v>
      </c>
    </row>
    <row r="399" spans="1:4" ht="49.5">
      <c r="A399" s="2" t="s">
        <v>1579</v>
      </c>
      <c r="B399" s="2" t="s">
        <v>1580</v>
      </c>
      <c r="C399" s="2" t="s">
        <v>221</v>
      </c>
      <c r="D399" s="2" t="s">
        <v>31</v>
      </c>
    </row>
    <row r="400" spans="1:4" ht="49.5">
      <c r="A400" s="2" t="s">
        <v>1581</v>
      </c>
      <c r="B400" s="2" t="s">
        <v>1582</v>
      </c>
      <c r="C400" s="2" t="s">
        <v>221</v>
      </c>
      <c r="D400" s="2" t="s">
        <v>31</v>
      </c>
    </row>
    <row r="401" spans="1:4" ht="49.5">
      <c r="A401" s="2" t="s">
        <v>1583</v>
      </c>
      <c r="B401" s="2" t="s">
        <v>1584</v>
      </c>
      <c r="C401" s="2" t="s">
        <v>221</v>
      </c>
      <c r="D401" s="2" t="s">
        <v>31</v>
      </c>
    </row>
    <row r="402" spans="1:4" ht="66">
      <c r="A402" s="2" t="s">
        <v>1585</v>
      </c>
      <c r="B402" s="2" t="s">
        <v>1586</v>
      </c>
      <c r="C402" s="2" t="s">
        <v>221</v>
      </c>
      <c r="D402" s="2" t="s">
        <v>31</v>
      </c>
    </row>
    <row r="403" spans="1:4" ht="49.5">
      <c r="A403" s="2" t="s">
        <v>1587</v>
      </c>
      <c r="B403" s="2" t="s">
        <v>1588</v>
      </c>
      <c r="C403" s="2" t="s">
        <v>221</v>
      </c>
      <c r="D403" s="2" t="s">
        <v>31</v>
      </c>
    </row>
    <row r="404" spans="1:4" ht="49.5">
      <c r="A404" s="2" t="s">
        <v>1589</v>
      </c>
      <c r="B404" s="2" t="s">
        <v>1590</v>
      </c>
      <c r="C404" s="2" t="s">
        <v>221</v>
      </c>
      <c r="D404" s="2" t="s">
        <v>31</v>
      </c>
    </row>
    <row r="405" spans="1:4" ht="66">
      <c r="A405" s="2" t="s">
        <v>1591</v>
      </c>
      <c r="B405" s="2" t="s">
        <v>1592</v>
      </c>
      <c r="C405" s="2" t="s">
        <v>221</v>
      </c>
      <c r="D405" s="2" t="s">
        <v>31</v>
      </c>
    </row>
    <row r="406" spans="1:4" ht="66">
      <c r="A406" s="2" t="s">
        <v>1593</v>
      </c>
      <c r="B406" s="2" t="s">
        <v>1594</v>
      </c>
      <c r="C406" s="2" t="s">
        <v>221</v>
      </c>
      <c r="D406" s="2" t="s">
        <v>31</v>
      </c>
    </row>
    <row r="407" spans="1:4" ht="49.5">
      <c r="A407" s="2" t="s">
        <v>1601</v>
      </c>
      <c r="B407" s="2" t="s">
        <v>1602</v>
      </c>
      <c r="C407" s="2" t="s">
        <v>221</v>
      </c>
      <c r="D407" s="2" t="s">
        <v>31</v>
      </c>
    </row>
    <row r="408" spans="1:4" ht="49.5">
      <c r="A408" s="2" t="s">
        <v>1603</v>
      </c>
      <c r="B408" s="2" t="s">
        <v>1604</v>
      </c>
      <c r="C408" s="2" t="s">
        <v>221</v>
      </c>
      <c r="D408" s="2" t="s">
        <v>31</v>
      </c>
    </row>
    <row r="409" spans="1:4" ht="49.5">
      <c r="A409" s="2" t="s">
        <v>1607</v>
      </c>
      <c r="B409" s="2" t="s">
        <v>1608</v>
      </c>
      <c r="C409" s="2" t="s">
        <v>221</v>
      </c>
      <c r="D409" s="2" t="s">
        <v>31</v>
      </c>
    </row>
    <row r="410" spans="1:4" ht="49.5">
      <c r="A410" s="2" t="s">
        <v>1609</v>
      </c>
      <c r="B410" s="2" t="s">
        <v>1610</v>
      </c>
      <c r="C410" s="2" t="s">
        <v>221</v>
      </c>
      <c r="D410" s="2" t="s">
        <v>31</v>
      </c>
    </row>
    <row r="411" spans="1:4" ht="49.5">
      <c r="A411" s="2" t="s">
        <v>1669</v>
      </c>
      <c r="B411" s="2" t="s">
        <v>1670</v>
      </c>
      <c r="C411" s="2" t="s">
        <v>221</v>
      </c>
      <c r="D411" s="2" t="s">
        <v>31</v>
      </c>
    </row>
    <row r="412" spans="1:4" ht="49.5">
      <c r="A412" s="2" t="s">
        <v>1673</v>
      </c>
      <c r="B412" s="2" t="s">
        <v>1674</v>
      </c>
      <c r="C412" s="2" t="s">
        <v>221</v>
      </c>
      <c r="D412" s="2" t="s">
        <v>31</v>
      </c>
    </row>
    <row r="413" spans="1:4" ht="49.5">
      <c r="A413" s="2" t="s">
        <v>1675</v>
      </c>
      <c r="B413" s="2" t="s">
        <v>1676</v>
      </c>
      <c r="C413" s="2" t="s">
        <v>221</v>
      </c>
      <c r="D413" s="2" t="s">
        <v>31</v>
      </c>
    </row>
    <row r="414" spans="1:4" ht="49.5">
      <c r="A414" s="2" t="s">
        <v>1677</v>
      </c>
      <c r="B414" s="2" t="s">
        <v>1678</v>
      </c>
      <c r="C414" s="2" t="s">
        <v>221</v>
      </c>
      <c r="D414" s="2" t="s">
        <v>31</v>
      </c>
    </row>
    <row r="415" spans="1:4" ht="49.5">
      <c r="A415" s="2" t="s">
        <v>1679</v>
      </c>
      <c r="B415" s="2" t="s">
        <v>1680</v>
      </c>
      <c r="C415" s="2" t="s">
        <v>221</v>
      </c>
      <c r="D415" s="2" t="s">
        <v>31</v>
      </c>
    </row>
    <row r="416" spans="1:4" ht="49.5">
      <c r="A416" s="2" t="s">
        <v>1681</v>
      </c>
      <c r="B416" s="2" t="s">
        <v>1682</v>
      </c>
      <c r="C416" s="2" t="s">
        <v>221</v>
      </c>
      <c r="D416" s="2" t="s">
        <v>31</v>
      </c>
    </row>
    <row r="417" spans="1:4" ht="49.5">
      <c r="A417" s="2" t="s">
        <v>1683</v>
      </c>
      <c r="B417" s="2" t="s">
        <v>1684</v>
      </c>
      <c r="C417" s="2" t="s">
        <v>221</v>
      </c>
      <c r="D417" s="2" t="s">
        <v>31</v>
      </c>
    </row>
    <row r="418" spans="1:4" ht="49.5">
      <c r="A418" s="2" t="s">
        <v>1685</v>
      </c>
      <c r="B418" s="2" t="s">
        <v>1686</v>
      </c>
      <c r="C418" s="2" t="s">
        <v>221</v>
      </c>
      <c r="D418" s="2" t="s">
        <v>36</v>
      </c>
    </row>
    <row r="419" spans="1:4" ht="49.5">
      <c r="A419" s="2" t="s">
        <v>1687</v>
      </c>
      <c r="B419" s="2" t="s">
        <v>1688</v>
      </c>
      <c r="C419" s="2" t="s">
        <v>221</v>
      </c>
      <c r="D419" s="2" t="s">
        <v>31</v>
      </c>
    </row>
    <row r="420" spans="1:4" ht="49.5">
      <c r="A420" s="2" t="s">
        <v>1689</v>
      </c>
      <c r="B420" s="2" t="s">
        <v>1690</v>
      </c>
      <c r="C420" s="2" t="s">
        <v>221</v>
      </c>
      <c r="D420" s="2" t="s">
        <v>31</v>
      </c>
    </row>
    <row r="421" spans="1:4" ht="49.5">
      <c r="A421" s="2" t="s">
        <v>1731</v>
      </c>
      <c r="B421" s="2" t="s">
        <v>1732</v>
      </c>
      <c r="C421" s="2" t="s">
        <v>221</v>
      </c>
      <c r="D421" s="2" t="s">
        <v>31</v>
      </c>
    </row>
    <row r="422" spans="1:4" ht="49.5">
      <c r="A422" s="2" t="s">
        <v>1733</v>
      </c>
      <c r="B422" s="2" t="s">
        <v>1734</v>
      </c>
      <c r="C422" s="2" t="s">
        <v>221</v>
      </c>
      <c r="D422" s="2" t="s">
        <v>36</v>
      </c>
    </row>
    <row r="423" spans="1:4" ht="49.5">
      <c r="A423" s="2" t="s">
        <v>1735</v>
      </c>
      <c r="B423" s="2" t="s">
        <v>1736</v>
      </c>
      <c r="C423" s="2" t="s">
        <v>221</v>
      </c>
      <c r="D423" s="2" t="s">
        <v>31</v>
      </c>
    </row>
    <row r="424" spans="1:4" ht="49.5">
      <c r="A424" s="2" t="s">
        <v>1737</v>
      </c>
      <c r="B424" s="2" t="s">
        <v>1738</v>
      </c>
      <c r="C424" s="2" t="s">
        <v>221</v>
      </c>
      <c r="D424" s="2" t="s">
        <v>31</v>
      </c>
    </row>
    <row r="425" spans="1:4" ht="49.5">
      <c r="A425" s="2" t="s">
        <v>1739</v>
      </c>
      <c r="B425" s="2" t="s">
        <v>1740</v>
      </c>
      <c r="C425" s="2" t="s">
        <v>221</v>
      </c>
      <c r="D425" s="2" t="s">
        <v>31</v>
      </c>
    </row>
    <row r="426" spans="1:4" ht="49.5">
      <c r="A426" s="2" t="s">
        <v>1741</v>
      </c>
      <c r="B426" s="2" t="s">
        <v>1742</v>
      </c>
      <c r="C426" s="2" t="s">
        <v>221</v>
      </c>
      <c r="D426" s="2" t="s">
        <v>31</v>
      </c>
    </row>
    <row r="427" spans="1:4" ht="49.5">
      <c r="A427" s="2" t="s">
        <v>1743</v>
      </c>
      <c r="B427" s="2" t="s">
        <v>1744</v>
      </c>
      <c r="C427" s="2" t="s">
        <v>221</v>
      </c>
      <c r="D427" s="2" t="s">
        <v>31</v>
      </c>
    </row>
    <row r="428" spans="1:4" ht="49.5">
      <c r="A428" s="2" t="s">
        <v>1745</v>
      </c>
      <c r="B428" s="2" t="s">
        <v>1746</v>
      </c>
      <c r="C428" s="2" t="s">
        <v>221</v>
      </c>
      <c r="D428" s="2" t="s">
        <v>31</v>
      </c>
    </row>
    <row r="429" spans="1:4" ht="49.5">
      <c r="A429" s="2" t="s">
        <v>1747</v>
      </c>
      <c r="B429" s="2" t="s">
        <v>1748</v>
      </c>
      <c r="C429" s="2" t="s">
        <v>221</v>
      </c>
      <c r="D429" s="2" t="s">
        <v>31</v>
      </c>
    </row>
    <row r="430" spans="1:4" ht="49.5">
      <c r="A430" s="2" t="s">
        <v>1749</v>
      </c>
      <c r="B430" s="2" t="s">
        <v>1750</v>
      </c>
      <c r="C430" s="2" t="s">
        <v>221</v>
      </c>
      <c r="D430" s="2" t="s">
        <v>31</v>
      </c>
    </row>
    <row r="431" spans="1:4" ht="49.5">
      <c r="A431" s="2" t="s">
        <v>1751</v>
      </c>
      <c r="B431" s="2" t="s">
        <v>1752</v>
      </c>
      <c r="C431" s="2" t="s">
        <v>221</v>
      </c>
      <c r="D431" s="2" t="s">
        <v>31</v>
      </c>
    </row>
    <row r="432" spans="1:4" ht="49.5">
      <c r="A432" s="2" t="s">
        <v>1753</v>
      </c>
      <c r="B432" s="2" t="s">
        <v>1754</v>
      </c>
      <c r="C432" s="2" t="s">
        <v>221</v>
      </c>
      <c r="D432" s="2" t="s">
        <v>31</v>
      </c>
    </row>
    <row r="433" spans="1:4" ht="66">
      <c r="A433" s="2" t="s">
        <v>150</v>
      </c>
      <c r="B433" s="2" t="s">
        <v>151</v>
      </c>
      <c r="C433" s="2" t="s">
        <v>149</v>
      </c>
      <c r="D433" s="2" t="s">
        <v>36</v>
      </c>
    </row>
    <row r="434" spans="1:4" ht="66">
      <c r="A434" s="2" t="s">
        <v>152</v>
      </c>
      <c r="B434" s="2" t="s">
        <v>153</v>
      </c>
      <c r="C434" s="2" t="s">
        <v>149</v>
      </c>
      <c r="D434" s="2" t="s">
        <v>36</v>
      </c>
    </row>
    <row r="435" spans="1:4" ht="66">
      <c r="A435" s="2" t="s">
        <v>154</v>
      </c>
      <c r="B435" s="2" t="s">
        <v>155</v>
      </c>
      <c r="C435" s="2" t="s">
        <v>149</v>
      </c>
      <c r="D435" s="2" t="s">
        <v>36</v>
      </c>
    </row>
    <row r="436" spans="1:4" ht="66">
      <c r="A436" s="2" t="s">
        <v>156</v>
      </c>
      <c r="B436" s="2" t="s">
        <v>157</v>
      </c>
      <c r="C436" s="2" t="s">
        <v>149</v>
      </c>
      <c r="D436" s="2" t="s">
        <v>34</v>
      </c>
    </row>
    <row r="437" spans="1:4" ht="66">
      <c r="A437" s="2" t="s">
        <v>158</v>
      </c>
      <c r="B437" s="2" t="s">
        <v>159</v>
      </c>
      <c r="C437" s="2" t="s">
        <v>149</v>
      </c>
      <c r="D437" s="2" t="s">
        <v>36</v>
      </c>
    </row>
    <row r="438" spans="1:4" ht="66">
      <c r="A438" s="2" t="s">
        <v>160</v>
      </c>
      <c r="B438" s="2" t="s">
        <v>161</v>
      </c>
      <c r="C438" s="2" t="s">
        <v>149</v>
      </c>
      <c r="D438" s="2" t="s">
        <v>36</v>
      </c>
    </row>
    <row r="439" spans="1:4" ht="66">
      <c r="A439" s="2" t="s">
        <v>162</v>
      </c>
      <c r="B439" s="2" t="s">
        <v>163</v>
      </c>
      <c r="C439" s="2" t="s">
        <v>149</v>
      </c>
      <c r="D439" s="2" t="s">
        <v>30</v>
      </c>
    </row>
    <row r="440" spans="1:4" ht="49.5">
      <c r="A440" s="2" t="s">
        <v>164</v>
      </c>
      <c r="B440" s="2" t="s">
        <v>165</v>
      </c>
      <c r="C440" s="2" t="s">
        <v>149</v>
      </c>
      <c r="D440" s="2" t="s">
        <v>36</v>
      </c>
    </row>
    <row r="441" spans="1:4" ht="49.5">
      <c r="A441" s="2" t="s">
        <v>166</v>
      </c>
      <c r="B441" s="2" t="s">
        <v>167</v>
      </c>
      <c r="C441" s="2" t="s">
        <v>149</v>
      </c>
      <c r="D441" s="2" t="s">
        <v>36</v>
      </c>
    </row>
    <row r="442" spans="1:4" ht="49.5">
      <c r="A442" s="2" t="s">
        <v>168</v>
      </c>
      <c r="B442" s="2" t="s">
        <v>169</v>
      </c>
      <c r="C442" s="2" t="s">
        <v>149</v>
      </c>
      <c r="D442" s="2" t="s">
        <v>34</v>
      </c>
    </row>
    <row r="443" spans="1:4" ht="49.5">
      <c r="A443" s="2" t="s">
        <v>170</v>
      </c>
      <c r="B443" s="2" t="s">
        <v>171</v>
      </c>
      <c r="C443" s="2" t="s">
        <v>149</v>
      </c>
      <c r="D443" s="2" t="s">
        <v>36</v>
      </c>
    </row>
    <row r="444" spans="1:4" ht="49.5">
      <c r="A444" s="2" t="s">
        <v>172</v>
      </c>
      <c r="B444" s="2" t="s">
        <v>173</v>
      </c>
      <c r="C444" s="2" t="s">
        <v>149</v>
      </c>
      <c r="D444" s="2" t="s">
        <v>30</v>
      </c>
    </row>
    <row r="445" spans="1:4" ht="49.5">
      <c r="A445" s="2" t="s">
        <v>174</v>
      </c>
      <c r="B445" s="2" t="s">
        <v>175</v>
      </c>
      <c r="C445" s="2" t="s">
        <v>149</v>
      </c>
      <c r="D445" s="2" t="s">
        <v>36</v>
      </c>
    </row>
    <row r="446" spans="1:4" ht="49.5">
      <c r="A446" s="2" t="s">
        <v>176</v>
      </c>
      <c r="B446" s="2" t="s">
        <v>177</v>
      </c>
      <c r="C446" s="2" t="s">
        <v>149</v>
      </c>
      <c r="D446" s="2" t="s">
        <v>36</v>
      </c>
    </row>
    <row r="447" spans="1:4" ht="49.5">
      <c r="A447" s="2" t="s">
        <v>178</v>
      </c>
      <c r="B447" s="2" t="s">
        <v>179</v>
      </c>
      <c r="C447" s="2" t="s">
        <v>149</v>
      </c>
      <c r="D447" s="2" t="s">
        <v>36</v>
      </c>
    </row>
    <row r="448" spans="1:4" ht="49.5">
      <c r="A448" s="2" t="s">
        <v>180</v>
      </c>
      <c r="B448" s="2" t="s">
        <v>181</v>
      </c>
      <c r="C448" s="2" t="s">
        <v>149</v>
      </c>
      <c r="D448" s="2" t="s">
        <v>36</v>
      </c>
    </row>
    <row r="449" spans="1:4" ht="49.5">
      <c r="A449" s="2" t="s">
        <v>182</v>
      </c>
      <c r="B449" s="2" t="s">
        <v>183</v>
      </c>
      <c r="C449" s="2" t="s">
        <v>149</v>
      </c>
      <c r="D449" s="2" t="s">
        <v>36</v>
      </c>
    </row>
    <row r="450" spans="1:4" ht="49.5">
      <c r="A450" s="2" t="s">
        <v>184</v>
      </c>
      <c r="B450" s="2" t="s">
        <v>185</v>
      </c>
      <c r="C450" s="2" t="s">
        <v>149</v>
      </c>
      <c r="D450" s="2" t="s">
        <v>36</v>
      </c>
    </row>
    <row r="451" spans="1:4" ht="49.5">
      <c r="A451" s="2" t="s">
        <v>186</v>
      </c>
      <c r="B451" s="2" t="s">
        <v>187</v>
      </c>
      <c r="C451" s="2" t="s">
        <v>149</v>
      </c>
      <c r="D451" s="2" t="s">
        <v>36</v>
      </c>
    </row>
    <row r="452" spans="1:4" ht="49.5">
      <c r="A452" s="2" t="s">
        <v>188</v>
      </c>
      <c r="B452" s="2" t="s">
        <v>189</v>
      </c>
      <c r="C452" s="2" t="s">
        <v>149</v>
      </c>
      <c r="D452" s="2" t="s">
        <v>36</v>
      </c>
    </row>
    <row r="453" spans="1:4" ht="49.5">
      <c r="A453" s="2" t="s">
        <v>190</v>
      </c>
      <c r="B453" s="2" t="s">
        <v>191</v>
      </c>
      <c r="C453" s="2" t="s">
        <v>149</v>
      </c>
      <c r="D453" s="2" t="s">
        <v>34</v>
      </c>
    </row>
    <row r="454" spans="1:4" ht="49.5">
      <c r="A454" s="2" t="s">
        <v>192</v>
      </c>
      <c r="B454" s="2" t="s">
        <v>193</v>
      </c>
      <c r="C454" s="2" t="s">
        <v>149</v>
      </c>
      <c r="D454" s="2" t="s">
        <v>36</v>
      </c>
    </row>
    <row r="455" spans="1:4" ht="49.5">
      <c r="A455" s="2" t="s">
        <v>194</v>
      </c>
      <c r="B455" s="2" t="s">
        <v>195</v>
      </c>
      <c r="C455" s="2" t="s">
        <v>149</v>
      </c>
      <c r="D455" s="2" t="s">
        <v>34</v>
      </c>
    </row>
    <row r="456" spans="1:4" ht="49.5">
      <c r="A456" s="2" t="s">
        <v>196</v>
      </c>
      <c r="B456" s="2" t="s">
        <v>197</v>
      </c>
      <c r="C456" s="2" t="s">
        <v>149</v>
      </c>
      <c r="D456" s="2" t="s">
        <v>36</v>
      </c>
    </row>
    <row r="457" spans="1:4" ht="49.5">
      <c r="A457" s="2" t="s">
        <v>198</v>
      </c>
      <c r="B457" s="2" t="s">
        <v>199</v>
      </c>
      <c r="C457" s="2" t="s">
        <v>149</v>
      </c>
      <c r="D457" s="2" t="s">
        <v>36</v>
      </c>
    </row>
    <row r="458" spans="1:4" ht="49.5">
      <c r="A458" s="2" t="s">
        <v>200</v>
      </c>
      <c r="B458" s="2" t="s">
        <v>201</v>
      </c>
      <c r="C458" s="2" t="s">
        <v>149</v>
      </c>
      <c r="D458" s="2" t="s">
        <v>30</v>
      </c>
    </row>
    <row r="459" spans="1:4" ht="66">
      <c r="A459" s="2" t="s">
        <v>202</v>
      </c>
      <c r="B459" s="2" t="s">
        <v>203</v>
      </c>
      <c r="C459" s="2" t="s">
        <v>149</v>
      </c>
      <c r="D459" s="2" t="s">
        <v>36</v>
      </c>
    </row>
    <row r="460" spans="1:4" ht="66">
      <c r="A460" s="2" t="s">
        <v>204</v>
      </c>
      <c r="B460" s="2" t="s">
        <v>205</v>
      </c>
      <c r="C460" s="2" t="s">
        <v>149</v>
      </c>
      <c r="D460" s="2" t="s">
        <v>30</v>
      </c>
    </row>
    <row r="461" spans="1:4" ht="33">
      <c r="A461" s="2" t="s">
        <v>230</v>
      </c>
      <c r="B461" s="2" t="s">
        <v>231</v>
      </c>
      <c r="C461" s="2" t="s">
        <v>39</v>
      </c>
      <c r="D461" s="2" t="s">
        <v>36</v>
      </c>
    </row>
    <row r="462" spans="1:4" ht="33">
      <c r="A462" s="2" t="s">
        <v>232</v>
      </c>
      <c r="B462" s="2" t="s">
        <v>233</v>
      </c>
      <c r="C462" s="2" t="s">
        <v>39</v>
      </c>
      <c r="D462" s="2" t="s">
        <v>31</v>
      </c>
    </row>
    <row r="463" spans="1:4" ht="33">
      <c r="A463" s="2" t="s">
        <v>234</v>
      </c>
      <c r="B463" s="2" t="s">
        <v>235</v>
      </c>
      <c r="C463" s="2" t="s">
        <v>39</v>
      </c>
      <c r="D463" s="2" t="s">
        <v>36</v>
      </c>
    </row>
    <row r="464" spans="1:4" ht="33">
      <c r="A464" s="2" t="s">
        <v>236</v>
      </c>
      <c r="B464" s="2" t="s">
        <v>237</v>
      </c>
      <c r="C464" s="2" t="s">
        <v>39</v>
      </c>
      <c r="D464" s="2" t="s">
        <v>31</v>
      </c>
    </row>
    <row r="465" spans="1:4" ht="33">
      <c r="A465" s="2" t="s">
        <v>238</v>
      </c>
      <c r="B465" s="2" t="s">
        <v>239</v>
      </c>
      <c r="C465" s="2" t="s">
        <v>39</v>
      </c>
      <c r="D465" s="2" t="s">
        <v>31</v>
      </c>
    </row>
    <row r="466" spans="1:4" ht="33">
      <c r="A466" s="2" t="s">
        <v>240</v>
      </c>
      <c r="B466" s="2" t="s">
        <v>241</v>
      </c>
      <c r="C466" s="2" t="s">
        <v>39</v>
      </c>
      <c r="D466" s="2" t="s">
        <v>36</v>
      </c>
    </row>
    <row r="467" spans="1:4" ht="33">
      <c r="A467" s="2" t="s">
        <v>242</v>
      </c>
      <c r="B467" s="2" t="s">
        <v>243</v>
      </c>
      <c r="C467" s="2" t="s">
        <v>39</v>
      </c>
      <c r="D467" s="2" t="s">
        <v>34</v>
      </c>
    </row>
    <row r="468" spans="1:4" ht="49.5">
      <c r="A468" s="2" t="s">
        <v>256</v>
      </c>
      <c r="B468" s="2" t="s">
        <v>257</v>
      </c>
      <c r="C468" s="2" t="s">
        <v>39</v>
      </c>
      <c r="D468" s="2" t="s">
        <v>31</v>
      </c>
    </row>
    <row r="469" spans="1:4" ht="49.5">
      <c r="A469" s="2" t="s">
        <v>258</v>
      </c>
      <c r="B469" s="2" t="s">
        <v>259</v>
      </c>
      <c r="C469" s="2" t="s">
        <v>39</v>
      </c>
      <c r="D469" s="2" t="s">
        <v>31</v>
      </c>
    </row>
    <row r="470" spans="1:4" ht="49.5">
      <c r="A470" s="2" t="s">
        <v>260</v>
      </c>
      <c r="B470" s="2" t="s">
        <v>261</v>
      </c>
      <c r="C470" s="2" t="s">
        <v>39</v>
      </c>
      <c r="D470" s="2" t="s">
        <v>31</v>
      </c>
    </row>
    <row r="471" spans="1:4" ht="49.5">
      <c r="A471" s="2" t="s">
        <v>262</v>
      </c>
      <c r="B471" s="2" t="s">
        <v>263</v>
      </c>
      <c r="C471" s="2" t="s">
        <v>39</v>
      </c>
      <c r="D471" s="2" t="s">
        <v>31</v>
      </c>
    </row>
    <row r="472" spans="1:4" ht="49.5">
      <c r="A472" s="2" t="s">
        <v>269</v>
      </c>
      <c r="B472" s="2" t="s">
        <v>270</v>
      </c>
      <c r="C472" s="2" t="s">
        <v>39</v>
      </c>
      <c r="D472" s="2" t="s">
        <v>31</v>
      </c>
    </row>
    <row r="473" spans="1:4" ht="49.5">
      <c r="A473" s="2" t="s">
        <v>271</v>
      </c>
      <c r="B473" s="2" t="s">
        <v>272</v>
      </c>
      <c r="C473" s="2" t="s">
        <v>39</v>
      </c>
      <c r="D473" s="2" t="s">
        <v>31</v>
      </c>
    </row>
    <row r="474" spans="1:4" ht="49.5">
      <c r="A474" s="2" t="s">
        <v>273</v>
      </c>
      <c r="B474" s="2" t="s">
        <v>274</v>
      </c>
      <c r="C474" s="2" t="s">
        <v>39</v>
      </c>
      <c r="D474" s="2" t="s">
        <v>31</v>
      </c>
    </row>
    <row r="475" spans="1:4" ht="49.5">
      <c r="A475" s="2" t="s">
        <v>275</v>
      </c>
      <c r="B475" s="2" t="s">
        <v>276</v>
      </c>
      <c r="C475" s="2" t="s">
        <v>39</v>
      </c>
      <c r="D475" s="2" t="s">
        <v>31</v>
      </c>
    </row>
    <row r="476" spans="1:4" ht="49.5">
      <c r="A476" s="2" t="s">
        <v>295</v>
      </c>
      <c r="B476" s="2" t="s">
        <v>296</v>
      </c>
      <c r="C476" s="2" t="s">
        <v>39</v>
      </c>
      <c r="D476" s="2" t="s">
        <v>31</v>
      </c>
    </row>
    <row r="477" spans="1:4" ht="49.5">
      <c r="A477" s="2" t="s">
        <v>303</v>
      </c>
      <c r="B477" s="2" t="s">
        <v>304</v>
      </c>
      <c r="C477" s="2" t="s">
        <v>39</v>
      </c>
      <c r="D477" s="2" t="s">
        <v>31</v>
      </c>
    </row>
    <row r="478" spans="1:4" ht="49.5">
      <c r="A478" s="2" t="s">
        <v>311</v>
      </c>
      <c r="B478" s="2" t="s">
        <v>312</v>
      </c>
      <c r="C478" s="2" t="s">
        <v>39</v>
      </c>
      <c r="D478" s="2" t="s">
        <v>31</v>
      </c>
    </row>
    <row r="479" spans="1:4" ht="49.5">
      <c r="A479" s="2" t="s">
        <v>317</v>
      </c>
      <c r="B479" s="2" t="s">
        <v>318</v>
      </c>
      <c r="C479" s="2" t="s">
        <v>39</v>
      </c>
      <c r="D479" s="2" t="s">
        <v>31</v>
      </c>
    </row>
    <row r="480" spans="1:4" ht="49.5">
      <c r="A480" s="2" t="s">
        <v>321</v>
      </c>
      <c r="B480" s="2" t="s">
        <v>322</v>
      </c>
      <c r="C480" s="2" t="s">
        <v>39</v>
      </c>
      <c r="D480" s="2" t="s">
        <v>31</v>
      </c>
    </row>
    <row r="481" spans="1:4" ht="49.5">
      <c r="A481" s="2" t="s">
        <v>323</v>
      </c>
      <c r="B481" s="2" t="s">
        <v>324</v>
      </c>
      <c r="C481" s="2" t="s">
        <v>39</v>
      </c>
      <c r="D481" s="2" t="s">
        <v>31</v>
      </c>
    </row>
    <row r="482" spans="1:4" ht="49.5">
      <c r="A482" s="2" t="s">
        <v>325</v>
      </c>
      <c r="B482" s="2" t="s">
        <v>326</v>
      </c>
      <c r="C482" s="2" t="s">
        <v>39</v>
      </c>
      <c r="D482" s="2" t="s">
        <v>31</v>
      </c>
    </row>
    <row r="483" spans="1:4" ht="49.5">
      <c r="A483" s="2" t="s">
        <v>329</v>
      </c>
      <c r="B483" s="2" t="s">
        <v>330</v>
      </c>
      <c r="C483" s="2" t="s">
        <v>39</v>
      </c>
      <c r="D483" s="2" t="s">
        <v>31</v>
      </c>
    </row>
    <row r="484" spans="1:4" ht="49.5">
      <c r="A484" s="2" t="s">
        <v>331</v>
      </c>
      <c r="B484" s="2" t="s">
        <v>332</v>
      </c>
      <c r="C484" s="2" t="s">
        <v>39</v>
      </c>
      <c r="D484" s="2" t="s">
        <v>31</v>
      </c>
    </row>
    <row r="485" spans="1:4" ht="49.5">
      <c r="A485" s="2" t="s">
        <v>333</v>
      </c>
      <c r="B485" s="2" t="s">
        <v>334</v>
      </c>
      <c r="C485" s="2" t="s">
        <v>39</v>
      </c>
      <c r="D485" s="2" t="s">
        <v>31</v>
      </c>
    </row>
    <row r="486" spans="1:4" ht="49.5">
      <c r="A486" s="2" t="s">
        <v>339</v>
      </c>
      <c r="B486" s="2" t="s">
        <v>340</v>
      </c>
      <c r="C486" s="2" t="s">
        <v>39</v>
      </c>
      <c r="D486" s="2" t="s">
        <v>31</v>
      </c>
    </row>
    <row r="487" spans="1:4" ht="49.5">
      <c r="A487" s="2" t="s">
        <v>345</v>
      </c>
      <c r="B487" s="2" t="s">
        <v>346</v>
      </c>
      <c r="C487" s="2" t="s">
        <v>39</v>
      </c>
      <c r="D487" s="2" t="s">
        <v>31</v>
      </c>
    </row>
    <row r="488" spans="1:4" ht="49.5">
      <c r="A488" s="2" t="s">
        <v>379</v>
      </c>
      <c r="B488" s="2" t="s">
        <v>380</v>
      </c>
      <c r="C488" s="2" t="s">
        <v>39</v>
      </c>
      <c r="D488" s="2" t="s">
        <v>34</v>
      </c>
    </row>
    <row r="489" spans="1:4" ht="49.5">
      <c r="A489" s="2" t="s">
        <v>391</v>
      </c>
      <c r="B489" s="2" t="s">
        <v>392</v>
      </c>
      <c r="C489" s="2" t="s">
        <v>39</v>
      </c>
      <c r="D489" s="2" t="s">
        <v>34</v>
      </c>
    </row>
    <row r="490" spans="1:4" ht="49.5">
      <c r="A490" s="2" t="s">
        <v>405</v>
      </c>
      <c r="B490" s="2" t="s">
        <v>406</v>
      </c>
      <c r="C490" s="2" t="s">
        <v>39</v>
      </c>
      <c r="D490" s="2" t="s">
        <v>31</v>
      </c>
    </row>
    <row r="491" spans="1:4" ht="49.5">
      <c r="A491" s="2" t="s">
        <v>409</v>
      </c>
      <c r="B491" s="2" t="s">
        <v>410</v>
      </c>
      <c r="C491" s="2" t="s">
        <v>39</v>
      </c>
      <c r="D491" s="2" t="s">
        <v>31</v>
      </c>
    </row>
    <row r="492" spans="1:4" ht="49.5">
      <c r="A492" s="2" t="s">
        <v>413</v>
      </c>
      <c r="B492" s="2" t="s">
        <v>414</v>
      </c>
      <c r="C492" s="2" t="s">
        <v>39</v>
      </c>
      <c r="D492" s="2" t="s">
        <v>31</v>
      </c>
    </row>
    <row r="493" spans="1:4" ht="49.5">
      <c r="A493" s="2" t="s">
        <v>415</v>
      </c>
      <c r="B493" s="2" t="s">
        <v>416</v>
      </c>
      <c r="C493" s="2" t="s">
        <v>39</v>
      </c>
      <c r="D493" s="2" t="s">
        <v>31</v>
      </c>
    </row>
    <row r="494" spans="1:4" ht="33">
      <c r="A494" s="2" t="s">
        <v>421</v>
      </c>
      <c r="B494" s="2" t="s">
        <v>422</v>
      </c>
      <c r="C494" s="2" t="s">
        <v>39</v>
      </c>
      <c r="D494" s="2" t="s">
        <v>34</v>
      </c>
    </row>
    <row r="495" spans="1:4" ht="49.5">
      <c r="A495" s="2" t="s">
        <v>427</v>
      </c>
      <c r="B495" s="2" t="s">
        <v>428</v>
      </c>
      <c r="C495" s="2" t="s">
        <v>39</v>
      </c>
      <c r="D495" s="2" t="s">
        <v>31</v>
      </c>
    </row>
    <row r="496" spans="1:4" ht="49.5">
      <c r="A496" s="2" t="s">
        <v>429</v>
      </c>
      <c r="B496" s="2" t="s">
        <v>430</v>
      </c>
      <c r="C496" s="2" t="s">
        <v>39</v>
      </c>
      <c r="D496" s="2" t="s">
        <v>31</v>
      </c>
    </row>
    <row r="497" spans="1:4" ht="49.5">
      <c r="A497" s="2" t="s">
        <v>443</v>
      </c>
      <c r="B497" s="2" t="s">
        <v>444</v>
      </c>
      <c r="C497" s="2" t="s">
        <v>39</v>
      </c>
      <c r="D497" s="2" t="s">
        <v>31</v>
      </c>
    </row>
    <row r="498" spans="1:4" ht="49.5">
      <c r="A498" s="2" t="s">
        <v>447</v>
      </c>
      <c r="B498" s="2" t="s">
        <v>448</v>
      </c>
      <c r="C498" s="2" t="s">
        <v>39</v>
      </c>
      <c r="D498" s="2" t="s">
        <v>31</v>
      </c>
    </row>
    <row r="499" spans="1:4" ht="49.5">
      <c r="A499" s="2" t="s">
        <v>451</v>
      </c>
      <c r="B499" s="2" t="s">
        <v>452</v>
      </c>
      <c r="C499" s="2" t="s">
        <v>39</v>
      </c>
      <c r="D499" s="2" t="s">
        <v>31</v>
      </c>
    </row>
    <row r="500" spans="1:4" ht="49.5">
      <c r="A500" s="2" t="s">
        <v>459</v>
      </c>
      <c r="B500" s="2" t="s">
        <v>460</v>
      </c>
      <c r="C500" s="2" t="s">
        <v>39</v>
      </c>
      <c r="D500" s="2" t="s">
        <v>31</v>
      </c>
    </row>
    <row r="501" spans="1:4" ht="49.5">
      <c r="A501" s="2" t="s">
        <v>463</v>
      </c>
      <c r="B501" s="2" t="s">
        <v>464</v>
      </c>
      <c r="C501" s="2" t="s">
        <v>39</v>
      </c>
      <c r="D501" s="2" t="s">
        <v>36</v>
      </c>
    </row>
    <row r="502" spans="1:4" ht="49.5">
      <c r="A502" s="2" t="s">
        <v>475</v>
      </c>
      <c r="B502" s="2" t="s">
        <v>476</v>
      </c>
      <c r="C502" s="2" t="s">
        <v>39</v>
      </c>
      <c r="D502" s="2" t="s">
        <v>31</v>
      </c>
    </row>
    <row r="503" spans="1:4" ht="49.5">
      <c r="A503" s="2" t="s">
        <v>523</v>
      </c>
      <c r="B503" s="2" t="s">
        <v>524</v>
      </c>
      <c r="C503" s="2" t="s">
        <v>39</v>
      </c>
      <c r="D503" s="2" t="s">
        <v>36</v>
      </c>
    </row>
    <row r="504" spans="1:4" ht="49.5">
      <c r="A504" s="2" t="s">
        <v>525</v>
      </c>
      <c r="B504" s="2" t="s">
        <v>526</v>
      </c>
      <c r="C504" s="2" t="s">
        <v>39</v>
      </c>
      <c r="D504" s="2" t="s">
        <v>31</v>
      </c>
    </row>
    <row r="505" spans="1:4" ht="49.5">
      <c r="A505" s="2" t="s">
        <v>531</v>
      </c>
      <c r="B505" s="2" t="s">
        <v>532</v>
      </c>
      <c r="C505" s="2" t="s">
        <v>39</v>
      </c>
      <c r="D505" s="2" t="s">
        <v>31</v>
      </c>
    </row>
    <row r="506" spans="1:4" ht="49.5">
      <c r="A506" s="2" t="s">
        <v>533</v>
      </c>
      <c r="B506" s="2" t="s">
        <v>534</v>
      </c>
      <c r="C506" s="2" t="s">
        <v>39</v>
      </c>
      <c r="D506" s="2" t="s">
        <v>31</v>
      </c>
    </row>
    <row r="507" spans="1:4" ht="49.5">
      <c r="A507" s="2" t="s">
        <v>535</v>
      </c>
      <c r="B507" s="2" t="s">
        <v>536</v>
      </c>
      <c r="C507" s="2" t="s">
        <v>39</v>
      </c>
      <c r="D507" s="2" t="s">
        <v>31</v>
      </c>
    </row>
    <row r="508" spans="1:4" ht="49.5">
      <c r="A508" s="2" t="s">
        <v>537</v>
      </c>
      <c r="B508" s="2" t="s">
        <v>538</v>
      </c>
      <c r="C508" s="2" t="s">
        <v>39</v>
      </c>
      <c r="D508" s="2" t="s">
        <v>34</v>
      </c>
    </row>
    <row r="509" spans="1:4" ht="49.5">
      <c r="A509" s="2" t="s">
        <v>541</v>
      </c>
      <c r="B509" s="2" t="s">
        <v>542</v>
      </c>
      <c r="C509" s="2" t="s">
        <v>39</v>
      </c>
      <c r="D509" s="2" t="s">
        <v>31</v>
      </c>
    </row>
    <row r="510" spans="1:4" ht="49.5">
      <c r="A510" s="2" t="s">
        <v>547</v>
      </c>
      <c r="B510" s="2" t="s">
        <v>548</v>
      </c>
      <c r="C510" s="2" t="s">
        <v>39</v>
      </c>
      <c r="D510" s="2" t="s">
        <v>31</v>
      </c>
    </row>
    <row r="511" spans="1:4" ht="49.5">
      <c r="A511" s="2" t="s">
        <v>551</v>
      </c>
      <c r="B511" s="2" t="s">
        <v>552</v>
      </c>
      <c r="C511" s="2" t="s">
        <v>39</v>
      </c>
      <c r="D511" s="2" t="s">
        <v>31</v>
      </c>
    </row>
    <row r="512" spans="1:4" ht="49.5">
      <c r="A512" s="2" t="s">
        <v>553</v>
      </c>
      <c r="B512" s="2" t="s">
        <v>554</v>
      </c>
      <c r="C512" s="2" t="s">
        <v>39</v>
      </c>
      <c r="D512" s="2" t="s">
        <v>31</v>
      </c>
    </row>
    <row r="513" spans="1:4" ht="49.5">
      <c r="A513" s="2" t="s">
        <v>555</v>
      </c>
      <c r="B513" s="2" t="s">
        <v>556</v>
      </c>
      <c r="C513" s="2" t="s">
        <v>39</v>
      </c>
      <c r="D513" s="2" t="s">
        <v>31</v>
      </c>
    </row>
    <row r="514" spans="1:4" ht="33">
      <c r="A514" s="2" t="s">
        <v>563</v>
      </c>
      <c r="B514" s="2" t="s">
        <v>564</v>
      </c>
      <c r="C514" s="2" t="s">
        <v>39</v>
      </c>
      <c r="D514" s="2" t="s">
        <v>31</v>
      </c>
    </row>
    <row r="515" spans="1:4" ht="49.5">
      <c r="A515" s="2" t="s">
        <v>565</v>
      </c>
      <c r="B515" s="2" t="s">
        <v>566</v>
      </c>
      <c r="C515" s="2" t="s">
        <v>39</v>
      </c>
      <c r="D515" s="2" t="s">
        <v>31</v>
      </c>
    </row>
    <row r="516" spans="1:4" ht="49.5">
      <c r="A516" s="2" t="s">
        <v>567</v>
      </c>
      <c r="B516" s="2" t="s">
        <v>568</v>
      </c>
      <c r="C516" s="2" t="s">
        <v>39</v>
      </c>
      <c r="D516" s="2" t="s">
        <v>31</v>
      </c>
    </row>
    <row r="517" spans="1:4" ht="49.5">
      <c r="A517" s="2" t="s">
        <v>569</v>
      </c>
      <c r="B517" s="2" t="s">
        <v>570</v>
      </c>
      <c r="C517" s="2" t="s">
        <v>39</v>
      </c>
      <c r="D517" s="2" t="s">
        <v>31</v>
      </c>
    </row>
    <row r="518" spans="1:4" ht="49.5">
      <c r="A518" s="2" t="s">
        <v>571</v>
      </c>
      <c r="B518" s="2" t="s">
        <v>572</v>
      </c>
      <c r="C518" s="2" t="s">
        <v>39</v>
      </c>
      <c r="D518" s="2" t="s">
        <v>31</v>
      </c>
    </row>
    <row r="519" spans="1:4" ht="49.5">
      <c r="A519" s="2" t="s">
        <v>587</v>
      </c>
      <c r="B519" s="2" t="s">
        <v>588</v>
      </c>
      <c r="C519" s="2" t="s">
        <v>39</v>
      </c>
      <c r="D519" s="2" t="s">
        <v>31</v>
      </c>
    </row>
    <row r="520" spans="1:4" ht="82.5">
      <c r="A520" s="2" t="s">
        <v>615</v>
      </c>
      <c r="B520" s="2" t="s">
        <v>616</v>
      </c>
      <c r="C520" s="2" t="s">
        <v>39</v>
      </c>
      <c r="D520" s="2" t="s">
        <v>31</v>
      </c>
    </row>
    <row r="521" spans="1:4" ht="82.5">
      <c r="A521" s="2" t="s">
        <v>617</v>
      </c>
      <c r="B521" s="2" t="s">
        <v>618</v>
      </c>
      <c r="C521" s="2" t="s">
        <v>39</v>
      </c>
      <c r="D521" s="2" t="s">
        <v>31</v>
      </c>
    </row>
    <row r="522" spans="1:4" ht="82.5">
      <c r="A522" s="2" t="s">
        <v>619</v>
      </c>
      <c r="B522" s="2" t="s">
        <v>620</v>
      </c>
      <c r="C522" s="2" t="s">
        <v>39</v>
      </c>
      <c r="D522" s="2" t="s">
        <v>31</v>
      </c>
    </row>
    <row r="523" spans="1:4" ht="82.5">
      <c r="A523" s="2" t="s">
        <v>621</v>
      </c>
      <c r="B523" s="2" t="s">
        <v>622</v>
      </c>
      <c r="C523" s="2" t="s">
        <v>39</v>
      </c>
      <c r="D523" s="2" t="s">
        <v>31</v>
      </c>
    </row>
    <row r="524" spans="1:4" ht="66">
      <c r="A524" s="2" t="s">
        <v>627</v>
      </c>
      <c r="B524" s="2" t="s">
        <v>628</v>
      </c>
      <c r="C524" s="2" t="s">
        <v>39</v>
      </c>
      <c r="D524" s="2" t="s">
        <v>31</v>
      </c>
    </row>
    <row r="525" spans="1:4" ht="66">
      <c r="A525" s="2" t="s">
        <v>631</v>
      </c>
      <c r="B525" s="2" t="s">
        <v>632</v>
      </c>
      <c r="C525" s="2" t="s">
        <v>39</v>
      </c>
      <c r="D525" s="2" t="s">
        <v>34</v>
      </c>
    </row>
    <row r="526" spans="1:4" ht="66">
      <c r="A526" s="2" t="s">
        <v>639</v>
      </c>
      <c r="B526" s="2" t="s">
        <v>640</v>
      </c>
      <c r="C526" s="2" t="s">
        <v>39</v>
      </c>
      <c r="D526" s="2" t="s">
        <v>31</v>
      </c>
    </row>
    <row r="527" spans="1:4" ht="66">
      <c r="A527" s="2" t="s">
        <v>641</v>
      </c>
      <c r="B527" s="2" t="s">
        <v>642</v>
      </c>
      <c r="C527" s="2" t="s">
        <v>39</v>
      </c>
      <c r="D527" s="2" t="s">
        <v>31</v>
      </c>
    </row>
    <row r="528" spans="1:4" ht="66">
      <c r="A528" s="2" t="s">
        <v>663</v>
      </c>
      <c r="B528" s="2" t="s">
        <v>664</v>
      </c>
      <c r="C528" s="2" t="s">
        <v>39</v>
      </c>
      <c r="D528" s="2" t="s">
        <v>31</v>
      </c>
    </row>
    <row r="529" spans="1:4" ht="49.5">
      <c r="A529" s="2" t="s">
        <v>677</v>
      </c>
      <c r="B529" s="2" t="s">
        <v>678</v>
      </c>
      <c r="C529" s="2" t="s">
        <v>39</v>
      </c>
      <c r="D529" s="2" t="s">
        <v>31</v>
      </c>
    </row>
    <row r="530" spans="1:4" ht="49.5">
      <c r="A530" s="2" t="s">
        <v>679</v>
      </c>
      <c r="B530" s="2" t="s">
        <v>680</v>
      </c>
      <c r="C530" s="2" t="s">
        <v>39</v>
      </c>
      <c r="D530" s="2" t="s">
        <v>31</v>
      </c>
    </row>
    <row r="531" spans="1:4" ht="33">
      <c r="A531" s="2" t="s">
        <v>683</v>
      </c>
      <c r="B531" s="2" t="s">
        <v>684</v>
      </c>
      <c r="C531" s="2" t="s">
        <v>39</v>
      </c>
      <c r="D531" s="2" t="s">
        <v>34</v>
      </c>
    </row>
    <row r="532" spans="1:4" ht="49.5">
      <c r="A532" s="2" t="s">
        <v>701</v>
      </c>
      <c r="B532" s="2" t="s">
        <v>702</v>
      </c>
      <c r="C532" s="2" t="s">
        <v>39</v>
      </c>
      <c r="D532" s="2" t="s">
        <v>31</v>
      </c>
    </row>
    <row r="533" spans="1:4" ht="49.5">
      <c r="A533" s="2" t="s">
        <v>703</v>
      </c>
      <c r="B533" s="2" t="s">
        <v>704</v>
      </c>
      <c r="C533" s="2" t="s">
        <v>39</v>
      </c>
      <c r="D533" s="2" t="s">
        <v>31</v>
      </c>
    </row>
    <row r="534" spans="1:4" ht="49.5">
      <c r="A534" s="2" t="s">
        <v>705</v>
      </c>
      <c r="B534" s="2" t="s">
        <v>706</v>
      </c>
      <c r="C534" s="2" t="s">
        <v>39</v>
      </c>
      <c r="D534" s="2" t="s">
        <v>31</v>
      </c>
    </row>
    <row r="535" spans="1:4" ht="33">
      <c r="A535" s="2" t="s">
        <v>757</v>
      </c>
      <c r="B535" s="2" t="s">
        <v>758</v>
      </c>
      <c r="C535" s="2" t="s">
        <v>39</v>
      </c>
      <c r="D535" s="2" t="s">
        <v>34</v>
      </c>
    </row>
    <row r="536" spans="1:4" ht="49.5">
      <c r="A536" s="2" t="s">
        <v>759</v>
      </c>
      <c r="B536" s="2" t="s">
        <v>760</v>
      </c>
      <c r="C536" s="2" t="s">
        <v>39</v>
      </c>
      <c r="D536" s="2" t="s">
        <v>31</v>
      </c>
    </row>
    <row r="537" spans="1:4" ht="33">
      <c r="A537" s="2" t="s">
        <v>761</v>
      </c>
      <c r="B537" s="2" t="s">
        <v>762</v>
      </c>
      <c r="C537" s="2" t="s">
        <v>39</v>
      </c>
      <c r="D537" s="2" t="s">
        <v>31</v>
      </c>
    </row>
    <row r="538" spans="1:4" ht="33">
      <c r="A538" s="2" t="s">
        <v>763</v>
      </c>
      <c r="B538" s="2" t="s">
        <v>764</v>
      </c>
      <c r="C538" s="2" t="s">
        <v>39</v>
      </c>
      <c r="D538" s="2" t="s">
        <v>31</v>
      </c>
    </row>
    <row r="539" spans="1:4" ht="33">
      <c r="A539" s="2" t="s">
        <v>765</v>
      </c>
      <c r="B539" s="2" t="s">
        <v>766</v>
      </c>
      <c r="C539" s="2" t="s">
        <v>39</v>
      </c>
      <c r="D539" s="2" t="s">
        <v>34</v>
      </c>
    </row>
    <row r="540" spans="1:4" ht="49.5">
      <c r="A540" s="2" t="s">
        <v>767</v>
      </c>
      <c r="B540" s="2" t="s">
        <v>768</v>
      </c>
      <c r="C540" s="2" t="s">
        <v>39</v>
      </c>
      <c r="D540" s="2" t="s">
        <v>34</v>
      </c>
    </row>
    <row r="541" spans="1:4" ht="33">
      <c r="A541" s="2" t="s">
        <v>769</v>
      </c>
      <c r="B541" s="2" t="s">
        <v>770</v>
      </c>
      <c r="C541" s="2" t="s">
        <v>39</v>
      </c>
      <c r="D541" s="2" t="s">
        <v>31</v>
      </c>
    </row>
    <row r="542" spans="1:4" ht="33">
      <c r="A542" s="2" t="s">
        <v>771</v>
      </c>
      <c r="B542" s="2" t="s">
        <v>772</v>
      </c>
      <c r="C542" s="2" t="s">
        <v>39</v>
      </c>
      <c r="D542" s="2" t="s">
        <v>34</v>
      </c>
    </row>
    <row r="543" spans="1:4" ht="33">
      <c r="A543" s="2" t="s">
        <v>773</v>
      </c>
      <c r="B543" s="2" t="s">
        <v>774</v>
      </c>
      <c r="C543" s="2" t="s">
        <v>39</v>
      </c>
      <c r="D543" s="2" t="s">
        <v>31</v>
      </c>
    </row>
    <row r="544" spans="1:4" ht="33">
      <c r="A544" s="2" t="s">
        <v>775</v>
      </c>
      <c r="B544" s="2" t="s">
        <v>776</v>
      </c>
      <c r="C544" s="2" t="s">
        <v>39</v>
      </c>
      <c r="D544" s="2" t="s">
        <v>31</v>
      </c>
    </row>
    <row r="545" spans="1:4" ht="33">
      <c r="A545" s="2" t="s">
        <v>777</v>
      </c>
      <c r="B545" s="2" t="s">
        <v>778</v>
      </c>
      <c r="C545" s="2" t="s">
        <v>39</v>
      </c>
      <c r="D545" s="2" t="s">
        <v>31</v>
      </c>
    </row>
    <row r="546" spans="1:4" ht="49.5">
      <c r="A546" s="2" t="s">
        <v>779</v>
      </c>
      <c r="B546" s="2" t="s">
        <v>780</v>
      </c>
      <c r="C546" s="2" t="s">
        <v>39</v>
      </c>
      <c r="D546" s="2" t="s">
        <v>31</v>
      </c>
    </row>
    <row r="547" spans="1:4" ht="49.5">
      <c r="A547" s="2" t="s">
        <v>781</v>
      </c>
      <c r="B547" s="2" t="s">
        <v>782</v>
      </c>
      <c r="C547" s="2" t="s">
        <v>39</v>
      </c>
      <c r="D547" s="2" t="s">
        <v>31</v>
      </c>
    </row>
    <row r="548" spans="1:4" ht="33">
      <c r="A548" s="2" t="s">
        <v>783</v>
      </c>
      <c r="B548" s="2" t="s">
        <v>784</v>
      </c>
      <c r="C548" s="2" t="s">
        <v>39</v>
      </c>
      <c r="D548" s="2" t="s">
        <v>31</v>
      </c>
    </row>
    <row r="549" spans="1:4" ht="49.5">
      <c r="A549" s="2" t="s">
        <v>785</v>
      </c>
      <c r="B549" s="2" t="s">
        <v>786</v>
      </c>
      <c r="C549" s="2" t="s">
        <v>39</v>
      </c>
      <c r="D549" s="2" t="s">
        <v>31</v>
      </c>
    </row>
    <row r="550" spans="1:4" ht="33">
      <c r="A550" s="2" t="s">
        <v>789</v>
      </c>
      <c r="B550" s="2" t="s">
        <v>790</v>
      </c>
      <c r="C550" s="2" t="s">
        <v>39</v>
      </c>
      <c r="D550" s="2" t="s">
        <v>34</v>
      </c>
    </row>
    <row r="551" spans="1:4" ht="49.5">
      <c r="A551" s="2" t="s">
        <v>795</v>
      </c>
      <c r="B551" s="2" t="s">
        <v>796</v>
      </c>
      <c r="C551" s="2" t="s">
        <v>39</v>
      </c>
      <c r="D551" s="2" t="s">
        <v>31</v>
      </c>
    </row>
    <row r="552" spans="1:4" ht="66">
      <c r="A552" s="2" t="s">
        <v>797</v>
      </c>
      <c r="B552" s="2" t="s">
        <v>798</v>
      </c>
      <c r="C552" s="2" t="s">
        <v>39</v>
      </c>
      <c r="D552" s="2" t="s">
        <v>31</v>
      </c>
    </row>
    <row r="553" spans="1:4" ht="66">
      <c r="A553" s="2" t="s">
        <v>799</v>
      </c>
      <c r="B553" s="2" t="s">
        <v>800</v>
      </c>
      <c r="C553" s="2" t="s">
        <v>39</v>
      </c>
      <c r="D553" s="2" t="s">
        <v>31</v>
      </c>
    </row>
    <row r="554" spans="1:4" ht="66">
      <c r="A554" s="2" t="s">
        <v>801</v>
      </c>
      <c r="B554" s="2" t="s">
        <v>802</v>
      </c>
      <c r="C554" s="2" t="s">
        <v>39</v>
      </c>
      <c r="D554" s="2" t="s">
        <v>31</v>
      </c>
    </row>
    <row r="555" spans="1:4" ht="66">
      <c r="A555" s="2" t="s">
        <v>819</v>
      </c>
      <c r="B555" s="2" t="s">
        <v>820</v>
      </c>
      <c r="C555" s="2" t="s">
        <v>39</v>
      </c>
      <c r="D555" s="2" t="s">
        <v>31</v>
      </c>
    </row>
    <row r="556" spans="1:4" ht="66">
      <c r="A556" s="2" t="s">
        <v>821</v>
      </c>
      <c r="B556" s="2" t="s">
        <v>822</v>
      </c>
      <c r="C556" s="2" t="s">
        <v>39</v>
      </c>
      <c r="D556" s="2" t="s">
        <v>31</v>
      </c>
    </row>
    <row r="557" spans="1:4" ht="66">
      <c r="A557" s="2" t="s">
        <v>825</v>
      </c>
      <c r="B557" s="2" t="s">
        <v>826</v>
      </c>
      <c r="C557" s="2" t="s">
        <v>39</v>
      </c>
      <c r="D557" s="2" t="s">
        <v>31</v>
      </c>
    </row>
    <row r="558" spans="1:4" ht="66">
      <c r="A558" s="2" t="s">
        <v>827</v>
      </c>
      <c r="B558" s="2" t="s">
        <v>828</v>
      </c>
      <c r="C558" s="2" t="s">
        <v>39</v>
      </c>
      <c r="D558" s="2" t="s">
        <v>31</v>
      </c>
    </row>
    <row r="559" spans="1:4" ht="66">
      <c r="A559" s="2" t="s">
        <v>829</v>
      </c>
      <c r="B559" s="2" t="s">
        <v>830</v>
      </c>
      <c r="C559" s="2" t="s">
        <v>39</v>
      </c>
      <c r="D559" s="2" t="s">
        <v>31</v>
      </c>
    </row>
    <row r="560" spans="1:4" ht="66">
      <c r="A560" s="2" t="s">
        <v>845</v>
      </c>
      <c r="B560" s="2" t="s">
        <v>846</v>
      </c>
      <c r="C560" s="2" t="s">
        <v>39</v>
      </c>
      <c r="D560" s="2" t="s">
        <v>31</v>
      </c>
    </row>
    <row r="561" spans="1:4" ht="66">
      <c r="A561" s="2" t="s">
        <v>847</v>
      </c>
      <c r="B561" s="2" t="s">
        <v>848</v>
      </c>
      <c r="C561" s="2" t="s">
        <v>39</v>
      </c>
      <c r="D561" s="2" t="s">
        <v>31</v>
      </c>
    </row>
    <row r="562" spans="1:4" ht="66">
      <c r="A562" s="2" t="s">
        <v>849</v>
      </c>
      <c r="B562" s="2" t="s">
        <v>850</v>
      </c>
      <c r="C562" s="2" t="s">
        <v>39</v>
      </c>
      <c r="D562" s="2" t="s">
        <v>31</v>
      </c>
    </row>
    <row r="563" spans="1:4" ht="66">
      <c r="A563" s="2" t="s">
        <v>851</v>
      </c>
      <c r="B563" s="2" t="s">
        <v>852</v>
      </c>
      <c r="C563" s="2" t="s">
        <v>39</v>
      </c>
      <c r="D563" s="2" t="s">
        <v>31</v>
      </c>
    </row>
    <row r="564" spans="1:4" ht="66">
      <c r="A564" s="2" t="s">
        <v>853</v>
      </c>
      <c r="B564" s="2" t="s">
        <v>854</v>
      </c>
      <c r="C564" s="2" t="s">
        <v>39</v>
      </c>
      <c r="D564" s="2" t="s">
        <v>31</v>
      </c>
    </row>
    <row r="565" spans="1:4" ht="66">
      <c r="A565" s="2" t="s">
        <v>869</v>
      </c>
      <c r="B565" s="2" t="s">
        <v>870</v>
      </c>
      <c r="C565" s="2" t="s">
        <v>39</v>
      </c>
      <c r="D565" s="2" t="s">
        <v>31</v>
      </c>
    </row>
    <row r="566" spans="1:4" ht="66">
      <c r="A566" s="2" t="s">
        <v>871</v>
      </c>
      <c r="B566" s="2" t="s">
        <v>872</v>
      </c>
      <c r="C566" s="2" t="s">
        <v>39</v>
      </c>
      <c r="D566" s="2" t="s">
        <v>31</v>
      </c>
    </row>
    <row r="567" spans="1:4" ht="66">
      <c r="A567" s="2" t="s">
        <v>873</v>
      </c>
      <c r="B567" s="2" t="s">
        <v>874</v>
      </c>
      <c r="C567" s="2" t="s">
        <v>39</v>
      </c>
      <c r="D567" s="2" t="s">
        <v>31</v>
      </c>
    </row>
    <row r="568" spans="1:4" ht="66">
      <c r="A568" s="2" t="s">
        <v>875</v>
      </c>
      <c r="B568" s="2" t="s">
        <v>876</v>
      </c>
      <c r="C568" s="2" t="s">
        <v>39</v>
      </c>
      <c r="D568" s="2" t="s">
        <v>31</v>
      </c>
    </row>
    <row r="569" spans="1:4" ht="66">
      <c r="A569" s="2" t="s">
        <v>877</v>
      </c>
      <c r="B569" s="2" t="s">
        <v>878</v>
      </c>
      <c r="C569" s="2" t="s">
        <v>39</v>
      </c>
      <c r="D569" s="2" t="s">
        <v>31</v>
      </c>
    </row>
    <row r="570" spans="1:4" ht="66">
      <c r="A570" s="2" t="s">
        <v>879</v>
      </c>
      <c r="B570" s="2" t="s">
        <v>880</v>
      </c>
      <c r="C570" s="2" t="s">
        <v>39</v>
      </c>
      <c r="D570" s="2" t="s">
        <v>31</v>
      </c>
    </row>
    <row r="571" spans="1:4" ht="66">
      <c r="A571" s="2" t="s">
        <v>885</v>
      </c>
      <c r="B571" s="2" t="s">
        <v>886</v>
      </c>
      <c r="C571" s="2" t="s">
        <v>39</v>
      </c>
      <c r="D571" s="2" t="s">
        <v>31</v>
      </c>
    </row>
    <row r="572" spans="1:4" ht="66">
      <c r="A572" s="2" t="s">
        <v>901</v>
      </c>
      <c r="B572" s="2" t="s">
        <v>902</v>
      </c>
      <c r="C572" s="2" t="s">
        <v>39</v>
      </c>
      <c r="D572" s="2" t="s">
        <v>31</v>
      </c>
    </row>
    <row r="573" spans="1:4" ht="66">
      <c r="A573" s="2" t="s">
        <v>903</v>
      </c>
      <c r="B573" s="2" t="s">
        <v>904</v>
      </c>
      <c r="C573" s="2" t="s">
        <v>39</v>
      </c>
      <c r="D573" s="2" t="s">
        <v>31</v>
      </c>
    </row>
    <row r="574" spans="1:4" ht="66">
      <c r="A574" s="2" t="s">
        <v>905</v>
      </c>
      <c r="B574" s="2" t="s">
        <v>906</v>
      </c>
      <c r="C574" s="2" t="s">
        <v>39</v>
      </c>
      <c r="D574" s="2" t="s">
        <v>31</v>
      </c>
    </row>
    <row r="575" spans="1:4" ht="66">
      <c r="A575" s="2" t="s">
        <v>907</v>
      </c>
      <c r="B575" s="2" t="s">
        <v>908</v>
      </c>
      <c r="C575" s="2" t="s">
        <v>39</v>
      </c>
      <c r="D575" s="2" t="s">
        <v>31</v>
      </c>
    </row>
    <row r="576" spans="1:4" ht="66">
      <c r="A576" s="2" t="s">
        <v>909</v>
      </c>
      <c r="B576" s="2" t="s">
        <v>910</v>
      </c>
      <c r="C576" s="2" t="s">
        <v>39</v>
      </c>
      <c r="D576" s="2" t="s">
        <v>31</v>
      </c>
    </row>
    <row r="577" spans="1:4" ht="66">
      <c r="A577" s="2" t="s">
        <v>911</v>
      </c>
      <c r="B577" s="2" t="s">
        <v>912</v>
      </c>
      <c r="C577" s="2" t="s">
        <v>39</v>
      </c>
      <c r="D577" s="2" t="s">
        <v>31</v>
      </c>
    </row>
    <row r="578" spans="1:4" ht="66">
      <c r="A578" s="2" t="s">
        <v>915</v>
      </c>
      <c r="B578" s="2" t="s">
        <v>916</v>
      </c>
      <c r="C578" s="2" t="s">
        <v>39</v>
      </c>
      <c r="D578" s="2" t="s">
        <v>36</v>
      </c>
    </row>
    <row r="579" spans="1:4" ht="66">
      <c r="A579" s="2" t="s">
        <v>931</v>
      </c>
      <c r="B579" s="2" t="s">
        <v>932</v>
      </c>
      <c r="C579" s="2" t="s">
        <v>39</v>
      </c>
      <c r="D579" s="2" t="s">
        <v>34</v>
      </c>
    </row>
    <row r="580" spans="1:4" ht="33">
      <c r="A580" s="2" t="s">
        <v>977</v>
      </c>
      <c r="B580" s="2" t="s">
        <v>978</v>
      </c>
      <c r="C580" s="2" t="s">
        <v>39</v>
      </c>
      <c r="D580" s="2" t="s">
        <v>31</v>
      </c>
    </row>
    <row r="581" spans="1:4" ht="49.5">
      <c r="A581" s="2" t="s">
        <v>983</v>
      </c>
      <c r="B581" s="2" t="s">
        <v>984</v>
      </c>
      <c r="C581" s="2" t="s">
        <v>39</v>
      </c>
      <c r="D581" s="2" t="s">
        <v>31</v>
      </c>
    </row>
    <row r="582" spans="1:4" ht="49.5">
      <c r="A582" s="2" t="s">
        <v>985</v>
      </c>
      <c r="B582" s="2" t="s">
        <v>986</v>
      </c>
      <c r="C582" s="2" t="s">
        <v>39</v>
      </c>
      <c r="D582" s="2" t="s">
        <v>31</v>
      </c>
    </row>
    <row r="583" spans="1:4" ht="49.5">
      <c r="A583" s="2" t="s">
        <v>987</v>
      </c>
      <c r="B583" s="2" t="s">
        <v>988</v>
      </c>
      <c r="C583" s="2" t="s">
        <v>39</v>
      </c>
      <c r="D583" s="2" t="s">
        <v>31</v>
      </c>
    </row>
    <row r="584" spans="1:4" ht="49.5">
      <c r="A584" s="2" t="s">
        <v>989</v>
      </c>
      <c r="B584" s="2" t="s">
        <v>990</v>
      </c>
      <c r="C584" s="2" t="s">
        <v>39</v>
      </c>
      <c r="D584" s="2" t="s">
        <v>31</v>
      </c>
    </row>
    <row r="585" spans="1:4" ht="49.5">
      <c r="A585" s="2" t="s">
        <v>991</v>
      </c>
      <c r="B585" s="2" t="s">
        <v>992</v>
      </c>
      <c r="C585" s="2" t="s">
        <v>39</v>
      </c>
      <c r="D585" s="2" t="s">
        <v>31</v>
      </c>
    </row>
    <row r="586" spans="1:4" ht="49.5">
      <c r="A586" s="2" t="s">
        <v>993</v>
      </c>
      <c r="B586" s="2" t="s">
        <v>994</v>
      </c>
      <c r="C586" s="2" t="s">
        <v>39</v>
      </c>
      <c r="D586" s="2" t="s">
        <v>31</v>
      </c>
    </row>
    <row r="587" spans="1:4" ht="49.5">
      <c r="A587" s="2" t="s">
        <v>995</v>
      </c>
      <c r="B587" s="2" t="s">
        <v>996</v>
      </c>
      <c r="C587" s="2" t="s">
        <v>39</v>
      </c>
      <c r="D587" s="2" t="s">
        <v>31</v>
      </c>
    </row>
    <row r="588" spans="1:4" ht="49.5">
      <c r="A588" s="2" t="s">
        <v>997</v>
      </c>
      <c r="B588" s="2" t="s">
        <v>998</v>
      </c>
      <c r="C588" s="2" t="s">
        <v>39</v>
      </c>
      <c r="D588" s="2" t="s">
        <v>31</v>
      </c>
    </row>
    <row r="589" spans="1:4" ht="49.5">
      <c r="A589" s="2" t="s">
        <v>999</v>
      </c>
      <c r="B589" s="2" t="s">
        <v>1000</v>
      </c>
      <c r="C589" s="2" t="s">
        <v>39</v>
      </c>
      <c r="D589" s="2" t="s">
        <v>31</v>
      </c>
    </row>
    <row r="590" spans="1:4" ht="49.5">
      <c r="A590" s="2" t="s">
        <v>1001</v>
      </c>
      <c r="B590" s="2" t="s">
        <v>1002</v>
      </c>
      <c r="C590" s="2" t="s">
        <v>39</v>
      </c>
      <c r="D590" s="2" t="s">
        <v>31</v>
      </c>
    </row>
    <row r="591" spans="1:4" ht="49.5">
      <c r="A591" s="2" t="s">
        <v>1003</v>
      </c>
      <c r="B591" s="2" t="s">
        <v>1004</v>
      </c>
      <c r="C591" s="2" t="s">
        <v>39</v>
      </c>
      <c r="D591" s="2" t="s">
        <v>31</v>
      </c>
    </row>
    <row r="592" spans="1:4" ht="49.5">
      <c r="A592" s="2" t="s">
        <v>1005</v>
      </c>
      <c r="B592" s="2" t="s">
        <v>1006</v>
      </c>
      <c r="C592" s="2" t="s">
        <v>39</v>
      </c>
      <c r="D592" s="2" t="s">
        <v>31</v>
      </c>
    </row>
    <row r="593" spans="1:4" ht="49.5">
      <c r="A593" s="2" t="s">
        <v>1007</v>
      </c>
      <c r="B593" s="2" t="s">
        <v>1008</v>
      </c>
      <c r="C593" s="2" t="s">
        <v>39</v>
      </c>
      <c r="D593" s="2" t="s">
        <v>31</v>
      </c>
    </row>
    <row r="594" spans="1:4" ht="49.5">
      <c r="A594" s="2" t="s">
        <v>1009</v>
      </c>
      <c r="B594" s="2" t="s">
        <v>1010</v>
      </c>
      <c r="C594" s="2" t="s">
        <v>39</v>
      </c>
      <c r="D594" s="2" t="s">
        <v>31</v>
      </c>
    </row>
    <row r="595" spans="1:4" ht="49.5">
      <c r="A595" s="2" t="s">
        <v>1011</v>
      </c>
      <c r="B595" s="2" t="s">
        <v>1012</v>
      </c>
      <c r="C595" s="2" t="s">
        <v>39</v>
      </c>
      <c r="D595" s="2" t="s">
        <v>31</v>
      </c>
    </row>
    <row r="596" spans="1:4" ht="49.5">
      <c r="A596" s="2" t="s">
        <v>1013</v>
      </c>
      <c r="B596" s="2" t="s">
        <v>1014</v>
      </c>
      <c r="C596" s="2" t="s">
        <v>39</v>
      </c>
      <c r="D596" s="2" t="s">
        <v>31</v>
      </c>
    </row>
    <row r="597" spans="1:4" ht="49.5">
      <c r="A597" s="2" t="s">
        <v>1047</v>
      </c>
      <c r="B597" s="2" t="s">
        <v>1048</v>
      </c>
      <c r="C597" s="2" t="s">
        <v>39</v>
      </c>
      <c r="D597" s="2" t="s">
        <v>36</v>
      </c>
    </row>
    <row r="598" spans="1:4" ht="49.5">
      <c r="A598" s="2" t="s">
        <v>1057</v>
      </c>
      <c r="B598" s="2" t="s">
        <v>1058</v>
      </c>
      <c r="C598" s="2" t="s">
        <v>39</v>
      </c>
      <c r="D598" s="2" t="s">
        <v>31</v>
      </c>
    </row>
    <row r="599" spans="1:4" ht="49.5">
      <c r="A599" s="2" t="s">
        <v>1059</v>
      </c>
      <c r="B599" s="2" t="s">
        <v>1060</v>
      </c>
      <c r="C599" s="2" t="s">
        <v>39</v>
      </c>
      <c r="D599" s="2" t="s">
        <v>31</v>
      </c>
    </row>
    <row r="600" spans="1:4" ht="49.5">
      <c r="A600" s="2" t="s">
        <v>1061</v>
      </c>
      <c r="B600" s="2" t="s">
        <v>1062</v>
      </c>
      <c r="C600" s="2" t="s">
        <v>39</v>
      </c>
      <c r="D600" s="2" t="s">
        <v>31</v>
      </c>
    </row>
    <row r="601" spans="1:4" ht="49.5">
      <c r="A601" s="2" t="s">
        <v>1069</v>
      </c>
      <c r="B601" s="2" t="s">
        <v>1070</v>
      </c>
      <c r="C601" s="2" t="s">
        <v>39</v>
      </c>
      <c r="D601" s="2" t="s">
        <v>31</v>
      </c>
    </row>
    <row r="602" spans="1:4" ht="49.5">
      <c r="A602" s="2" t="s">
        <v>1071</v>
      </c>
      <c r="B602" s="2" t="s">
        <v>1072</v>
      </c>
      <c r="C602" s="2" t="s">
        <v>39</v>
      </c>
      <c r="D602" s="2" t="s">
        <v>31</v>
      </c>
    </row>
    <row r="603" spans="1:4" ht="49.5">
      <c r="A603" s="2" t="s">
        <v>1105</v>
      </c>
      <c r="B603" s="2" t="s">
        <v>1106</v>
      </c>
      <c r="C603" s="2" t="s">
        <v>39</v>
      </c>
      <c r="D603" s="2" t="s">
        <v>31</v>
      </c>
    </row>
    <row r="604" spans="1:4" ht="49.5">
      <c r="A604" s="2" t="s">
        <v>1109</v>
      </c>
      <c r="B604" s="2" t="s">
        <v>1110</v>
      </c>
      <c r="C604" s="2" t="s">
        <v>39</v>
      </c>
      <c r="D604" s="2" t="s">
        <v>31</v>
      </c>
    </row>
    <row r="605" spans="1:4" ht="49.5">
      <c r="A605" s="2" t="s">
        <v>1113</v>
      </c>
      <c r="B605" s="2" t="s">
        <v>1114</v>
      </c>
      <c r="C605" s="2" t="s">
        <v>39</v>
      </c>
      <c r="D605" s="2" t="s">
        <v>31</v>
      </c>
    </row>
    <row r="606" spans="1:4" ht="49.5">
      <c r="A606" s="2" t="s">
        <v>1115</v>
      </c>
      <c r="B606" s="2" t="s">
        <v>1116</v>
      </c>
      <c r="C606" s="2" t="s">
        <v>39</v>
      </c>
      <c r="D606" s="2" t="s">
        <v>31</v>
      </c>
    </row>
    <row r="607" spans="1:4" ht="49.5">
      <c r="A607" s="2" t="s">
        <v>1117</v>
      </c>
      <c r="B607" s="2" t="s">
        <v>1118</v>
      </c>
      <c r="C607" s="2" t="s">
        <v>39</v>
      </c>
      <c r="D607" s="2" t="s">
        <v>31</v>
      </c>
    </row>
    <row r="608" spans="1:4" ht="49.5">
      <c r="A608" s="2" t="s">
        <v>1119</v>
      </c>
      <c r="B608" s="2" t="s">
        <v>1120</v>
      </c>
      <c r="C608" s="2" t="s">
        <v>39</v>
      </c>
      <c r="D608" s="2" t="s">
        <v>31</v>
      </c>
    </row>
    <row r="609" spans="1:4" ht="49.5">
      <c r="A609" s="2" t="s">
        <v>1121</v>
      </c>
      <c r="B609" s="2" t="s">
        <v>1122</v>
      </c>
      <c r="C609" s="2" t="s">
        <v>39</v>
      </c>
      <c r="D609" s="2" t="s">
        <v>31</v>
      </c>
    </row>
    <row r="610" spans="1:4" ht="49.5">
      <c r="A610" s="2" t="s">
        <v>1123</v>
      </c>
      <c r="B610" s="2" t="s">
        <v>1124</v>
      </c>
      <c r="C610" s="2" t="s">
        <v>39</v>
      </c>
      <c r="D610" s="2" t="s">
        <v>34</v>
      </c>
    </row>
    <row r="611" spans="1:4" ht="49.5">
      <c r="A611" s="2" t="s">
        <v>1125</v>
      </c>
      <c r="B611" s="2" t="s">
        <v>1126</v>
      </c>
      <c r="C611" s="2" t="s">
        <v>39</v>
      </c>
      <c r="D611" s="2" t="s">
        <v>31</v>
      </c>
    </row>
    <row r="612" spans="1:4" ht="49.5">
      <c r="A612" s="2" t="s">
        <v>1127</v>
      </c>
      <c r="B612" s="2" t="s">
        <v>1128</v>
      </c>
      <c r="C612" s="2" t="s">
        <v>39</v>
      </c>
      <c r="D612" s="2" t="s">
        <v>31</v>
      </c>
    </row>
    <row r="613" spans="1:4" ht="49.5">
      <c r="A613" s="2" t="s">
        <v>1129</v>
      </c>
      <c r="B613" s="2" t="s">
        <v>1130</v>
      </c>
      <c r="C613" s="2" t="s">
        <v>39</v>
      </c>
      <c r="D613" s="2" t="s">
        <v>31</v>
      </c>
    </row>
    <row r="614" spans="1:4" ht="49.5">
      <c r="A614" s="2" t="s">
        <v>1131</v>
      </c>
      <c r="B614" s="2" t="s">
        <v>1132</v>
      </c>
      <c r="C614" s="2" t="s">
        <v>39</v>
      </c>
      <c r="D614" s="2" t="s">
        <v>31</v>
      </c>
    </row>
    <row r="615" spans="1:4" ht="49.5">
      <c r="A615" s="2" t="s">
        <v>1133</v>
      </c>
      <c r="B615" s="2" t="s">
        <v>1134</v>
      </c>
      <c r="C615" s="2" t="s">
        <v>39</v>
      </c>
      <c r="D615" s="2" t="s">
        <v>31</v>
      </c>
    </row>
    <row r="616" spans="1:4" ht="49.5">
      <c r="A616" s="2" t="s">
        <v>1139</v>
      </c>
      <c r="B616" s="2" t="s">
        <v>1140</v>
      </c>
      <c r="C616" s="2" t="s">
        <v>39</v>
      </c>
      <c r="D616" s="2" t="s">
        <v>31</v>
      </c>
    </row>
    <row r="617" spans="1:4" ht="49.5">
      <c r="A617" s="2" t="s">
        <v>1141</v>
      </c>
      <c r="B617" s="2" t="s">
        <v>1142</v>
      </c>
      <c r="C617" s="2" t="s">
        <v>39</v>
      </c>
      <c r="D617" s="2" t="s">
        <v>31</v>
      </c>
    </row>
    <row r="618" spans="1:4" ht="49.5">
      <c r="A618" s="2" t="s">
        <v>1143</v>
      </c>
      <c r="B618" s="2" t="s">
        <v>1144</v>
      </c>
      <c r="C618" s="2" t="s">
        <v>39</v>
      </c>
      <c r="D618" s="2" t="s">
        <v>31</v>
      </c>
    </row>
    <row r="619" spans="1:4" ht="49.5">
      <c r="A619" s="2" t="s">
        <v>1147</v>
      </c>
      <c r="B619" s="2" t="s">
        <v>1148</v>
      </c>
      <c r="C619" s="2" t="s">
        <v>39</v>
      </c>
      <c r="D619" s="2" t="s">
        <v>31</v>
      </c>
    </row>
    <row r="620" spans="1:4" ht="49.5">
      <c r="A620" s="2" t="s">
        <v>1151</v>
      </c>
      <c r="B620" s="2" t="s">
        <v>1152</v>
      </c>
      <c r="C620" s="2" t="s">
        <v>39</v>
      </c>
      <c r="D620" s="2" t="s">
        <v>31</v>
      </c>
    </row>
    <row r="621" spans="1:4" ht="49.5">
      <c r="A621" s="2" t="s">
        <v>1161</v>
      </c>
      <c r="B621" s="2" t="s">
        <v>1162</v>
      </c>
      <c r="C621" s="2" t="s">
        <v>39</v>
      </c>
      <c r="D621" s="2" t="s">
        <v>31</v>
      </c>
    </row>
    <row r="622" spans="1:4" ht="49.5">
      <c r="A622" s="2" t="s">
        <v>1179</v>
      </c>
      <c r="B622" s="2" t="s">
        <v>1180</v>
      </c>
      <c r="C622" s="2" t="s">
        <v>39</v>
      </c>
      <c r="D622" s="2" t="s">
        <v>31</v>
      </c>
    </row>
    <row r="623" spans="1:4" ht="49.5">
      <c r="A623" s="2" t="s">
        <v>1181</v>
      </c>
      <c r="B623" s="2" t="s">
        <v>1182</v>
      </c>
      <c r="C623" s="2" t="s">
        <v>39</v>
      </c>
      <c r="D623" s="2" t="s">
        <v>31</v>
      </c>
    </row>
    <row r="624" spans="1:4" ht="33">
      <c r="A624" s="2" t="s">
        <v>1183</v>
      </c>
      <c r="B624" s="2" t="s">
        <v>1184</v>
      </c>
      <c r="C624" s="2" t="s">
        <v>39</v>
      </c>
      <c r="D624" s="2" t="s">
        <v>31</v>
      </c>
    </row>
    <row r="625" spans="1:4" ht="33">
      <c r="A625" s="2" t="s">
        <v>1185</v>
      </c>
      <c r="B625" s="2" t="s">
        <v>1186</v>
      </c>
      <c r="C625" s="2" t="s">
        <v>39</v>
      </c>
      <c r="D625" s="2" t="s">
        <v>31</v>
      </c>
    </row>
    <row r="626" spans="1:4" ht="33">
      <c r="A626" s="2" t="s">
        <v>1187</v>
      </c>
      <c r="B626" s="2" t="s">
        <v>1188</v>
      </c>
      <c r="C626" s="2" t="s">
        <v>39</v>
      </c>
      <c r="D626" s="2" t="s">
        <v>31</v>
      </c>
    </row>
    <row r="627" spans="1:4" ht="33">
      <c r="A627" s="2" t="s">
        <v>1189</v>
      </c>
      <c r="B627" s="2" t="s">
        <v>1190</v>
      </c>
      <c r="C627" s="2" t="s">
        <v>39</v>
      </c>
      <c r="D627" s="2" t="s">
        <v>31</v>
      </c>
    </row>
    <row r="628" spans="1:4" ht="49.5">
      <c r="A628" s="2" t="s">
        <v>1191</v>
      </c>
      <c r="B628" s="2" t="s">
        <v>1192</v>
      </c>
      <c r="C628" s="2" t="s">
        <v>39</v>
      </c>
      <c r="D628" s="2" t="s">
        <v>31</v>
      </c>
    </row>
    <row r="629" spans="1:4" ht="49.5">
      <c r="A629" s="2" t="s">
        <v>1203</v>
      </c>
      <c r="B629" s="2" t="s">
        <v>1204</v>
      </c>
      <c r="C629" s="2" t="s">
        <v>39</v>
      </c>
      <c r="D629" s="2" t="s">
        <v>31</v>
      </c>
    </row>
    <row r="630" spans="1:4" ht="33">
      <c r="A630" s="2" t="s">
        <v>1337</v>
      </c>
      <c r="B630" s="2" t="s">
        <v>1338</v>
      </c>
      <c r="C630" s="2" t="s">
        <v>39</v>
      </c>
      <c r="D630" s="2" t="s">
        <v>31</v>
      </c>
    </row>
    <row r="631" spans="1:4" ht="33">
      <c r="A631" s="2" t="s">
        <v>1339</v>
      </c>
      <c r="B631" s="2" t="s">
        <v>1340</v>
      </c>
      <c r="C631" s="2" t="s">
        <v>39</v>
      </c>
      <c r="D631" s="2" t="s">
        <v>31</v>
      </c>
    </row>
    <row r="632" spans="1:4" ht="33">
      <c r="A632" s="2" t="s">
        <v>1341</v>
      </c>
      <c r="B632" s="2" t="s">
        <v>1342</v>
      </c>
      <c r="C632" s="2" t="s">
        <v>39</v>
      </c>
      <c r="D632" s="2" t="s">
        <v>31</v>
      </c>
    </row>
    <row r="633" spans="1:4" ht="33">
      <c r="A633" s="2" t="s">
        <v>1343</v>
      </c>
      <c r="B633" s="2" t="s">
        <v>1344</v>
      </c>
      <c r="C633" s="2" t="s">
        <v>39</v>
      </c>
      <c r="D633" s="2" t="s">
        <v>31</v>
      </c>
    </row>
    <row r="634" spans="1:4" ht="49.5">
      <c r="A634" s="2" t="s">
        <v>1345</v>
      </c>
      <c r="B634" s="2" t="s">
        <v>1346</v>
      </c>
      <c r="C634" s="2" t="s">
        <v>39</v>
      </c>
      <c r="D634" s="2" t="s">
        <v>31</v>
      </c>
    </row>
    <row r="635" spans="1:4" ht="66">
      <c r="A635" s="2" t="s">
        <v>1359</v>
      </c>
      <c r="B635" s="2" t="s">
        <v>1360</v>
      </c>
      <c r="C635" s="2" t="s">
        <v>39</v>
      </c>
      <c r="D635" s="2" t="s">
        <v>34</v>
      </c>
    </row>
    <row r="636" spans="1:4" ht="49.5">
      <c r="A636" s="2" t="s">
        <v>1361</v>
      </c>
      <c r="B636" s="2" t="s">
        <v>1362</v>
      </c>
      <c r="C636" s="2" t="s">
        <v>39</v>
      </c>
      <c r="D636" s="2" t="s">
        <v>34</v>
      </c>
    </row>
    <row r="637" spans="1:4" ht="33">
      <c r="A637" s="2" t="s">
        <v>1363</v>
      </c>
      <c r="B637" s="2" t="s">
        <v>1364</v>
      </c>
      <c r="C637" s="2" t="s">
        <v>39</v>
      </c>
      <c r="D637" s="2" t="s">
        <v>31</v>
      </c>
    </row>
    <row r="638" spans="1:4" ht="33">
      <c r="A638" s="2" t="s">
        <v>1365</v>
      </c>
      <c r="B638" s="2" t="s">
        <v>1366</v>
      </c>
      <c r="C638" s="2" t="s">
        <v>39</v>
      </c>
      <c r="D638" s="2" t="s">
        <v>36</v>
      </c>
    </row>
    <row r="639" spans="1:4" ht="33">
      <c r="A639" s="2" t="s">
        <v>1367</v>
      </c>
      <c r="B639" s="2" t="s">
        <v>1368</v>
      </c>
      <c r="C639" s="2" t="s">
        <v>39</v>
      </c>
      <c r="D639" s="2" t="s">
        <v>31</v>
      </c>
    </row>
    <row r="640" spans="1:4" ht="33">
      <c r="A640" s="2" t="s">
        <v>1369</v>
      </c>
      <c r="B640" s="2" t="s">
        <v>1370</v>
      </c>
      <c r="C640" s="2" t="s">
        <v>39</v>
      </c>
      <c r="D640" s="2" t="s">
        <v>31</v>
      </c>
    </row>
    <row r="641" spans="1:4" ht="33">
      <c r="A641" s="2" t="s">
        <v>1371</v>
      </c>
      <c r="B641" s="2" t="s">
        <v>1372</v>
      </c>
      <c r="C641" s="2" t="s">
        <v>39</v>
      </c>
      <c r="D641" s="2" t="s">
        <v>31</v>
      </c>
    </row>
    <row r="642" spans="1:4" ht="33">
      <c r="A642" s="2" t="s">
        <v>1373</v>
      </c>
      <c r="B642" s="2" t="s">
        <v>1374</v>
      </c>
      <c r="C642" s="2" t="s">
        <v>39</v>
      </c>
      <c r="D642" s="2" t="s">
        <v>31</v>
      </c>
    </row>
    <row r="643" spans="1:4" ht="33">
      <c r="A643" s="2" t="s">
        <v>1375</v>
      </c>
      <c r="B643" s="2" t="s">
        <v>1376</v>
      </c>
      <c r="C643" s="2" t="s">
        <v>39</v>
      </c>
      <c r="D643" s="2" t="s">
        <v>31</v>
      </c>
    </row>
    <row r="644" spans="1:4" ht="49.5">
      <c r="A644" s="2" t="s">
        <v>1379</v>
      </c>
      <c r="B644" s="2" t="s">
        <v>1380</v>
      </c>
      <c r="C644" s="2" t="s">
        <v>39</v>
      </c>
      <c r="D644" s="2" t="s">
        <v>31</v>
      </c>
    </row>
    <row r="645" spans="1:4" ht="49.5">
      <c r="A645" s="2" t="s">
        <v>1381</v>
      </c>
      <c r="B645" s="2" t="s">
        <v>1382</v>
      </c>
      <c r="C645" s="2" t="s">
        <v>39</v>
      </c>
      <c r="D645" s="2" t="s">
        <v>31</v>
      </c>
    </row>
    <row r="646" spans="1:4" ht="49.5">
      <c r="A646" s="2" t="s">
        <v>1391</v>
      </c>
      <c r="B646" s="2" t="s">
        <v>1392</v>
      </c>
      <c r="C646" s="2" t="s">
        <v>39</v>
      </c>
      <c r="D646" s="2" t="s">
        <v>31</v>
      </c>
    </row>
    <row r="647" spans="1:4" ht="49.5">
      <c r="A647" s="2" t="s">
        <v>1393</v>
      </c>
      <c r="B647" s="2" t="s">
        <v>1394</v>
      </c>
      <c r="C647" s="2" t="s">
        <v>39</v>
      </c>
      <c r="D647" s="2" t="s">
        <v>31</v>
      </c>
    </row>
    <row r="648" spans="1:4" ht="49.5">
      <c r="A648" s="2" t="s">
        <v>1395</v>
      </c>
      <c r="B648" s="2" t="s">
        <v>1396</v>
      </c>
      <c r="C648" s="2" t="s">
        <v>39</v>
      </c>
      <c r="D648" s="2" t="s">
        <v>31</v>
      </c>
    </row>
    <row r="649" spans="1:4" ht="49.5">
      <c r="A649" s="2" t="s">
        <v>1463</v>
      </c>
      <c r="B649" s="2" t="s">
        <v>1464</v>
      </c>
      <c r="C649" s="2" t="s">
        <v>39</v>
      </c>
      <c r="D649" s="2" t="s">
        <v>31</v>
      </c>
    </row>
    <row r="650" spans="1:4" ht="49.5">
      <c r="A650" s="2" t="s">
        <v>1465</v>
      </c>
      <c r="B650" s="2" t="s">
        <v>1466</v>
      </c>
      <c r="C650" s="2" t="s">
        <v>39</v>
      </c>
      <c r="D650" s="2" t="s">
        <v>31</v>
      </c>
    </row>
    <row r="651" spans="1:4" ht="66">
      <c r="A651" s="2" t="s">
        <v>1467</v>
      </c>
      <c r="B651" s="2" t="s">
        <v>1468</v>
      </c>
      <c r="C651" s="2" t="s">
        <v>39</v>
      </c>
      <c r="D651" s="2" t="s">
        <v>31</v>
      </c>
    </row>
    <row r="652" spans="1:4" ht="49.5">
      <c r="A652" s="2" t="s">
        <v>1495</v>
      </c>
      <c r="B652" s="2" t="s">
        <v>1496</v>
      </c>
      <c r="C652" s="2" t="s">
        <v>39</v>
      </c>
      <c r="D652" s="2" t="s">
        <v>31</v>
      </c>
    </row>
    <row r="653" spans="1:4" ht="49.5">
      <c r="A653" s="2" t="s">
        <v>1499</v>
      </c>
      <c r="B653" s="2" t="s">
        <v>1500</v>
      </c>
      <c r="C653" s="2" t="s">
        <v>39</v>
      </c>
      <c r="D653" s="2" t="s">
        <v>31</v>
      </c>
    </row>
    <row r="654" spans="1:4" ht="49.5">
      <c r="A654" s="2" t="s">
        <v>1511</v>
      </c>
      <c r="B654" s="2" t="s">
        <v>1512</v>
      </c>
      <c r="C654" s="2" t="s">
        <v>39</v>
      </c>
      <c r="D654" s="2" t="s">
        <v>31</v>
      </c>
    </row>
    <row r="655" spans="1:4" ht="49.5">
      <c r="A655" s="2" t="s">
        <v>1513</v>
      </c>
      <c r="B655" s="2" t="s">
        <v>1514</v>
      </c>
      <c r="C655" s="2" t="s">
        <v>39</v>
      </c>
      <c r="D655" s="2" t="s">
        <v>31</v>
      </c>
    </row>
    <row r="656" spans="1:4" ht="49.5">
      <c r="A656" s="2" t="s">
        <v>1515</v>
      </c>
      <c r="B656" s="2" t="s">
        <v>1516</v>
      </c>
      <c r="C656" s="2" t="s">
        <v>39</v>
      </c>
      <c r="D656" s="2" t="s">
        <v>31</v>
      </c>
    </row>
    <row r="657" spans="1:4" ht="49.5">
      <c r="A657" s="2" t="s">
        <v>1517</v>
      </c>
      <c r="B657" s="2" t="s">
        <v>1518</v>
      </c>
      <c r="C657" s="2" t="s">
        <v>39</v>
      </c>
      <c r="D657" s="2" t="s">
        <v>31</v>
      </c>
    </row>
    <row r="658" spans="1:4" ht="49.5">
      <c r="A658" s="2" t="s">
        <v>1519</v>
      </c>
      <c r="B658" s="2" t="s">
        <v>1520</v>
      </c>
      <c r="C658" s="2" t="s">
        <v>39</v>
      </c>
      <c r="D658" s="2" t="s">
        <v>31</v>
      </c>
    </row>
    <row r="659" spans="1:4" ht="49.5">
      <c r="A659" s="2" t="s">
        <v>1521</v>
      </c>
      <c r="B659" s="2" t="s">
        <v>1522</v>
      </c>
      <c r="C659" s="2" t="s">
        <v>39</v>
      </c>
      <c r="D659" s="2" t="s">
        <v>31</v>
      </c>
    </row>
    <row r="660" spans="1:4" ht="49.5">
      <c r="A660" s="2" t="s">
        <v>1523</v>
      </c>
      <c r="B660" s="2" t="s">
        <v>1524</v>
      </c>
      <c r="C660" s="2" t="s">
        <v>39</v>
      </c>
      <c r="D660" s="2" t="s">
        <v>31</v>
      </c>
    </row>
    <row r="661" spans="1:4" ht="66">
      <c r="A661" s="2" t="s">
        <v>1527</v>
      </c>
      <c r="B661" s="2" t="s">
        <v>1528</v>
      </c>
      <c r="C661" s="2" t="s">
        <v>39</v>
      </c>
      <c r="D661" s="2" t="s">
        <v>31</v>
      </c>
    </row>
    <row r="662" spans="1:4" ht="49.5">
      <c r="A662" s="2" t="s">
        <v>1535</v>
      </c>
      <c r="B662" s="2" t="s">
        <v>1536</v>
      </c>
      <c r="C662" s="2" t="s">
        <v>39</v>
      </c>
      <c r="D662" s="2" t="s">
        <v>31</v>
      </c>
    </row>
    <row r="663" spans="1:4" ht="66">
      <c r="A663" s="2" t="s">
        <v>1539</v>
      </c>
      <c r="B663" s="2" t="s">
        <v>1540</v>
      </c>
      <c r="C663" s="2" t="s">
        <v>39</v>
      </c>
      <c r="D663" s="2" t="s">
        <v>31</v>
      </c>
    </row>
    <row r="664" spans="1:4" ht="49.5">
      <c r="A664" s="2" t="s">
        <v>1549</v>
      </c>
      <c r="B664" s="2" t="s">
        <v>1550</v>
      </c>
      <c r="C664" s="2" t="s">
        <v>39</v>
      </c>
      <c r="D664" s="2" t="s">
        <v>31</v>
      </c>
    </row>
    <row r="665" spans="1:4" ht="49.5">
      <c r="A665" s="2" t="s">
        <v>1551</v>
      </c>
      <c r="B665" s="2" t="s">
        <v>1552</v>
      </c>
      <c r="C665" s="2" t="s">
        <v>39</v>
      </c>
      <c r="D665" s="2" t="s">
        <v>31</v>
      </c>
    </row>
    <row r="666" spans="1:4" ht="49.5">
      <c r="A666" s="2" t="s">
        <v>1553</v>
      </c>
      <c r="B666" s="2" t="s">
        <v>1554</v>
      </c>
      <c r="C666" s="2" t="s">
        <v>39</v>
      </c>
      <c r="D666" s="2" t="s">
        <v>31</v>
      </c>
    </row>
    <row r="667" spans="1:4" ht="49.5">
      <c r="A667" s="2" t="s">
        <v>1555</v>
      </c>
      <c r="B667" s="2" t="s">
        <v>1556</v>
      </c>
      <c r="C667" s="2" t="s">
        <v>39</v>
      </c>
      <c r="D667" s="2" t="s">
        <v>31</v>
      </c>
    </row>
    <row r="668" spans="1:4" ht="49.5">
      <c r="A668" s="2" t="s">
        <v>1557</v>
      </c>
      <c r="B668" s="2" t="s">
        <v>1558</v>
      </c>
      <c r="C668" s="2" t="s">
        <v>39</v>
      </c>
      <c r="D668" s="2" t="s">
        <v>31</v>
      </c>
    </row>
    <row r="669" spans="1:4" ht="66">
      <c r="A669" s="2" t="s">
        <v>1559</v>
      </c>
      <c r="B669" s="2" t="s">
        <v>1560</v>
      </c>
      <c r="C669" s="2" t="s">
        <v>39</v>
      </c>
      <c r="D669" s="2" t="s">
        <v>31</v>
      </c>
    </row>
    <row r="670" spans="1:4" ht="66">
      <c r="A670" s="2" t="s">
        <v>1563</v>
      </c>
      <c r="B670" s="2" t="s">
        <v>1564</v>
      </c>
      <c r="C670" s="2" t="s">
        <v>39</v>
      </c>
      <c r="D670" s="2" t="s">
        <v>31</v>
      </c>
    </row>
    <row r="671" spans="1:4" ht="49.5">
      <c r="A671" s="2" t="s">
        <v>1569</v>
      </c>
      <c r="B671" s="2" t="s">
        <v>1570</v>
      </c>
      <c r="C671" s="2" t="s">
        <v>39</v>
      </c>
      <c r="D671" s="2" t="s">
        <v>31</v>
      </c>
    </row>
    <row r="672" spans="1:4" ht="49.5">
      <c r="A672" s="2" t="s">
        <v>1595</v>
      </c>
      <c r="B672" s="2" t="s">
        <v>1596</v>
      </c>
      <c r="C672" s="2" t="s">
        <v>39</v>
      </c>
      <c r="D672" s="2" t="s">
        <v>31</v>
      </c>
    </row>
    <row r="673" spans="1:4" ht="49.5">
      <c r="A673" s="2" t="s">
        <v>1597</v>
      </c>
      <c r="B673" s="2" t="s">
        <v>1598</v>
      </c>
      <c r="C673" s="2" t="s">
        <v>39</v>
      </c>
      <c r="D673" s="2" t="s">
        <v>31</v>
      </c>
    </row>
    <row r="674" spans="1:4" ht="49.5">
      <c r="A674" s="2" t="s">
        <v>1599</v>
      </c>
      <c r="B674" s="2" t="s">
        <v>1600</v>
      </c>
      <c r="C674" s="2" t="s">
        <v>39</v>
      </c>
      <c r="D674" s="2" t="s">
        <v>31</v>
      </c>
    </row>
    <row r="675" spans="1:4" ht="49.5">
      <c r="A675" s="2" t="s">
        <v>1611</v>
      </c>
      <c r="B675" s="2" t="s">
        <v>1612</v>
      </c>
      <c r="C675" s="2" t="s">
        <v>39</v>
      </c>
      <c r="D675" s="2" t="s">
        <v>31</v>
      </c>
    </row>
    <row r="676" spans="1:4" ht="49.5">
      <c r="A676" s="2" t="s">
        <v>1613</v>
      </c>
      <c r="B676" s="2" t="s">
        <v>1614</v>
      </c>
      <c r="C676" s="2" t="s">
        <v>39</v>
      </c>
      <c r="D676" s="2" t="s">
        <v>31</v>
      </c>
    </row>
    <row r="677" spans="1:4" ht="49.5">
      <c r="A677" s="2" t="s">
        <v>1615</v>
      </c>
      <c r="B677" s="2" t="s">
        <v>1616</v>
      </c>
      <c r="C677" s="2" t="s">
        <v>39</v>
      </c>
      <c r="D677" s="2" t="s">
        <v>31</v>
      </c>
    </row>
    <row r="678" spans="1:4" ht="49.5">
      <c r="A678" s="2" t="s">
        <v>1617</v>
      </c>
      <c r="B678" s="2" t="s">
        <v>1618</v>
      </c>
      <c r="C678" s="2" t="s">
        <v>39</v>
      </c>
      <c r="D678" s="2" t="s">
        <v>31</v>
      </c>
    </row>
    <row r="679" spans="1:4" ht="49.5">
      <c r="A679" s="2" t="s">
        <v>1619</v>
      </c>
      <c r="B679" s="2" t="s">
        <v>1620</v>
      </c>
      <c r="C679" s="2" t="s">
        <v>39</v>
      </c>
      <c r="D679" s="2" t="s">
        <v>31</v>
      </c>
    </row>
    <row r="680" spans="1:4" ht="49.5">
      <c r="A680" s="2" t="s">
        <v>1621</v>
      </c>
      <c r="B680" s="2" t="s">
        <v>1622</v>
      </c>
      <c r="C680" s="2" t="s">
        <v>39</v>
      </c>
      <c r="D680" s="2" t="s">
        <v>31</v>
      </c>
    </row>
    <row r="681" spans="1:4" ht="49.5">
      <c r="A681" s="2" t="s">
        <v>1623</v>
      </c>
      <c r="B681" s="2" t="s">
        <v>1624</v>
      </c>
      <c r="C681" s="2" t="s">
        <v>39</v>
      </c>
      <c r="D681" s="2" t="s">
        <v>31</v>
      </c>
    </row>
    <row r="682" spans="1:4" ht="49.5">
      <c r="A682" s="2" t="s">
        <v>1625</v>
      </c>
      <c r="B682" s="2" t="s">
        <v>1626</v>
      </c>
      <c r="C682" s="2" t="s">
        <v>39</v>
      </c>
      <c r="D682" s="2" t="s">
        <v>31</v>
      </c>
    </row>
    <row r="683" spans="1:4" ht="49.5">
      <c r="A683" s="2" t="s">
        <v>1627</v>
      </c>
      <c r="B683" s="2" t="s">
        <v>1628</v>
      </c>
      <c r="C683" s="2" t="s">
        <v>39</v>
      </c>
      <c r="D683" s="2" t="s">
        <v>31</v>
      </c>
    </row>
    <row r="684" spans="1:4" ht="49.5">
      <c r="A684" s="2" t="s">
        <v>1629</v>
      </c>
      <c r="B684" s="2" t="s">
        <v>1630</v>
      </c>
      <c r="C684" s="2" t="s">
        <v>39</v>
      </c>
      <c r="D684" s="2" t="s">
        <v>31</v>
      </c>
    </row>
    <row r="685" spans="1:4" ht="49.5">
      <c r="A685" s="2" t="s">
        <v>1631</v>
      </c>
      <c r="B685" s="2" t="s">
        <v>1632</v>
      </c>
      <c r="C685" s="2" t="s">
        <v>39</v>
      </c>
      <c r="D685" s="2" t="s">
        <v>31</v>
      </c>
    </row>
    <row r="686" spans="1:4" ht="49.5">
      <c r="A686" s="2" t="s">
        <v>1633</v>
      </c>
      <c r="B686" s="2" t="s">
        <v>1634</v>
      </c>
      <c r="C686" s="2" t="s">
        <v>39</v>
      </c>
      <c r="D686" s="2" t="s">
        <v>31</v>
      </c>
    </row>
    <row r="687" spans="1:4" ht="49.5">
      <c r="A687" s="2" t="s">
        <v>1635</v>
      </c>
      <c r="B687" s="2" t="s">
        <v>1636</v>
      </c>
      <c r="C687" s="2" t="s">
        <v>39</v>
      </c>
      <c r="D687" s="2" t="s">
        <v>31</v>
      </c>
    </row>
    <row r="688" spans="1:4" ht="49.5">
      <c r="A688" s="2" t="s">
        <v>1637</v>
      </c>
      <c r="B688" s="2" t="s">
        <v>1638</v>
      </c>
      <c r="C688" s="2" t="s">
        <v>39</v>
      </c>
      <c r="D688" s="2" t="s">
        <v>31</v>
      </c>
    </row>
    <row r="689" spans="1:4" ht="49.5">
      <c r="A689" s="2" t="s">
        <v>1639</v>
      </c>
      <c r="B689" s="2" t="s">
        <v>1640</v>
      </c>
      <c r="C689" s="2" t="s">
        <v>39</v>
      </c>
      <c r="D689" s="2" t="s">
        <v>31</v>
      </c>
    </row>
    <row r="690" spans="1:4" ht="49.5">
      <c r="A690" s="2" t="s">
        <v>1641</v>
      </c>
      <c r="B690" s="2" t="s">
        <v>1642</v>
      </c>
      <c r="C690" s="2" t="s">
        <v>39</v>
      </c>
      <c r="D690" s="2" t="s">
        <v>31</v>
      </c>
    </row>
    <row r="691" spans="1:4" ht="49.5">
      <c r="A691" s="2" t="s">
        <v>1643</v>
      </c>
      <c r="B691" s="2" t="s">
        <v>1644</v>
      </c>
      <c r="C691" s="2" t="s">
        <v>39</v>
      </c>
      <c r="D691" s="2" t="s">
        <v>31</v>
      </c>
    </row>
    <row r="692" spans="1:4" ht="49.5">
      <c r="A692" s="2" t="s">
        <v>1645</v>
      </c>
      <c r="B692" s="2" t="s">
        <v>1646</v>
      </c>
      <c r="C692" s="2" t="s">
        <v>39</v>
      </c>
      <c r="D692" s="2" t="s">
        <v>31</v>
      </c>
    </row>
    <row r="693" spans="1:4" ht="49.5">
      <c r="A693" s="2" t="s">
        <v>1647</v>
      </c>
      <c r="B693" s="2" t="s">
        <v>1648</v>
      </c>
      <c r="C693" s="2" t="s">
        <v>39</v>
      </c>
      <c r="D693" s="2" t="s">
        <v>31</v>
      </c>
    </row>
    <row r="694" spans="1:4" ht="49.5">
      <c r="A694" s="2" t="s">
        <v>1649</v>
      </c>
      <c r="B694" s="2" t="s">
        <v>1650</v>
      </c>
      <c r="C694" s="2" t="s">
        <v>39</v>
      </c>
      <c r="D694" s="2" t="s">
        <v>31</v>
      </c>
    </row>
    <row r="695" spans="1:4" ht="49.5">
      <c r="A695" s="2" t="s">
        <v>1651</v>
      </c>
      <c r="B695" s="2" t="s">
        <v>1652</v>
      </c>
      <c r="C695" s="2" t="s">
        <v>39</v>
      </c>
      <c r="D695" s="2" t="s">
        <v>31</v>
      </c>
    </row>
    <row r="696" spans="1:4" ht="49.5">
      <c r="A696" s="2" t="s">
        <v>1653</v>
      </c>
      <c r="B696" s="2" t="s">
        <v>1654</v>
      </c>
      <c r="C696" s="2" t="s">
        <v>39</v>
      </c>
      <c r="D696" s="2" t="s">
        <v>31</v>
      </c>
    </row>
    <row r="697" spans="1:4" ht="49.5">
      <c r="A697" s="2" t="s">
        <v>1659</v>
      </c>
      <c r="B697" s="2" t="s">
        <v>1660</v>
      </c>
      <c r="C697" s="2" t="s">
        <v>39</v>
      </c>
      <c r="D697" s="2" t="s">
        <v>31</v>
      </c>
    </row>
    <row r="698" spans="1:4" ht="49.5">
      <c r="A698" s="2" t="s">
        <v>1661</v>
      </c>
      <c r="B698" s="2" t="s">
        <v>1662</v>
      </c>
      <c r="C698" s="2" t="s">
        <v>39</v>
      </c>
      <c r="D698" s="2" t="s">
        <v>31</v>
      </c>
    </row>
    <row r="699" spans="1:4" ht="49.5">
      <c r="A699" s="2" t="s">
        <v>1663</v>
      </c>
      <c r="B699" s="2" t="s">
        <v>1664</v>
      </c>
      <c r="C699" s="2" t="s">
        <v>39</v>
      </c>
      <c r="D699" s="2" t="s">
        <v>31</v>
      </c>
    </row>
    <row r="700" spans="1:4" ht="49.5">
      <c r="A700" s="2" t="s">
        <v>1665</v>
      </c>
      <c r="B700" s="2" t="s">
        <v>1666</v>
      </c>
      <c r="C700" s="2" t="s">
        <v>39</v>
      </c>
      <c r="D700" s="2" t="s">
        <v>31</v>
      </c>
    </row>
    <row r="701" spans="1:4" ht="49.5">
      <c r="A701" s="2" t="s">
        <v>1667</v>
      </c>
      <c r="B701" s="2" t="s">
        <v>1668</v>
      </c>
      <c r="C701" s="2" t="s">
        <v>39</v>
      </c>
      <c r="D701" s="2" t="s">
        <v>31</v>
      </c>
    </row>
    <row r="702" spans="1:4" ht="49.5">
      <c r="A702" s="2" t="s">
        <v>1671</v>
      </c>
      <c r="B702" s="2" t="s">
        <v>1672</v>
      </c>
      <c r="C702" s="2" t="s">
        <v>39</v>
      </c>
      <c r="D702" s="2" t="s">
        <v>31</v>
      </c>
    </row>
    <row r="703" spans="1:4" ht="49.5">
      <c r="A703" s="2" t="s">
        <v>1691</v>
      </c>
      <c r="B703" s="2" t="s">
        <v>1692</v>
      </c>
      <c r="C703" s="2" t="s">
        <v>39</v>
      </c>
      <c r="D703" s="2" t="s">
        <v>31</v>
      </c>
    </row>
    <row r="704" spans="1:4" ht="49.5">
      <c r="A704" s="2" t="s">
        <v>1693</v>
      </c>
      <c r="B704" s="2" t="s">
        <v>1694</v>
      </c>
      <c r="C704" s="2" t="s">
        <v>39</v>
      </c>
      <c r="D704" s="2" t="s">
        <v>31</v>
      </c>
    </row>
    <row r="705" spans="1:4" ht="49.5">
      <c r="A705" s="2" t="s">
        <v>1695</v>
      </c>
      <c r="B705" s="2" t="s">
        <v>1696</v>
      </c>
      <c r="C705" s="2" t="s">
        <v>39</v>
      </c>
      <c r="D705" s="2" t="s">
        <v>31</v>
      </c>
    </row>
    <row r="706" spans="1:4" ht="49.5">
      <c r="A706" s="2" t="s">
        <v>1697</v>
      </c>
      <c r="B706" s="2" t="s">
        <v>1698</v>
      </c>
      <c r="C706" s="2" t="s">
        <v>39</v>
      </c>
      <c r="D706" s="2" t="s">
        <v>31</v>
      </c>
    </row>
    <row r="707" spans="1:4" ht="49.5">
      <c r="A707" s="2" t="s">
        <v>1699</v>
      </c>
      <c r="B707" s="2" t="s">
        <v>1700</v>
      </c>
      <c r="C707" s="2" t="s">
        <v>39</v>
      </c>
      <c r="D707" s="2" t="s">
        <v>31</v>
      </c>
    </row>
    <row r="708" spans="1:4" ht="49.5">
      <c r="A708" s="2" t="s">
        <v>1701</v>
      </c>
      <c r="B708" s="2" t="s">
        <v>1702</v>
      </c>
      <c r="C708" s="2" t="s">
        <v>39</v>
      </c>
      <c r="D708" s="2" t="s">
        <v>31</v>
      </c>
    </row>
    <row r="709" spans="1:4" ht="49.5">
      <c r="A709" s="2" t="s">
        <v>1703</v>
      </c>
      <c r="B709" s="2" t="s">
        <v>1704</v>
      </c>
      <c r="C709" s="2" t="s">
        <v>39</v>
      </c>
      <c r="D709" s="2" t="s">
        <v>31</v>
      </c>
    </row>
    <row r="710" spans="1:4" ht="49.5">
      <c r="A710" s="2" t="s">
        <v>1705</v>
      </c>
      <c r="B710" s="2" t="s">
        <v>1706</v>
      </c>
      <c r="C710" s="2" t="s">
        <v>39</v>
      </c>
      <c r="D710" s="2" t="s">
        <v>31</v>
      </c>
    </row>
    <row r="711" spans="1:4" ht="49.5">
      <c r="A711" s="2" t="s">
        <v>1707</v>
      </c>
      <c r="B711" s="2" t="s">
        <v>1708</v>
      </c>
      <c r="C711" s="2" t="s">
        <v>39</v>
      </c>
      <c r="D711" s="2" t="s">
        <v>31</v>
      </c>
    </row>
    <row r="712" spans="1:4" ht="49.5">
      <c r="A712" s="2" t="s">
        <v>1709</v>
      </c>
      <c r="B712" s="2" t="s">
        <v>1710</v>
      </c>
      <c r="C712" s="2" t="s">
        <v>39</v>
      </c>
      <c r="D712" s="2" t="s">
        <v>31</v>
      </c>
    </row>
    <row r="713" spans="1:4" ht="49.5">
      <c r="A713" s="2" t="s">
        <v>1711</v>
      </c>
      <c r="B713" s="2" t="s">
        <v>1712</v>
      </c>
      <c r="C713" s="2" t="s">
        <v>39</v>
      </c>
      <c r="D713" s="2" t="s">
        <v>31</v>
      </c>
    </row>
    <row r="714" spans="1:4" ht="49.5">
      <c r="A714" s="2" t="s">
        <v>1713</v>
      </c>
      <c r="B714" s="2" t="s">
        <v>1714</v>
      </c>
      <c r="C714" s="2" t="s">
        <v>39</v>
      </c>
      <c r="D714" s="2" t="s">
        <v>31</v>
      </c>
    </row>
    <row r="715" spans="1:4" ht="49.5">
      <c r="A715" s="2" t="s">
        <v>1715</v>
      </c>
      <c r="B715" s="2" t="s">
        <v>1716</v>
      </c>
      <c r="C715" s="2" t="s">
        <v>39</v>
      </c>
      <c r="D715" s="2" t="s">
        <v>31</v>
      </c>
    </row>
    <row r="716" spans="1:4" ht="49.5">
      <c r="A716" s="2" t="s">
        <v>1717</v>
      </c>
      <c r="B716" s="2" t="s">
        <v>1718</v>
      </c>
      <c r="C716" s="2" t="s">
        <v>39</v>
      </c>
      <c r="D716" s="2" t="s">
        <v>31</v>
      </c>
    </row>
    <row r="717" spans="1:4" ht="49.5">
      <c r="A717" s="2" t="s">
        <v>1719</v>
      </c>
      <c r="B717" s="2" t="s">
        <v>1720</v>
      </c>
      <c r="C717" s="2" t="s">
        <v>39</v>
      </c>
      <c r="D717" s="2" t="s">
        <v>31</v>
      </c>
    </row>
    <row r="718" spans="1:4" ht="49.5">
      <c r="A718" s="2" t="s">
        <v>1721</v>
      </c>
      <c r="B718" s="2" t="s">
        <v>1722</v>
      </c>
      <c r="C718" s="2" t="s">
        <v>39</v>
      </c>
      <c r="D718" s="2" t="s">
        <v>31</v>
      </c>
    </row>
    <row r="719" spans="1:4" ht="49.5">
      <c r="A719" s="2" t="s">
        <v>1723</v>
      </c>
      <c r="B719" s="2" t="s">
        <v>1724</v>
      </c>
      <c r="C719" s="2" t="s">
        <v>39</v>
      </c>
      <c r="D719" s="2" t="s">
        <v>31</v>
      </c>
    </row>
    <row r="720" spans="1:4" ht="49.5">
      <c r="A720" s="2" t="s">
        <v>1725</v>
      </c>
      <c r="B720" s="2" t="s">
        <v>1726</v>
      </c>
      <c r="C720" s="2" t="s">
        <v>39</v>
      </c>
      <c r="D720" s="2" t="s">
        <v>31</v>
      </c>
    </row>
    <row r="721" spans="1:4" ht="49.5">
      <c r="A721" s="2" t="s">
        <v>1727</v>
      </c>
      <c r="B721" s="2" t="s">
        <v>1728</v>
      </c>
      <c r="C721" s="2" t="s">
        <v>39</v>
      </c>
      <c r="D721" s="2" t="s">
        <v>31</v>
      </c>
    </row>
    <row r="722" spans="1:4" ht="49.5">
      <c r="A722" s="2" t="s">
        <v>1729</v>
      </c>
      <c r="B722" s="2" t="s">
        <v>1730</v>
      </c>
      <c r="C722" s="2" t="s">
        <v>39</v>
      </c>
      <c r="D722" s="2" t="s">
        <v>36</v>
      </c>
    </row>
    <row r="723" spans="1:4" ht="49.5">
      <c r="A723" s="2" t="s">
        <v>287</v>
      </c>
      <c r="B723" s="2" t="s">
        <v>288</v>
      </c>
      <c r="C723" s="2" t="s">
        <v>268</v>
      </c>
      <c r="D723" s="2" t="s">
        <v>36</v>
      </c>
    </row>
    <row r="724" spans="1:4" ht="49.5">
      <c r="A724" s="2" t="s">
        <v>289</v>
      </c>
      <c r="B724" s="2" t="s">
        <v>290</v>
      </c>
      <c r="C724" s="2" t="s">
        <v>268</v>
      </c>
      <c r="D724" s="2" t="s">
        <v>34</v>
      </c>
    </row>
    <row r="725" spans="1:4" ht="49.5">
      <c r="A725" s="2" t="s">
        <v>291</v>
      </c>
      <c r="B725" s="2" t="s">
        <v>292</v>
      </c>
      <c r="C725" s="2" t="s">
        <v>268</v>
      </c>
      <c r="D725" s="2" t="s">
        <v>34</v>
      </c>
    </row>
    <row r="726" spans="1:4" ht="49.5">
      <c r="A726" s="2" t="s">
        <v>293</v>
      </c>
      <c r="B726" s="2" t="s">
        <v>294</v>
      </c>
      <c r="C726" s="2" t="s">
        <v>268</v>
      </c>
      <c r="D726" s="2" t="s">
        <v>34</v>
      </c>
    </row>
    <row r="727" spans="1:4" ht="33">
      <c r="A727" s="2" t="s">
        <v>301</v>
      </c>
      <c r="B727" s="2" t="s">
        <v>302</v>
      </c>
      <c r="C727" s="2" t="s">
        <v>268</v>
      </c>
      <c r="D727" s="2" t="s">
        <v>34</v>
      </c>
    </row>
    <row r="728" spans="1:4" ht="49.5">
      <c r="A728" s="2" t="s">
        <v>307</v>
      </c>
      <c r="B728" s="2" t="s">
        <v>308</v>
      </c>
      <c r="C728" s="2" t="s">
        <v>268</v>
      </c>
      <c r="D728" s="2" t="s">
        <v>31</v>
      </c>
    </row>
    <row r="729" spans="1:4" ht="49.5">
      <c r="A729" s="2" t="s">
        <v>313</v>
      </c>
      <c r="B729" s="2" t="s">
        <v>314</v>
      </c>
      <c r="C729" s="2" t="s">
        <v>268</v>
      </c>
      <c r="D729" s="2" t="s">
        <v>31</v>
      </c>
    </row>
    <row r="730" spans="1:4" ht="49.5">
      <c r="A730" s="2" t="s">
        <v>337</v>
      </c>
      <c r="B730" s="2" t="s">
        <v>338</v>
      </c>
      <c r="C730" s="2" t="s">
        <v>268</v>
      </c>
      <c r="D730" s="2" t="s">
        <v>36</v>
      </c>
    </row>
    <row r="731" spans="1:4" ht="49.5">
      <c r="A731" s="2" t="s">
        <v>355</v>
      </c>
      <c r="B731" s="2" t="s">
        <v>356</v>
      </c>
      <c r="C731" s="2" t="s">
        <v>268</v>
      </c>
      <c r="D731" s="2" t="s">
        <v>31</v>
      </c>
    </row>
    <row r="732" spans="1:4" ht="49.5">
      <c r="A732" s="2" t="s">
        <v>383</v>
      </c>
      <c r="B732" s="2" t="s">
        <v>384</v>
      </c>
      <c r="C732" s="2" t="s">
        <v>268</v>
      </c>
      <c r="D732" s="2" t="s">
        <v>34</v>
      </c>
    </row>
    <row r="733" spans="1:4" ht="49.5">
      <c r="A733" s="2" t="s">
        <v>397</v>
      </c>
      <c r="B733" s="2" t="s">
        <v>398</v>
      </c>
      <c r="C733" s="2" t="s">
        <v>268</v>
      </c>
      <c r="D733" s="2" t="s">
        <v>31</v>
      </c>
    </row>
    <row r="734" spans="1:4" ht="49.5">
      <c r="A734" s="2" t="s">
        <v>399</v>
      </c>
      <c r="B734" s="2" t="s">
        <v>400</v>
      </c>
      <c r="C734" s="2" t="s">
        <v>268</v>
      </c>
      <c r="D734" s="2" t="s">
        <v>36</v>
      </c>
    </row>
    <row r="735" spans="1:4" ht="49.5">
      <c r="A735" s="2" t="s">
        <v>527</v>
      </c>
      <c r="B735" s="2" t="s">
        <v>528</v>
      </c>
      <c r="C735" s="2" t="s">
        <v>268</v>
      </c>
      <c r="D735" s="2" t="s">
        <v>31</v>
      </c>
    </row>
    <row r="736" spans="1:4" ht="49.5">
      <c r="A736" s="2" t="s">
        <v>589</v>
      </c>
      <c r="B736" s="2" t="s">
        <v>590</v>
      </c>
      <c r="C736" s="2" t="s">
        <v>268</v>
      </c>
      <c r="D736" s="2" t="s">
        <v>31</v>
      </c>
    </row>
    <row r="737" spans="1:4" ht="49.5">
      <c r="A737" s="2" t="s">
        <v>591</v>
      </c>
      <c r="B737" s="2" t="s">
        <v>592</v>
      </c>
      <c r="C737" s="2" t="s">
        <v>268</v>
      </c>
      <c r="D737" s="2" t="s">
        <v>31</v>
      </c>
    </row>
    <row r="738" spans="1:4" ht="49.5">
      <c r="A738" s="2" t="s">
        <v>593</v>
      </c>
      <c r="B738" s="2" t="s">
        <v>594</v>
      </c>
      <c r="C738" s="2" t="s">
        <v>268</v>
      </c>
      <c r="D738" s="2" t="s">
        <v>31</v>
      </c>
    </row>
    <row r="739" spans="1:4" ht="49.5">
      <c r="A739" s="2" t="s">
        <v>595</v>
      </c>
      <c r="B739" s="2" t="s">
        <v>596</v>
      </c>
      <c r="C739" s="2" t="s">
        <v>268</v>
      </c>
      <c r="D739" s="2" t="s">
        <v>31</v>
      </c>
    </row>
    <row r="740" spans="1:4" ht="49.5">
      <c r="A740" s="2" t="s">
        <v>597</v>
      </c>
      <c r="B740" s="2" t="s">
        <v>598</v>
      </c>
      <c r="C740" s="2" t="s">
        <v>268</v>
      </c>
      <c r="D740" s="2" t="s">
        <v>31</v>
      </c>
    </row>
    <row r="741" spans="1:4" ht="49.5">
      <c r="A741" s="2" t="s">
        <v>599</v>
      </c>
      <c r="B741" s="2" t="s">
        <v>600</v>
      </c>
      <c r="C741" s="2" t="s">
        <v>268</v>
      </c>
      <c r="D741" s="2" t="s">
        <v>31</v>
      </c>
    </row>
    <row r="742" spans="1:4" ht="49.5">
      <c r="A742" s="2" t="s">
        <v>601</v>
      </c>
      <c r="B742" s="2" t="s">
        <v>602</v>
      </c>
      <c r="C742" s="2" t="s">
        <v>268</v>
      </c>
      <c r="D742" s="2" t="s">
        <v>31</v>
      </c>
    </row>
    <row r="743" spans="1:4" ht="49.5">
      <c r="A743" s="2" t="s">
        <v>603</v>
      </c>
      <c r="B743" s="2" t="s">
        <v>604</v>
      </c>
      <c r="C743" s="2" t="s">
        <v>268</v>
      </c>
      <c r="D743" s="2" t="s">
        <v>31</v>
      </c>
    </row>
    <row r="744" spans="1:4" ht="66">
      <c r="A744" s="2" t="s">
        <v>629</v>
      </c>
      <c r="B744" s="2" t="s">
        <v>630</v>
      </c>
      <c r="C744" s="2" t="s">
        <v>268</v>
      </c>
      <c r="D744" s="2" t="s">
        <v>31</v>
      </c>
    </row>
    <row r="745" spans="1:4" ht="66">
      <c r="A745" s="2" t="s">
        <v>633</v>
      </c>
      <c r="B745" s="2" t="s">
        <v>634</v>
      </c>
      <c r="C745" s="2" t="s">
        <v>268</v>
      </c>
      <c r="D745" s="2" t="s">
        <v>31</v>
      </c>
    </row>
    <row r="746" spans="1:4" ht="66">
      <c r="A746" s="2" t="s">
        <v>635</v>
      </c>
      <c r="B746" s="2" t="s">
        <v>636</v>
      </c>
      <c r="C746" s="2" t="s">
        <v>268</v>
      </c>
      <c r="D746" s="2" t="s">
        <v>31</v>
      </c>
    </row>
    <row r="747" spans="1:4" ht="66">
      <c r="A747" s="2" t="s">
        <v>637</v>
      </c>
      <c r="B747" s="2" t="s">
        <v>638</v>
      </c>
      <c r="C747" s="2" t="s">
        <v>268</v>
      </c>
      <c r="D747" s="2" t="s">
        <v>31</v>
      </c>
    </row>
    <row r="748" spans="1:4" ht="66">
      <c r="A748" s="2" t="s">
        <v>643</v>
      </c>
      <c r="B748" s="2" t="s">
        <v>644</v>
      </c>
      <c r="C748" s="2" t="s">
        <v>268</v>
      </c>
      <c r="D748" s="2" t="s">
        <v>34</v>
      </c>
    </row>
    <row r="749" spans="1:4" ht="66">
      <c r="A749" s="2" t="s">
        <v>645</v>
      </c>
      <c r="B749" s="2" t="s">
        <v>646</v>
      </c>
      <c r="C749" s="2" t="s">
        <v>268</v>
      </c>
      <c r="D749" s="2" t="s">
        <v>31</v>
      </c>
    </row>
    <row r="750" spans="1:4" ht="66">
      <c r="A750" s="2" t="s">
        <v>647</v>
      </c>
      <c r="B750" s="2" t="s">
        <v>648</v>
      </c>
      <c r="C750" s="2" t="s">
        <v>268</v>
      </c>
      <c r="D750" s="2" t="s">
        <v>31</v>
      </c>
    </row>
    <row r="751" spans="1:4" ht="66">
      <c r="A751" s="2" t="s">
        <v>649</v>
      </c>
      <c r="B751" s="2" t="s">
        <v>650</v>
      </c>
      <c r="C751" s="2" t="s">
        <v>268</v>
      </c>
      <c r="D751" s="2" t="s">
        <v>31</v>
      </c>
    </row>
    <row r="752" spans="1:4" ht="66">
      <c r="A752" s="2" t="s">
        <v>651</v>
      </c>
      <c r="B752" s="2" t="s">
        <v>652</v>
      </c>
      <c r="C752" s="2" t="s">
        <v>268</v>
      </c>
      <c r="D752" s="2" t="s">
        <v>31</v>
      </c>
    </row>
    <row r="753" spans="1:4" ht="66">
      <c r="A753" s="2" t="s">
        <v>653</v>
      </c>
      <c r="B753" s="2" t="s">
        <v>654</v>
      </c>
      <c r="C753" s="2" t="s">
        <v>268</v>
      </c>
      <c r="D753" s="2" t="s">
        <v>31</v>
      </c>
    </row>
    <row r="754" spans="1:4" ht="66">
      <c r="A754" s="2" t="s">
        <v>655</v>
      </c>
      <c r="B754" s="2" t="s">
        <v>656</v>
      </c>
      <c r="C754" s="2" t="s">
        <v>268</v>
      </c>
      <c r="D754" s="2" t="s">
        <v>31</v>
      </c>
    </row>
    <row r="755" spans="1:4" ht="66">
      <c r="A755" s="2" t="s">
        <v>657</v>
      </c>
      <c r="B755" s="2" t="s">
        <v>658</v>
      </c>
      <c r="C755" s="2" t="s">
        <v>268</v>
      </c>
      <c r="D755" s="2" t="s">
        <v>31</v>
      </c>
    </row>
    <row r="756" spans="1:4" ht="66">
      <c r="A756" s="2" t="s">
        <v>659</v>
      </c>
      <c r="B756" s="2" t="s">
        <v>660</v>
      </c>
      <c r="C756" s="2" t="s">
        <v>268</v>
      </c>
      <c r="D756" s="2" t="s">
        <v>31</v>
      </c>
    </row>
    <row r="757" spans="1:4" ht="66">
      <c r="A757" s="2" t="s">
        <v>661</v>
      </c>
      <c r="B757" s="2" t="s">
        <v>662</v>
      </c>
      <c r="C757" s="2" t="s">
        <v>268</v>
      </c>
      <c r="D757" s="2" t="s">
        <v>31</v>
      </c>
    </row>
    <row r="758" spans="1:4" ht="66">
      <c r="A758" s="2" t="s">
        <v>665</v>
      </c>
      <c r="B758" s="2" t="s">
        <v>666</v>
      </c>
      <c r="C758" s="2" t="s">
        <v>268</v>
      </c>
      <c r="D758" s="2" t="s">
        <v>31</v>
      </c>
    </row>
    <row r="759" spans="1:4" ht="66">
      <c r="A759" s="2" t="s">
        <v>667</v>
      </c>
      <c r="B759" s="2" t="s">
        <v>668</v>
      </c>
      <c r="C759" s="2" t="s">
        <v>268</v>
      </c>
      <c r="D759" s="2" t="s">
        <v>31</v>
      </c>
    </row>
    <row r="760" spans="1:4" ht="66">
      <c r="A760" s="2" t="s">
        <v>669</v>
      </c>
      <c r="B760" s="2" t="s">
        <v>670</v>
      </c>
      <c r="C760" s="2" t="s">
        <v>268</v>
      </c>
      <c r="D760" s="2" t="s">
        <v>31</v>
      </c>
    </row>
    <row r="761" spans="1:4" ht="66">
      <c r="A761" s="2" t="s">
        <v>671</v>
      </c>
      <c r="B761" s="2" t="s">
        <v>672</v>
      </c>
      <c r="C761" s="2" t="s">
        <v>268</v>
      </c>
      <c r="D761" s="2" t="s">
        <v>31</v>
      </c>
    </row>
    <row r="762" spans="1:4" ht="66">
      <c r="A762" s="2" t="s">
        <v>673</v>
      </c>
      <c r="B762" s="2" t="s">
        <v>674</v>
      </c>
      <c r="C762" s="2" t="s">
        <v>268</v>
      </c>
      <c r="D762" s="2" t="s">
        <v>31</v>
      </c>
    </row>
    <row r="763" spans="1:4" ht="66">
      <c r="A763" s="2" t="s">
        <v>675</v>
      </c>
      <c r="B763" s="2" t="s">
        <v>676</v>
      </c>
      <c r="C763" s="2" t="s">
        <v>268</v>
      </c>
      <c r="D763" s="2" t="s">
        <v>31</v>
      </c>
    </row>
    <row r="764" spans="1:4" ht="33">
      <c r="A764" s="2" t="s">
        <v>685</v>
      </c>
      <c r="B764" s="2" t="s">
        <v>686</v>
      </c>
      <c r="C764" s="2" t="s">
        <v>268</v>
      </c>
      <c r="D764" s="2" t="s">
        <v>34</v>
      </c>
    </row>
    <row r="765" spans="1:4" ht="66">
      <c r="A765" s="2" t="s">
        <v>803</v>
      </c>
      <c r="B765" s="2" t="s">
        <v>804</v>
      </c>
      <c r="C765" s="2" t="s">
        <v>268</v>
      </c>
      <c r="D765" s="2" t="s">
        <v>31</v>
      </c>
    </row>
    <row r="766" spans="1:4" ht="66">
      <c r="A766" s="2" t="s">
        <v>805</v>
      </c>
      <c r="B766" s="2" t="s">
        <v>806</v>
      </c>
      <c r="C766" s="2" t="s">
        <v>268</v>
      </c>
      <c r="D766" s="2" t="s">
        <v>31</v>
      </c>
    </row>
    <row r="767" spans="1:4" ht="66">
      <c r="A767" s="2" t="s">
        <v>807</v>
      </c>
      <c r="B767" s="2" t="s">
        <v>808</v>
      </c>
      <c r="C767" s="2" t="s">
        <v>268</v>
      </c>
      <c r="D767" s="2" t="s">
        <v>31</v>
      </c>
    </row>
    <row r="768" spans="1:4" ht="66">
      <c r="A768" s="2" t="s">
        <v>809</v>
      </c>
      <c r="B768" s="2" t="s">
        <v>810</v>
      </c>
      <c r="C768" s="2" t="s">
        <v>268</v>
      </c>
      <c r="D768" s="2" t="s">
        <v>31</v>
      </c>
    </row>
    <row r="769" spans="1:4" ht="66">
      <c r="A769" s="2" t="s">
        <v>823</v>
      </c>
      <c r="B769" s="2" t="s">
        <v>824</v>
      </c>
      <c r="C769" s="2" t="s">
        <v>268</v>
      </c>
      <c r="D769" s="2" t="s">
        <v>31</v>
      </c>
    </row>
    <row r="770" spans="1:4" ht="66">
      <c r="A770" s="2" t="s">
        <v>831</v>
      </c>
      <c r="B770" s="2" t="s">
        <v>832</v>
      </c>
      <c r="C770" s="2" t="s">
        <v>268</v>
      </c>
      <c r="D770" s="2" t="s">
        <v>31</v>
      </c>
    </row>
    <row r="771" spans="1:4" ht="66">
      <c r="A771" s="2" t="s">
        <v>833</v>
      </c>
      <c r="B771" s="2" t="s">
        <v>834</v>
      </c>
      <c r="C771" s="2" t="s">
        <v>268</v>
      </c>
      <c r="D771" s="2" t="s">
        <v>31</v>
      </c>
    </row>
    <row r="772" spans="1:4" ht="66">
      <c r="A772" s="2" t="s">
        <v>835</v>
      </c>
      <c r="B772" s="2" t="s">
        <v>836</v>
      </c>
      <c r="C772" s="2" t="s">
        <v>268</v>
      </c>
      <c r="D772" s="2" t="s">
        <v>31</v>
      </c>
    </row>
    <row r="773" spans="1:4" ht="66">
      <c r="A773" s="2" t="s">
        <v>837</v>
      </c>
      <c r="B773" s="2" t="s">
        <v>838</v>
      </c>
      <c r="C773" s="2" t="s">
        <v>268</v>
      </c>
      <c r="D773" s="2" t="s">
        <v>31</v>
      </c>
    </row>
    <row r="774" spans="1:4" ht="66">
      <c r="A774" s="2" t="s">
        <v>855</v>
      </c>
      <c r="B774" s="2" t="s">
        <v>856</v>
      </c>
      <c r="C774" s="2" t="s">
        <v>268</v>
      </c>
      <c r="D774" s="2" t="s">
        <v>31</v>
      </c>
    </row>
    <row r="775" spans="1:4" ht="66">
      <c r="A775" s="2" t="s">
        <v>857</v>
      </c>
      <c r="B775" s="2" t="s">
        <v>858</v>
      </c>
      <c r="C775" s="2" t="s">
        <v>268</v>
      </c>
      <c r="D775" s="2" t="s">
        <v>31</v>
      </c>
    </row>
    <row r="776" spans="1:4" ht="66">
      <c r="A776" s="2" t="s">
        <v>859</v>
      </c>
      <c r="B776" s="2" t="s">
        <v>860</v>
      </c>
      <c r="C776" s="2" t="s">
        <v>268</v>
      </c>
      <c r="D776" s="2" t="s">
        <v>31</v>
      </c>
    </row>
    <row r="777" spans="1:4" ht="66">
      <c r="A777" s="2" t="s">
        <v>861</v>
      </c>
      <c r="B777" s="2" t="s">
        <v>862</v>
      </c>
      <c r="C777" s="2" t="s">
        <v>268</v>
      </c>
      <c r="D777" s="2" t="s">
        <v>31</v>
      </c>
    </row>
    <row r="778" spans="1:4" ht="66">
      <c r="A778" s="2" t="s">
        <v>863</v>
      </c>
      <c r="B778" s="2" t="s">
        <v>864</v>
      </c>
      <c r="C778" s="2" t="s">
        <v>268</v>
      </c>
      <c r="D778" s="2" t="s">
        <v>31</v>
      </c>
    </row>
    <row r="779" spans="1:4" ht="66">
      <c r="A779" s="2" t="s">
        <v>865</v>
      </c>
      <c r="B779" s="2" t="s">
        <v>866</v>
      </c>
      <c r="C779" s="2" t="s">
        <v>268</v>
      </c>
      <c r="D779" s="2" t="s">
        <v>31</v>
      </c>
    </row>
    <row r="780" spans="1:4" ht="66">
      <c r="A780" s="2" t="s">
        <v>867</v>
      </c>
      <c r="B780" s="2" t="s">
        <v>868</v>
      </c>
      <c r="C780" s="2" t="s">
        <v>268</v>
      </c>
      <c r="D780" s="2" t="s">
        <v>31</v>
      </c>
    </row>
    <row r="781" spans="1:4" ht="66">
      <c r="A781" s="2" t="s">
        <v>881</v>
      </c>
      <c r="B781" s="2" t="s">
        <v>882</v>
      </c>
      <c r="C781" s="2" t="s">
        <v>268</v>
      </c>
      <c r="D781" s="2" t="s">
        <v>31</v>
      </c>
    </row>
    <row r="782" spans="1:4" ht="66">
      <c r="A782" s="2" t="s">
        <v>887</v>
      </c>
      <c r="B782" s="2" t="s">
        <v>888</v>
      </c>
      <c r="C782" s="2" t="s">
        <v>268</v>
      </c>
      <c r="D782" s="2" t="s">
        <v>31</v>
      </c>
    </row>
    <row r="783" spans="1:4" ht="66">
      <c r="A783" s="2" t="s">
        <v>889</v>
      </c>
      <c r="B783" s="2" t="s">
        <v>890</v>
      </c>
      <c r="C783" s="2" t="s">
        <v>268</v>
      </c>
      <c r="D783" s="2" t="s">
        <v>31</v>
      </c>
    </row>
    <row r="784" spans="1:4" ht="66">
      <c r="A784" s="2" t="s">
        <v>891</v>
      </c>
      <c r="B784" s="2" t="s">
        <v>892</v>
      </c>
      <c r="C784" s="2" t="s">
        <v>268</v>
      </c>
      <c r="D784" s="2" t="s">
        <v>31</v>
      </c>
    </row>
    <row r="785" spans="1:4" ht="66">
      <c r="A785" s="2" t="s">
        <v>893</v>
      </c>
      <c r="B785" s="2" t="s">
        <v>894</v>
      </c>
      <c r="C785" s="2" t="s">
        <v>268</v>
      </c>
      <c r="D785" s="2" t="s">
        <v>31</v>
      </c>
    </row>
    <row r="786" spans="1:4" ht="66">
      <c r="A786" s="2" t="s">
        <v>895</v>
      </c>
      <c r="B786" s="2" t="s">
        <v>896</v>
      </c>
      <c r="C786" s="2" t="s">
        <v>268</v>
      </c>
      <c r="D786" s="2" t="s">
        <v>31</v>
      </c>
    </row>
    <row r="787" spans="1:4" ht="66">
      <c r="A787" s="2" t="s">
        <v>897</v>
      </c>
      <c r="B787" s="2" t="s">
        <v>898</v>
      </c>
      <c r="C787" s="2" t="s">
        <v>268</v>
      </c>
      <c r="D787" s="2" t="s">
        <v>31</v>
      </c>
    </row>
    <row r="788" spans="1:4" ht="66">
      <c r="A788" s="2" t="s">
        <v>899</v>
      </c>
      <c r="B788" s="2" t="s">
        <v>900</v>
      </c>
      <c r="C788" s="2" t="s">
        <v>268</v>
      </c>
      <c r="D788" s="2" t="s">
        <v>31</v>
      </c>
    </row>
    <row r="789" spans="1:4" ht="66">
      <c r="A789" s="2" t="s">
        <v>913</v>
      </c>
      <c r="B789" s="2" t="s">
        <v>914</v>
      </c>
      <c r="C789" s="2" t="s">
        <v>268</v>
      </c>
      <c r="D789" s="2" t="s">
        <v>31</v>
      </c>
    </row>
    <row r="790" spans="1:4" ht="66">
      <c r="A790" s="2" t="s">
        <v>917</v>
      </c>
      <c r="B790" s="2" t="s">
        <v>918</v>
      </c>
      <c r="C790" s="2" t="s">
        <v>268</v>
      </c>
      <c r="D790" s="2" t="s">
        <v>31</v>
      </c>
    </row>
    <row r="791" spans="1:4" ht="66">
      <c r="A791" s="2" t="s">
        <v>923</v>
      </c>
      <c r="B791" s="2" t="s">
        <v>924</v>
      </c>
      <c r="C791" s="2" t="s">
        <v>268</v>
      </c>
      <c r="D791" s="2" t="s">
        <v>31</v>
      </c>
    </row>
    <row r="792" spans="1:4" ht="66">
      <c r="A792" s="2" t="s">
        <v>933</v>
      </c>
      <c r="B792" s="2" t="s">
        <v>934</v>
      </c>
      <c r="C792" s="2" t="s">
        <v>268</v>
      </c>
      <c r="D792" s="2" t="s">
        <v>31</v>
      </c>
    </row>
    <row r="793" spans="1:4" ht="66">
      <c r="A793" s="2" t="s">
        <v>935</v>
      </c>
      <c r="B793" s="2" t="s">
        <v>936</v>
      </c>
      <c r="C793" s="2" t="s">
        <v>268</v>
      </c>
      <c r="D793" s="2" t="s">
        <v>31</v>
      </c>
    </row>
    <row r="794" spans="1:4" ht="66">
      <c r="A794" s="2" t="s">
        <v>937</v>
      </c>
      <c r="B794" s="2" t="s">
        <v>938</v>
      </c>
      <c r="C794" s="2" t="s">
        <v>268</v>
      </c>
      <c r="D794" s="2" t="s">
        <v>31</v>
      </c>
    </row>
    <row r="795" spans="1:4" ht="66">
      <c r="A795" s="2" t="s">
        <v>939</v>
      </c>
      <c r="B795" s="2" t="s">
        <v>940</v>
      </c>
      <c r="C795" s="2" t="s">
        <v>268</v>
      </c>
      <c r="D795" s="2" t="s">
        <v>31</v>
      </c>
    </row>
    <row r="796" spans="1:4" ht="66">
      <c r="A796" s="2" t="s">
        <v>941</v>
      </c>
      <c r="B796" s="2" t="s">
        <v>942</v>
      </c>
      <c r="C796" s="2" t="s">
        <v>268</v>
      </c>
      <c r="D796" s="2" t="s">
        <v>31</v>
      </c>
    </row>
    <row r="797" spans="1:4" ht="66">
      <c r="A797" s="2" t="s">
        <v>943</v>
      </c>
      <c r="B797" s="2" t="s">
        <v>944</v>
      </c>
      <c r="C797" s="2" t="s">
        <v>268</v>
      </c>
      <c r="D797" s="2" t="s">
        <v>31</v>
      </c>
    </row>
    <row r="798" spans="1:4" ht="66">
      <c r="A798" s="2" t="s">
        <v>945</v>
      </c>
      <c r="B798" s="2" t="s">
        <v>946</v>
      </c>
      <c r="C798" s="2" t="s">
        <v>268</v>
      </c>
      <c r="D798" s="2" t="s">
        <v>31</v>
      </c>
    </row>
    <row r="799" spans="1:4" ht="66">
      <c r="A799" s="2" t="s">
        <v>947</v>
      </c>
      <c r="B799" s="2" t="s">
        <v>948</v>
      </c>
      <c r="C799" s="2" t="s">
        <v>268</v>
      </c>
      <c r="D799" s="2" t="s">
        <v>31</v>
      </c>
    </row>
    <row r="800" spans="1:4" ht="66">
      <c r="A800" s="2" t="s">
        <v>949</v>
      </c>
      <c r="B800" s="2" t="s">
        <v>950</v>
      </c>
      <c r="C800" s="2" t="s">
        <v>268</v>
      </c>
      <c r="D800" s="2" t="s">
        <v>31</v>
      </c>
    </row>
    <row r="801" spans="1:4" ht="66">
      <c r="A801" s="2" t="s">
        <v>951</v>
      </c>
      <c r="B801" s="2" t="s">
        <v>952</v>
      </c>
      <c r="C801" s="2" t="s">
        <v>268</v>
      </c>
      <c r="D801" s="2" t="s">
        <v>31</v>
      </c>
    </row>
    <row r="802" spans="1:4" ht="66">
      <c r="A802" s="2" t="s">
        <v>953</v>
      </c>
      <c r="B802" s="2" t="s">
        <v>954</v>
      </c>
      <c r="C802" s="2" t="s">
        <v>268</v>
      </c>
      <c r="D802" s="2" t="s">
        <v>31</v>
      </c>
    </row>
    <row r="803" spans="1:4" ht="66">
      <c r="A803" s="2" t="s">
        <v>955</v>
      </c>
      <c r="B803" s="2" t="s">
        <v>956</v>
      </c>
      <c r="C803" s="2" t="s">
        <v>268</v>
      </c>
      <c r="D803" s="2" t="s">
        <v>31</v>
      </c>
    </row>
    <row r="804" spans="1:4" ht="66">
      <c r="A804" s="2" t="s">
        <v>957</v>
      </c>
      <c r="B804" s="2" t="s">
        <v>958</v>
      </c>
      <c r="C804" s="2" t="s">
        <v>268</v>
      </c>
      <c r="D804" s="2" t="s">
        <v>31</v>
      </c>
    </row>
    <row r="805" spans="1:4" ht="66">
      <c r="A805" s="2" t="s">
        <v>959</v>
      </c>
      <c r="B805" s="2" t="s">
        <v>960</v>
      </c>
      <c r="C805" s="2" t="s">
        <v>268</v>
      </c>
      <c r="D805" s="2" t="s">
        <v>31</v>
      </c>
    </row>
    <row r="806" spans="1:4" ht="66">
      <c r="A806" s="2" t="s">
        <v>961</v>
      </c>
      <c r="B806" s="2" t="s">
        <v>962</v>
      </c>
      <c r="C806" s="2" t="s">
        <v>268</v>
      </c>
      <c r="D806" s="2" t="s">
        <v>31</v>
      </c>
    </row>
    <row r="807" spans="1:4" ht="66">
      <c r="A807" s="2" t="s">
        <v>963</v>
      </c>
      <c r="B807" s="2" t="s">
        <v>964</v>
      </c>
      <c r="C807" s="2" t="s">
        <v>268</v>
      </c>
      <c r="D807" s="2" t="s">
        <v>31</v>
      </c>
    </row>
    <row r="808" spans="1:4" ht="49.5">
      <c r="A808" s="2" t="s">
        <v>1207</v>
      </c>
      <c r="B808" s="2" t="s">
        <v>1208</v>
      </c>
      <c r="C808" s="2" t="s">
        <v>268</v>
      </c>
      <c r="D808" s="2" t="s">
        <v>31</v>
      </c>
    </row>
    <row r="809" spans="1:4" ht="49.5">
      <c r="A809" s="2" t="s">
        <v>1209</v>
      </c>
      <c r="B809" s="2" t="s">
        <v>1210</v>
      </c>
      <c r="C809" s="2" t="s">
        <v>268</v>
      </c>
      <c r="D809" s="2" t="s">
        <v>31</v>
      </c>
    </row>
    <row r="810" spans="1:4" ht="49.5">
      <c r="A810" s="2" t="s">
        <v>1213</v>
      </c>
      <c r="B810" s="2" t="s">
        <v>1214</v>
      </c>
      <c r="C810" s="2" t="s">
        <v>268</v>
      </c>
      <c r="D810" s="2" t="s">
        <v>31</v>
      </c>
    </row>
    <row r="811" spans="1:4" ht="49.5">
      <c r="A811" s="2" t="s">
        <v>1377</v>
      </c>
      <c r="B811" s="2" t="s">
        <v>1378</v>
      </c>
      <c r="C811" s="2" t="s">
        <v>268</v>
      </c>
      <c r="D811" s="2" t="s">
        <v>31</v>
      </c>
    </row>
    <row r="812" spans="1:4" ht="49.5">
      <c r="A812" s="2" t="s">
        <v>1385</v>
      </c>
      <c r="B812" s="2" t="s">
        <v>1386</v>
      </c>
      <c r="C812" s="2" t="s">
        <v>268</v>
      </c>
      <c r="D812" s="2" t="s">
        <v>31</v>
      </c>
    </row>
    <row r="813" spans="1:4" ht="49.5">
      <c r="A813" s="2" t="s">
        <v>1387</v>
      </c>
      <c r="B813" s="2" t="s">
        <v>1388</v>
      </c>
      <c r="C813" s="2" t="s">
        <v>268</v>
      </c>
      <c r="D813" s="2" t="s">
        <v>31</v>
      </c>
    </row>
    <row r="814" spans="1:4" ht="49.5">
      <c r="A814" s="2" t="s">
        <v>1403</v>
      </c>
      <c r="B814" s="2" t="s">
        <v>1404</v>
      </c>
      <c r="C814" s="2" t="s">
        <v>268</v>
      </c>
      <c r="D814" s="2" t="s">
        <v>31</v>
      </c>
    </row>
    <row r="815" spans="1:4" ht="66">
      <c r="A815" s="2" t="s">
        <v>1405</v>
      </c>
      <c r="B815" s="2" t="s">
        <v>1406</v>
      </c>
      <c r="C815" s="2" t="s">
        <v>268</v>
      </c>
      <c r="D815" s="2" t="s">
        <v>31</v>
      </c>
    </row>
    <row r="816" spans="1:4" ht="49.5">
      <c r="A816" s="2" t="s">
        <v>1407</v>
      </c>
      <c r="B816" s="2" t="s">
        <v>1408</v>
      </c>
      <c r="C816" s="2" t="s">
        <v>268</v>
      </c>
      <c r="D816" s="2" t="s">
        <v>31</v>
      </c>
    </row>
    <row r="817" spans="1:4" ht="49.5">
      <c r="A817" s="2" t="s">
        <v>1409</v>
      </c>
      <c r="B817" s="2" t="s">
        <v>1410</v>
      </c>
      <c r="C817" s="2" t="s">
        <v>268</v>
      </c>
      <c r="D817" s="2" t="s">
        <v>31</v>
      </c>
    </row>
    <row r="818" spans="1:4" ht="66">
      <c r="A818" s="2" t="s">
        <v>1411</v>
      </c>
      <c r="B818" s="2" t="s">
        <v>1412</v>
      </c>
      <c r="C818" s="2" t="s">
        <v>268</v>
      </c>
      <c r="D818" s="2" t="s">
        <v>31</v>
      </c>
    </row>
    <row r="819" spans="1:4" ht="49.5">
      <c r="A819" s="2" t="s">
        <v>1413</v>
      </c>
      <c r="B819" s="2" t="s">
        <v>1414</v>
      </c>
      <c r="C819" s="2" t="s">
        <v>268</v>
      </c>
      <c r="D819" s="2" t="s">
        <v>31</v>
      </c>
    </row>
    <row r="820" spans="1:4" ht="49.5">
      <c r="A820" s="2" t="s">
        <v>1415</v>
      </c>
      <c r="B820" s="2" t="s">
        <v>1416</v>
      </c>
      <c r="C820" s="2" t="s">
        <v>268</v>
      </c>
      <c r="D820" s="2" t="s">
        <v>31</v>
      </c>
    </row>
    <row r="821" spans="1:4" ht="66">
      <c r="A821" s="2" t="s">
        <v>1417</v>
      </c>
      <c r="B821" s="2" t="s">
        <v>1418</v>
      </c>
      <c r="C821" s="2" t="s">
        <v>268</v>
      </c>
      <c r="D821" s="2" t="s">
        <v>31</v>
      </c>
    </row>
    <row r="822" spans="1:4" ht="49.5">
      <c r="A822" s="2" t="s">
        <v>1419</v>
      </c>
      <c r="B822" s="2" t="s">
        <v>1420</v>
      </c>
      <c r="C822" s="2" t="s">
        <v>268</v>
      </c>
      <c r="D822" s="2" t="s">
        <v>31</v>
      </c>
    </row>
    <row r="823" spans="1:4" ht="49.5">
      <c r="A823" s="2" t="s">
        <v>1421</v>
      </c>
      <c r="B823" s="2" t="s">
        <v>1422</v>
      </c>
      <c r="C823" s="2" t="s">
        <v>268</v>
      </c>
      <c r="D823" s="2" t="s">
        <v>31</v>
      </c>
    </row>
    <row r="824" spans="1:4" ht="49.5">
      <c r="A824" s="2" t="s">
        <v>1423</v>
      </c>
      <c r="B824" s="2" t="s">
        <v>1424</v>
      </c>
      <c r="C824" s="2" t="s">
        <v>268</v>
      </c>
      <c r="D824" s="2" t="s">
        <v>31</v>
      </c>
    </row>
    <row r="825" spans="1:4" ht="49.5">
      <c r="A825" s="2" t="s">
        <v>1425</v>
      </c>
      <c r="B825" s="2" t="s">
        <v>1426</v>
      </c>
      <c r="C825" s="2" t="s">
        <v>268</v>
      </c>
      <c r="D825" s="2" t="s">
        <v>31</v>
      </c>
    </row>
    <row r="826" spans="1:4" ht="49.5">
      <c r="A826" s="2" t="s">
        <v>1427</v>
      </c>
      <c r="B826" s="2" t="s">
        <v>1428</v>
      </c>
      <c r="C826" s="2" t="s">
        <v>268</v>
      </c>
      <c r="D826" s="2" t="s">
        <v>31</v>
      </c>
    </row>
    <row r="827" spans="1:4" ht="49.5">
      <c r="A827" s="2" t="s">
        <v>1429</v>
      </c>
      <c r="B827" s="2" t="s">
        <v>1430</v>
      </c>
      <c r="C827" s="2" t="s">
        <v>268</v>
      </c>
      <c r="D827" s="2" t="s">
        <v>31</v>
      </c>
    </row>
    <row r="828" spans="1:4" ht="49.5">
      <c r="A828" s="2" t="s">
        <v>1431</v>
      </c>
      <c r="B828" s="2" t="s">
        <v>1432</v>
      </c>
      <c r="C828" s="2" t="s">
        <v>268</v>
      </c>
      <c r="D828" s="2" t="s">
        <v>31</v>
      </c>
    </row>
    <row r="829" spans="1:4" ht="49.5">
      <c r="A829" s="2" t="s">
        <v>1433</v>
      </c>
      <c r="B829" s="2" t="s">
        <v>1434</v>
      </c>
      <c r="C829" s="2" t="s">
        <v>268</v>
      </c>
      <c r="D829" s="2" t="s">
        <v>31</v>
      </c>
    </row>
    <row r="830" spans="1:4" ht="66">
      <c r="A830" s="2" t="s">
        <v>1435</v>
      </c>
      <c r="B830" s="2" t="s">
        <v>1436</v>
      </c>
      <c r="C830" s="2" t="s">
        <v>268</v>
      </c>
      <c r="D830" s="2" t="s">
        <v>31</v>
      </c>
    </row>
    <row r="831" spans="1:4" ht="66">
      <c r="A831" s="2" t="s">
        <v>1437</v>
      </c>
      <c r="B831" s="2" t="s">
        <v>1438</v>
      </c>
      <c r="C831" s="2" t="s">
        <v>268</v>
      </c>
      <c r="D831" s="2" t="s">
        <v>31</v>
      </c>
    </row>
    <row r="832" spans="1:4" ht="49.5">
      <c r="A832" s="2" t="s">
        <v>1439</v>
      </c>
      <c r="B832" s="2" t="s">
        <v>1440</v>
      </c>
      <c r="C832" s="2" t="s">
        <v>268</v>
      </c>
      <c r="D832" s="2" t="s">
        <v>31</v>
      </c>
    </row>
    <row r="833" spans="1:4" ht="49.5">
      <c r="A833" s="2" t="s">
        <v>1441</v>
      </c>
      <c r="B833" s="2" t="s">
        <v>1442</v>
      </c>
      <c r="C833" s="2" t="s">
        <v>268</v>
      </c>
      <c r="D833" s="2" t="s">
        <v>31</v>
      </c>
    </row>
    <row r="834" spans="1:4" ht="49.5">
      <c r="A834" s="2" t="s">
        <v>1443</v>
      </c>
      <c r="B834" s="2" t="s">
        <v>1444</v>
      </c>
      <c r="C834" s="2" t="s">
        <v>268</v>
      </c>
      <c r="D834" s="2" t="s">
        <v>31</v>
      </c>
    </row>
    <row r="835" spans="1:4" ht="66">
      <c r="A835" s="2" t="s">
        <v>1445</v>
      </c>
      <c r="B835" s="2" t="s">
        <v>1446</v>
      </c>
      <c r="C835" s="2" t="s">
        <v>268</v>
      </c>
      <c r="D835" s="2" t="s">
        <v>31</v>
      </c>
    </row>
    <row r="836" spans="1:4" ht="66">
      <c r="A836" s="2" t="s">
        <v>1447</v>
      </c>
      <c r="B836" s="2" t="s">
        <v>1448</v>
      </c>
      <c r="C836" s="2" t="s">
        <v>268</v>
      </c>
      <c r="D836" s="2" t="s">
        <v>31</v>
      </c>
    </row>
    <row r="837" spans="1:4" ht="66">
      <c r="A837" s="2" t="s">
        <v>1449</v>
      </c>
      <c r="B837" s="2" t="s">
        <v>1450</v>
      </c>
      <c r="C837" s="2" t="s">
        <v>268</v>
      </c>
      <c r="D837" s="2" t="s">
        <v>31</v>
      </c>
    </row>
    <row r="838" spans="1:4" ht="66">
      <c r="A838" s="2" t="s">
        <v>1451</v>
      </c>
      <c r="B838" s="2" t="s">
        <v>1452</v>
      </c>
      <c r="C838" s="2" t="s">
        <v>268</v>
      </c>
      <c r="D838" s="2" t="s">
        <v>31</v>
      </c>
    </row>
    <row r="839" spans="1:4" ht="66">
      <c r="A839" s="2" t="s">
        <v>1453</v>
      </c>
      <c r="B839" s="2" t="s">
        <v>1454</v>
      </c>
      <c r="C839" s="2" t="s">
        <v>268</v>
      </c>
      <c r="D839" s="2" t="s">
        <v>31</v>
      </c>
    </row>
    <row r="840" spans="1:4" ht="49.5">
      <c r="A840" s="2" t="s">
        <v>1455</v>
      </c>
      <c r="B840" s="2" t="s">
        <v>1456</v>
      </c>
      <c r="C840" s="2" t="s">
        <v>268</v>
      </c>
      <c r="D840" s="2" t="s">
        <v>31</v>
      </c>
    </row>
    <row r="841" spans="1:4" ht="49.5">
      <c r="A841" s="2" t="s">
        <v>1457</v>
      </c>
      <c r="B841" s="2" t="s">
        <v>1458</v>
      </c>
      <c r="C841" s="2" t="s">
        <v>268</v>
      </c>
      <c r="D841" s="2" t="s">
        <v>31</v>
      </c>
    </row>
    <row r="842" spans="1:4" ht="49.5">
      <c r="A842" s="2" t="s">
        <v>1459</v>
      </c>
      <c r="B842" s="2" t="s">
        <v>1460</v>
      </c>
      <c r="C842" s="2" t="s">
        <v>268</v>
      </c>
      <c r="D842" s="2" t="s">
        <v>31</v>
      </c>
    </row>
    <row r="843" spans="1:4" ht="49.5">
      <c r="A843" s="2" t="s">
        <v>1461</v>
      </c>
      <c r="B843" s="2" t="s">
        <v>1462</v>
      </c>
      <c r="C843" s="2" t="s">
        <v>268</v>
      </c>
      <c r="D843" s="2" t="s">
        <v>31</v>
      </c>
    </row>
    <row r="844" spans="1:4" ht="49.5">
      <c r="A844" s="2" t="s">
        <v>1469</v>
      </c>
      <c r="B844" s="2" t="s">
        <v>1470</v>
      </c>
      <c r="C844" s="2" t="s">
        <v>268</v>
      </c>
      <c r="D844" s="2" t="s">
        <v>31</v>
      </c>
    </row>
    <row r="845" spans="1:4" ht="66">
      <c r="A845" s="2" t="s">
        <v>1471</v>
      </c>
      <c r="B845" s="2" t="s">
        <v>1472</v>
      </c>
      <c r="C845" s="2" t="s">
        <v>268</v>
      </c>
      <c r="D845" s="2" t="s">
        <v>31</v>
      </c>
    </row>
    <row r="846" spans="1:4" ht="66">
      <c r="A846" s="2" t="s">
        <v>1473</v>
      </c>
      <c r="B846" s="2" t="s">
        <v>1474</v>
      </c>
      <c r="C846" s="2" t="s">
        <v>268</v>
      </c>
      <c r="D846" s="2" t="s">
        <v>31</v>
      </c>
    </row>
    <row r="847" spans="1:4" ht="66">
      <c r="A847" s="2" t="s">
        <v>1475</v>
      </c>
      <c r="B847" s="2" t="s">
        <v>1476</v>
      </c>
      <c r="C847" s="2" t="s">
        <v>268</v>
      </c>
      <c r="D847" s="2" t="s">
        <v>31</v>
      </c>
    </row>
    <row r="848" spans="1:4" ht="49.5">
      <c r="A848" s="2" t="s">
        <v>1477</v>
      </c>
      <c r="B848" s="2" t="s">
        <v>1478</v>
      </c>
      <c r="C848" s="2" t="s">
        <v>268</v>
      </c>
      <c r="D848" s="2" t="s">
        <v>31</v>
      </c>
    </row>
    <row r="849" spans="1:4" ht="49.5">
      <c r="A849" s="2" t="s">
        <v>1479</v>
      </c>
      <c r="B849" s="2" t="s">
        <v>1480</v>
      </c>
      <c r="C849" s="2" t="s">
        <v>268</v>
      </c>
      <c r="D849" s="2" t="s">
        <v>31</v>
      </c>
    </row>
    <row r="850" spans="1:4" ht="49.5">
      <c r="A850" s="2" t="s">
        <v>1481</v>
      </c>
      <c r="B850" s="2" t="s">
        <v>1482</v>
      </c>
      <c r="C850" s="2" t="s">
        <v>268</v>
      </c>
      <c r="D850" s="2" t="s">
        <v>31</v>
      </c>
    </row>
    <row r="851" spans="1:4" ht="49.5">
      <c r="A851" s="2" t="s">
        <v>1483</v>
      </c>
      <c r="B851" s="2" t="s">
        <v>1484</v>
      </c>
      <c r="C851" s="2" t="s">
        <v>268</v>
      </c>
      <c r="D851" s="2" t="s">
        <v>31</v>
      </c>
    </row>
    <row r="852" spans="1:4" ht="49.5">
      <c r="A852" s="2" t="s">
        <v>1485</v>
      </c>
      <c r="B852" s="2" t="s">
        <v>1486</v>
      </c>
      <c r="C852" s="2" t="s">
        <v>268</v>
      </c>
      <c r="D852" s="2" t="s">
        <v>31</v>
      </c>
    </row>
    <row r="853" spans="1:4" ht="49.5">
      <c r="A853" s="2" t="s">
        <v>1487</v>
      </c>
      <c r="B853" s="2" t="s">
        <v>1488</v>
      </c>
      <c r="C853" s="2" t="s">
        <v>268</v>
      </c>
      <c r="D853" s="2" t="s">
        <v>31</v>
      </c>
    </row>
    <row r="854" spans="1:4" ht="49.5">
      <c r="A854" s="2" t="s">
        <v>1489</v>
      </c>
      <c r="B854" s="2" t="s">
        <v>1490</v>
      </c>
      <c r="C854" s="2" t="s">
        <v>268</v>
      </c>
      <c r="D854" s="2" t="s">
        <v>31</v>
      </c>
    </row>
    <row r="855" spans="1:4" ht="49.5">
      <c r="A855" s="2" t="s">
        <v>1491</v>
      </c>
      <c r="B855" s="2" t="s">
        <v>1492</v>
      </c>
      <c r="C855" s="2" t="s">
        <v>268</v>
      </c>
      <c r="D855" s="2" t="s">
        <v>31</v>
      </c>
    </row>
    <row r="856" spans="1:4" ht="49.5">
      <c r="A856" s="2" t="s">
        <v>1493</v>
      </c>
      <c r="B856" s="2" t="s">
        <v>1494</v>
      </c>
      <c r="C856" s="2" t="s">
        <v>268</v>
      </c>
      <c r="D856" s="2" t="s">
        <v>31</v>
      </c>
    </row>
    <row r="857" spans="1:4" ht="49.5">
      <c r="A857" s="2" t="s">
        <v>1655</v>
      </c>
      <c r="B857" s="2" t="s">
        <v>1656</v>
      </c>
      <c r="C857" s="2" t="s">
        <v>268</v>
      </c>
      <c r="D857" s="2" t="s">
        <v>31</v>
      </c>
    </row>
    <row r="858" spans="1:4" ht="49.5">
      <c r="A858" s="2" t="s">
        <v>1657</v>
      </c>
      <c r="B858" s="2" t="s">
        <v>1658</v>
      </c>
      <c r="C858" s="2" t="s">
        <v>268</v>
      </c>
      <c r="D858" s="2" t="s">
        <v>36</v>
      </c>
    </row>
  </sheetData>
  <customSheetViews>
    <customSheetView guid="{5693F48F-8FCA-4CC0-9286-11E7497B1810}" state="hidden" topLeftCell="A481">
      <selection activeCell="H3" sqref="H3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59"/>
  <sheetViews>
    <sheetView workbookViewId="0">
      <selection activeCell="I18" sqref="I18"/>
    </sheetView>
  </sheetViews>
  <sheetFormatPr defaultRowHeight="16.5"/>
  <sheetData>
    <row r="1" spans="1:3">
      <c r="A1" s="1" t="s">
        <v>1755</v>
      </c>
      <c r="B1" s="1" t="s">
        <v>1756</v>
      </c>
      <c r="C1" s="1" t="s">
        <v>2073</v>
      </c>
    </row>
    <row r="2" spans="1:3">
      <c r="A2" s="1" t="s">
        <v>1757</v>
      </c>
      <c r="B2" s="1" t="s">
        <v>1758</v>
      </c>
      <c r="C2" s="1" t="s">
        <v>2073</v>
      </c>
    </row>
    <row r="3" spans="1:3">
      <c r="A3" s="1" t="s">
        <v>1759</v>
      </c>
      <c r="B3" s="1" t="s">
        <v>1760</v>
      </c>
      <c r="C3" s="1" t="s">
        <v>2073</v>
      </c>
    </row>
    <row r="4" spans="1:3">
      <c r="A4" s="1" t="s">
        <v>1761</v>
      </c>
      <c r="B4" s="1" t="s">
        <v>1762</v>
      </c>
      <c r="C4" s="1" t="s">
        <v>2073</v>
      </c>
    </row>
    <row r="5" spans="1:3">
      <c r="A5" s="1" t="s">
        <v>1763</v>
      </c>
      <c r="B5" s="1" t="s">
        <v>1764</v>
      </c>
      <c r="C5" s="1" t="s">
        <v>2073</v>
      </c>
    </row>
    <row r="6" spans="1:3">
      <c r="A6" s="1" t="s">
        <v>1765</v>
      </c>
      <c r="B6" s="1" t="s">
        <v>1766</v>
      </c>
      <c r="C6" s="1" t="s">
        <v>2074</v>
      </c>
    </row>
    <row r="7" spans="1:3">
      <c r="A7" s="1" t="s">
        <v>1767</v>
      </c>
      <c r="B7" s="1" t="s">
        <v>1768</v>
      </c>
      <c r="C7" s="1" t="s">
        <v>2074</v>
      </c>
    </row>
    <row r="8" spans="1:3">
      <c r="A8" s="1" t="s">
        <v>1769</v>
      </c>
      <c r="B8" s="1" t="s">
        <v>1770</v>
      </c>
      <c r="C8" s="1" t="s">
        <v>2074</v>
      </c>
    </row>
    <row r="9" spans="1:3">
      <c r="A9" s="1" t="s">
        <v>1771</v>
      </c>
      <c r="B9" s="1" t="s">
        <v>1772</v>
      </c>
      <c r="C9" s="1" t="s">
        <v>2074</v>
      </c>
    </row>
    <row r="10" spans="1:3">
      <c r="A10" s="1" t="s">
        <v>1773</v>
      </c>
      <c r="B10" s="1" t="s">
        <v>1774</v>
      </c>
      <c r="C10" s="1" t="s">
        <v>2074</v>
      </c>
    </row>
    <row r="11" spans="1:3">
      <c r="A11" s="1" t="s">
        <v>1775</v>
      </c>
      <c r="B11" s="1" t="s">
        <v>1776</v>
      </c>
      <c r="C11" s="1" t="s">
        <v>2074</v>
      </c>
    </row>
    <row r="12" spans="1:3">
      <c r="A12" s="1" t="s">
        <v>1777</v>
      </c>
      <c r="B12" s="1" t="s">
        <v>1778</v>
      </c>
      <c r="C12" s="1" t="s">
        <v>2074</v>
      </c>
    </row>
    <row r="13" spans="1:3">
      <c r="A13" s="1" t="s">
        <v>1779</v>
      </c>
      <c r="B13" s="1" t="s">
        <v>1780</v>
      </c>
      <c r="C13" s="1" t="s">
        <v>2074</v>
      </c>
    </row>
    <row r="14" spans="1:3">
      <c r="A14" s="1" t="s">
        <v>1781</v>
      </c>
      <c r="B14" s="1" t="s">
        <v>1782</v>
      </c>
      <c r="C14" s="1" t="s">
        <v>2074</v>
      </c>
    </row>
    <row r="15" spans="1:3">
      <c r="A15" s="1" t="s">
        <v>1783</v>
      </c>
      <c r="B15" s="1" t="s">
        <v>1784</v>
      </c>
      <c r="C15" s="1" t="s">
        <v>2074</v>
      </c>
    </row>
    <row r="16" spans="1:3">
      <c r="A16" s="1" t="s">
        <v>1785</v>
      </c>
      <c r="B16" s="1" t="s">
        <v>1786</v>
      </c>
      <c r="C16" s="1" t="s">
        <v>2074</v>
      </c>
    </row>
    <row r="17" spans="1:3">
      <c r="A17" s="1" t="s">
        <v>1787</v>
      </c>
      <c r="B17" s="1" t="s">
        <v>1788</v>
      </c>
      <c r="C17" s="1" t="s">
        <v>2074</v>
      </c>
    </row>
    <row r="18" spans="1:3">
      <c r="A18" s="1" t="s">
        <v>1789</v>
      </c>
      <c r="B18" s="1" t="s">
        <v>1790</v>
      </c>
      <c r="C18" s="1" t="s">
        <v>2074</v>
      </c>
    </row>
    <row r="19" spans="1:3">
      <c r="A19" s="1" t="s">
        <v>1791</v>
      </c>
      <c r="B19" s="1" t="s">
        <v>1792</v>
      </c>
      <c r="C19" s="1" t="s">
        <v>2074</v>
      </c>
    </row>
    <row r="20" spans="1:3">
      <c r="A20" s="1" t="s">
        <v>1793</v>
      </c>
      <c r="B20" s="1" t="s">
        <v>1794</v>
      </c>
      <c r="C20" s="1" t="s">
        <v>2074</v>
      </c>
    </row>
    <row r="21" spans="1:3">
      <c r="A21" s="1" t="s">
        <v>1795</v>
      </c>
      <c r="B21" s="1" t="s">
        <v>1796</v>
      </c>
      <c r="C21" s="1" t="s">
        <v>2074</v>
      </c>
    </row>
    <row r="22" spans="1:3">
      <c r="A22" s="1" t="s">
        <v>1797</v>
      </c>
      <c r="B22" s="1" t="s">
        <v>1798</v>
      </c>
      <c r="C22" s="1" t="s">
        <v>2074</v>
      </c>
    </row>
    <row r="23" spans="1:3">
      <c r="A23" s="1" t="s">
        <v>1799</v>
      </c>
      <c r="B23" s="1" t="s">
        <v>1800</v>
      </c>
      <c r="C23" s="1" t="s">
        <v>2074</v>
      </c>
    </row>
    <row r="24" spans="1:3">
      <c r="A24" s="1" t="s">
        <v>1801</v>
      </c>
      <c r="B24" s="1" t="s">
        <v>1802</v>
      </c>
      <c r="C24" s="1" t="s">
        <v>2074</v>
      </c>
    </row>
    <row r="25" spans="1:3">
      <c r="A25" s="1" t="s">
        <v>1803</v>
      </c>
      <c r="B25" s="1" t="s">
        <v>1804</v>
      </c>
      <c r="C25" s="1" t="s">
        <v>2074</v>
      </c>
    </row>
    <row r="26" spans="1:3">
      <c r="A26" s="1" t="s">
        <v>1805</v>
      </c>
      <c r="B26" s="1" t="s">
        <v>1806</v>
      </c>
      <c r="C26" s="1" t="s">
        <v>2074</v>
      </c>
    </row>
    <row r="27" spans="1:3">
      <c r="A27" s="1" t="s">
        <v>1807</v>
      </c>
      <c r="B27" s="1" t="s">
        <v>1808</v>
      </c>
      <c r="C27" s="1" t="s">
        <v>2074</v>
      </c>
    </row>
    <row r="28" spans="1:3">
      <c r="A28" s="1" t="s">
        <v>1809</v>
      </c>
      <c r="B28" s="1" t="s">
        <v>1810</v>
      </c>
      <c r="C28" s="1" t="s">
        <v>2074</v>
      </c>
    </row>
    <row r="29" spans="1:3">
      <c r="A29" s="1" t="s">
        <v>1811</v>
      </c>
      <c r="B29" s="1" t="s">
        <v>1812</v>
      </c>
      <c r="C29" s="1" t="s">
        <v>2074</v>
      </c>
    </row>
    <row r="30" spans="1:3">
      <c r="A30" s="1" t="s">
        <v>1813</v>
      </c>
      <c r="B30" s="1" t="s">
        <v>1814</v>
      </c>
      <c r="C30" s="1" t="s">
        <v>2074</v>
      </c>
    </row>
    <row r="31" spans="1:3">
      <c r="A31" s="1" t="s">
        <v>1815</v>
      </c>
      <c r="B31" s="1" t="s">
        <v>1816</v>
      </c>
      <c r="C31" s="1" t="s">
        <v>2074</v>
      </c>
    </row>
    <row r="32" spans="1:3">
      <c r="A32" s="1" t="s">
        <v>1817</v>
      </c>
      <c r="B32" s="1" t="s">
        <v>1818</v>
      </c>
      <c r="C32" s="1" t="s">
        <v>2074</v>
      </c>
    </row>
    <row r="33" spans="1:3">
      <c r="A33" s="1" t="s">
        <v>1819</v>
      </c>
      <c r="B33" s="1" t="s">
        <v>1820</v>
      </c>
      <c r="C33" s="1" t="s">
        <v>2074</v>
      </c>
    </row>
    <row r="34" spans="1:3">
      <c r="A34" s="1" t="s">
        <v>1821</v>
      </c>
      <c r="B34" s="1" t="s">
        <v>1822</v>
      </c>
      <c r="C34" s="1" t="s">
        <v>2074</v>
      </c>
    </row>
    <row r="35" spans="1:3">
      <c r="A35" s="1" t="s">
        <v>1823</v>
      </c>
      <c r="B35" s="1" t="s">
        <v>1824</v>
      </c>
      <c r="C35" s="1" t="s">
        <v>2074</v>
      </c>
    </row>
    <row r="36" spans="1:3">
      <c r="A36" s="1" t="s">
        <v>1825</v>
      </c>
      <c r="B36" s="1" t="s">
        <v>1826</v>
      </c>
      <c r="C36" s="1" t="s">
        <v>2074</v>
      </c>
    </row>
    <row r="37" spans="1:3">
      <c r="A37" s="1" t="s">
        <v>1827</v>
      </c>
      <c r="B37" s="1" t="s">
        <v>1828</v>
      </c>
      <c r="C37" s="1" t="s">
        <v>2074</v>
      </c>
    </row>
    <row r="38" spans="1:3">
      <c r="A38" s="1" t="s">
        <v>1829</v>
      </c>
      <c r="B38" s="1" t="s">
        <v>1830</v>
      </c>
      <c r="C38" s="1" t="s">
        <v>2074</v>
      </c>
    </row>
    <row r="39" spans="1:3">
      <c r="A39" s="1" t="s">
        <v>1831</v>
      </c>
      <c r="B39" s="1" t="s">
        <v>1832</v>
      </c>
      <c r="C39" s="1" t="s">
        <v>2074</v>
      </c>
    </row>
    <row r="40" spans="1:3">
      <c r="A40" s="1" t="s">
        <v>1833</v>
      </c>
      <c r="B40" s="1" t="s">
        <v>1834</v>
      </c>
      <c r="C40" s="1" t="s">
        <v>2074</v>
      </c>
    </row>
    <row r="41" spans="1:3">
      <c r="A41" s="1" t="s">
        <v>1835</v>
      </c>
      <c r="B41" s="1" t="s">
        <v>1836</v>
      </c>
      <c r="C41" s="1" t="s">
        <v>2074</v>
      </c>
    </row>
    <row r="42" spans="1:3">
      <c r="A42" s="1" t="s">
        <v>1837</v>
      </c>
      <c r="B42" s="1" t="s">
        <v>1838</v>
      </c>
      <c r="C42" s="1" t="s">
        <v>2074</v>
      </c>
    </row>
    <row r="43" spans="1:3">
      <c r="A43" s="1" t="s">
        <v>1839</v>
      </c>
      <c r="B43" s="1" t="s">
        <v>1840</v>
      </c>
      <c r="C43" s="1" t="s">
        <v>2074</v>
      </c>
    </row>
    <row r="44" spans="1:3">
      <c r="A44" s="1" t="s">
        <v>1841</v>
      </c>
      <c r="B44" s="1" t="s">
        <v>1842</v>
      </c>
      <c r="C44" s="1" t="s">
        <v>2074</v>
      </c>
    </row>
    <row r="45" spans="1:3">
      <c r="A45" s="1" t="s">
        <v>1843</v>
      </c>
      <c r="B45" s="1" t="s">
        <v>1844</v>
      </c>
      <c r="C45" s="1" t="s">
        <v>2074</v>
      </c>
    </row>
    <row r="46" spans="1:3">
      <c r="A46" s="1" t="s">
        <v>1845</v>
      </c>
      <c r="B46" s="1" t="s">
        <v>1846</v>
      </c>
      <c r="C46" s="1" t="s">
        <v>2074</v>
      </c>
    </row>
    <row r="47" spans="1:3">
      <c r="A47" s="1" t="s">
        <v>1847</v>
      </c>
      <c r="B47" s="1" t="s">
        <v>1848</v>
      </c>
      <c r="C47" s="1" t="s">
        <v>2074</v>
      </c>
    </row>
    <row r="48" spans="1:3">
      <c r="A48" s="1" t="s">
        <v>1849</v>
      </c>
      <c r="B48" s="1" t="s">
        <v>1850</v>
      </c>
      <c r="C48" s="1" t="s">
        <v>2074</v>
      </c>
    </row>
    <row r="49" spans="1:3">
      <c r="A49" s="1" t="s">
        <v>1851</v>
      </c>
      <c r="B49" s="1" t="s">
        <v>1852</v>
      </c>
      <c r="C49" s="1" t="s">
        <v>2074</v>
      </c>
    </row>
    <row r="50" spans="1:3">
      <c r="A50" s="1" t="s">
        <v>1853</v>
      </c>
      <c r="B50" s="1" t="s">
        <v>1854</v>
      </c>
      <c r="C50" s="1" t="s">
        <v>2074</v>
      </c>
    </row>
    <row r="51" spans="1:3">
      <c r="A51" s="1" t="s">
        <v>1855</v>
      </c>
      <c r="B51" s="1" t="s">
        <v>1856</v>
      </c>
      <c r="C51" s="1" t="s">
        <v>2074</v>
      </c>
    </row>
    <row r="52" spans="1:3">
      <c r="A52" s="1" t="s">
        <v>1857</v>
      </c>
      <c r="B52" s="1" t="s">
        <v>1858</v>
      </c>
      <c r="C52" s="1" t="s">
        <v>2074</v>
      </c>
    </row>
    <row r="53" spans="1:3">
      <c r="A53" s="1" t="s">
        <v>1859</v>
      </c>
      <c r="B53" s="1" t="s">
        <v>1860</v>
      </c>
      <c r="C53" s="1" t="s">
        <v>2074</v>
      </c>
    </row>
    <row r="54" spans="1:3">
      <c r="A54" s="1" t="s">
        <v>1861</v>
      </c>
      <c r="B54" s="1" t="s">
        <v>1862</v>
      </c>
      <c r="C54" s="1" t="s">
        <v>2074</v>
      </c>
    </row>
    <row r="55" spans="1:3">
      <c r="A55" s="1" t="s">
        <v>1863</v>
      </c>
      <c r="B55" s="1" t="s">
        <v>1864</v>
      </c>
      <c r="C55" s="1" t="s">
        <v>2074</v>
      </c>
    </row>
    <row r="56" spans="1:3">
      <c r="A56" s="1" t="s">
        <v>1865</v>
      </c>
      <c r="B56" s="1" t="s">
        <v>1866</v>
      </c>
      <c r="C56" s="1" t="s">
        <v>2074</v>
      </c>
    </row>
    <row r="57" spans="1:3">
      <c r="A57" s="1" t="s">
        <v>1867</v>
      </c>
      <c r="B57" s="1" t="s">
        <v>1868</v>
      </c>
      <c r="C57" s="1" t="s">
        <v>2074</v>
      </c>
    </row>
    <row r="58" spans="1:3">
      <c r="A58" s="1" t="s">
        <v>1869</v>
      </c>
      <c r="B58" s="1" t="s">
        <v>1870</v>
      </c>
      <c r="C58" s="1" t="s">
        <v>2074</v>
      </c>
    </row>
    <row r="59" spans="1:3">
      <c r="A59" s="1" t="s">
        <v>1871</v>
      </c>
      <c r="B59" s="1" t="s">
        <v>1872</v>
      </c>
      <c r="C59" s="1" t="s">
        <v>2074</v>
      </c>
    </row>
    <row r="60" spans="1:3">
      <c r="A60" s="1" t="s">
        <v>1873</v>
      </c>
      <c r="B60" s="1" t="s">
        <v>1874</v>
      </c>
      <c r="C60" s="1" t="s">
        <v>2074</v>
      </c>
    </row>
    <row r="61" spans="1:3">
      <c r="A61" s="1" t="s">
        <v>1875</v>
      </c>
      <c r="B61" s="1" t="s">
        <v>1876</v>
      </c>
      <c r="C61" s="1" t="s">
        <v>2074</v>
      </c>
    </row>
    <row r="62" spans="1:3">
      <c r="A62" s="1" t="s">
        <v>1877</v>
      </c>
      <c r="B62" s="1" t="s">
        <v>1878</v>
      </c>
      <c r="C62" s="1" t="s">
        <v>2074</v>
      </c>
    </row>
    <row r="63" spans="1:3">
      <c r="A63" s="1" t="s">
        <v>1879</v>
      </c>
      <c r="B63" s="1" t="s">
        <v>1880</v>
      </c>
      <c r="C63" s="1" t="s">
        <v>2074</v>
      </c>
    </row>
    <row r="64" spans="1:3">
      <c r="A64" s="1" t="s">
        <v>1881</v>
      </c>
      <c r="B64" s="1" t="s">
        <v>1882</v>
      </c>
      <c r="C64" s="1" t="s">
        <v>2074</v>
      </c>
    </row>
    <row r="65" spans="1:3">
      <c r="A65" s="1" t="s">
        <v>1883</v>
      </c>
      <c r="B65" s="1" t="s">
        <v>1884</v>
      </c>
      <c r="C65" s="1" t="s">
        <v>2074</v>
      </c>
    </row>
    <row r="66" spans="1:3">
      <c r="A66" s="1" t="s">
        <v>1885</v>
      </c>
      <c r="B66" s="1" t="s">
        <v>1886</v>
      </c>
      <c r="C66" s="1" t="s">
        <v>2074</v>
      </c>
    </row>
    <row r="67" spans="1:3">
      <c r="A67" s="1" t="s">
        <v>1887</v>
      </c>
      <c r="B67" s="1" t="s">
        <v>1888</v>
      </c>
      <c r="C67" s="1" t="s">
        <v>2074</v>
      </c>
    </row>
    <row r="68" spans="1:3">
      <c r="A68" s="1" t="s">
        <v>1889</v>
      </c>
      <c r="B68" s="1" t="s">
        <v>1890</v>
      </c>
      <c r="C68" s="1" t="s">
        <v>2074</v>
      </c>
    </row>
    <row r="69" spans="1:3">
      <c r="A69" s="1" t="s">
        <v>1891</v>
      </c>
      <c r="B69" s="1" t="s">
        <v>1892</v>
      </c>
      <c r="C69" s="1" t="s">
        <v>2074</v>
      </c>
    </row>
    <row r="70" spans="1:3">
      <c r="A70" s="1" t="s">
        <v>1893</v>
      </c>
      <c r="B70" s="1" t="s">
        <v>1894</v>
      </c>
      <c r="C70" s="1" t="s">
        <v>2074</v>
      </c>
    </row>
    <row r="71" spans="1:3">
      <c r="A71" s="1" t="s">
        <v>1895</v>
      </c>
      <c r="B71" s="1" t="s">
        <v>1896</v>
      </c>
      <c r="C71" s="1" t="s">
        <v>2074</v>
      </c>
    </row>
    <row r="72" spans="1:3">
      <c r="A72" s="1" t="s">
        <v>1897</v>
      </c>
      <c r="B72" s="1" t="s">
        <v>1898</v>
      </c>
      <c r="C72" s="1" t="s">
        <v>2074</v>
      </c>
    </row>
    <row r="73" spans="1:3">
      <c r="A73" s="1" t="s">
        <v>1899</v>
      </c>
      <c r="B73" s="1" t="s">
        <v>1900</v>
      </c>
      <c r="C73" s="1" t="s">
        <v>2074</v>
      </c>
    </row>
    <row r="74" spans="1:3">
      <c r="A74" s="1" t="s">
        <v>1901</v>
      </c>
      <c r="B74" s="1" t="s">
        <v>1902</v>
      </c>
      <c r="C74" s="1" t="s">
        <v>2074</v>
      </c>
    </row>
    <row r="75" spans="1:3">
      <c r="A75" s="1" t="s">
        <v>1903</v>
      </c>
      <c r="B75" s="1" t="s">
        <v>1904</v>
      </c>
      <c r="C75" s="1" t="s">
        <v>2074</v>
      </c>
    </row>
    <row r="76" spans="1:3">
      <c r="A76" s="1" t="s">
        <v>1905</v>
      </c>
      <c r="B76" s="1" t="s">
        <v>1906</v>
      </c>
      <c r="C76" s="1" t="s">
        <v>2074</v>
      </c>
    </row>
    <row r="77" spans="1:3">
      <c r="A77" s="1" t="s">
        <v>1907</v>
      </c>
      <c r="B77" s="1" t="s">
        <v>1908</v>
      </c>
      <c r="C77" s="1" t="s">
        <v>2074</v>
      </c>
    </row>
    <row r="78" spans="1:3">
      <c r="A78" s="1" t="s">
        <v>1909</v>
      </c>
      <c r="B78" s="1" t="s">
        <v>1910</v>
      </c>
      <c r="C78" s="1" t="s">
        <v>2074</v>
      </c>
    </row>
    <row r="79" spans="1:3">
      <c r="A79" s="1" t="s">
        <v>1911</v>
      </c>
      <c r="B79" s="1" t="s">
        <v>1912</v>
      </c>
      <c r="C79" s="1" t="s">
        <v>2074</v>
      </c>
    </row>
    <row r="80" spans="1:3">
      <c r="A80" s="1" t="s">
        <v>1913</v>
      </c>
      <c r="B80" s="1" t="s">
        <v>1914</v>
      </c>
      <c r="C80" s="1" t="s">
        <v>2074</v>
      </c>
    </row>
    <row r="81" spans="1:3">
      <c r="A81" s="1" t="s">
        <v>1915</v>
      </c>
      <c r="B81" s="1" t="s">
        <v>1916</v>
      </c>
      <c r="C81" s="1" t="s">
        <v>2074</v>
      </c>
    </row>
    <row r="82" spans="1:3">
      <c r="A82" s="1" t="s">
        <v>1917</v>
      </c>
      <c r="B82" s="1" t="s">
        <v>1918</v>
      </c>
      <c r="C82" s="1" t="s">
        <v>2074</v>
      </c>
    </row>
    <row r="83" spans="1:3">
      <c r="A83" s="1" t="s">
        <v>1919</v>
      </c>
      <c r="B83" s="1" t="s">
        <v>1920</v>
      </c>
      <c r="C83" s="1" t="s">
        <v>2074</v>
      </c>
    </row>
    <row r="84" spans="1:3">
      <c r="A84" s="1" t="s">
        <v>1921</v>
      </c>
      <c r="B84" s="1" t="s">
        <v>1922</v>
      </c>
      <c r="C84" s="1" t="s">
        <v>2074</v>
      </c>
    </row>
    <row r="85" spans="1:3">
      <c r="A85" s="1" t="s">
        <v>1923</v>
      </c>
      <c r="B85" s="1" t="s">
        <v>1924</v>
      </c>
      <c r="C85" s="1" t="s">
        <v>2074</v>
      </c>
    </row>
    <row r="86" spans="1:3">
      <c r="A86" s="1" t="s">
        <v>1925</v>
      </c>
      <c r="B86" s="1" t="s">
        <v>1926</v>
      </c>
      <c r="C86" s="1" t="s">
        <v>2074</v>
      </c>
    </row>
    <row r="87" spans="1:3">
      <c r="A87" s="1" t="s">
        <v>1927</v>
      </c>
      <c r="B87" s="1" t="s">
        <v>1928</v>
      </c>
      <c r="C87" s="1" t="s">
        <v>2074</v>
      </c>
    </row>
    <row r="88" spans="1:3">
      <c r="A88" s="1" t="s">
        <v>1929</v>
      </c>
      <c r="B88" s="1" t="s">
        <v>1930</v>
      </c>
      <c r="C88" s="1" t="s">
        <v>2074</v>
      </c>
    </row>
    <row r="89" spans="1:3">
      <c r="A89" s="1" t="s">
        <v>1931</v>
      </c>
      <c r="B89" s="1" t="s">
        <v>1932</v>
      </c>
      <c r="C89" s="1" t="s">
        <v>2074</v>
      </c>
    </row>
    <row r="90" spans="1:3">
      <c r="A90" s="1" t="s">
        <v>1933</v>
      </c>
      <c r="B90" s="1" t="s">
        <v>1934</v>
      </c>
      <c r="C90" s="1" t="s">
        <v>2074</v>
      </c>
    </row>
    <row r="91" spans="1:3">
      <c r="A91" s="1" t="s">
        <v>1935</v>
      </c>
      <c r="B91" s="1" t="s">
        <v>1936</v>
      </c>
      <c r="C91" s="1" t="s">
        <v>2074</v>
      </c>
    </row>
    <row r="92" spans="1:3">
      <c r="A92" s="1" t="s">
        <v>1937</v>
      </c>
      <c r="B92" s="1" t="s">
        <v>1938</v>
      </c>
      <c r="C92" s="1" t="s">
        <v>2074</v>
      </c>
    </row>
    <row r="93" spans="1:3">
      <c r="A93" s="1" t="s">
        <v>1939</v>
      </c>
      <c r="B93" s="1" t="s">
        <v>1940</v>
      </c>
      <c r="C93" s="1" t="s">
        <v>2074</v>
      </c>
    </row>
    <row r="94" spans="1:3">
      <c r="A94" s="1" t="s">
        <v>1941</v>
      </c>
      <c r="B94" s="1" t="s">
        <v>1942</v>
      </c>
      <c r="C94" s="1" t="s">
        <v>2074</v>
      </c>
    </row>
    <row r="95" spans="1:3">
      <c r="A95" s="1" t="s">
        <v>1943</v>
      </c>
      <c r="B95" s="1" t="s">
        <v>1944</v>
      </c>
      <c r="C95" s="1" t="s">
        <v>2074</v>
      </c>
    </row>
    <row r="96" spans="1:3">
      <c r="A96" s="1" t="s">
        <v>1945</v>
      </c>
      <c r="B96" s="1" t="s">
        <v>1946</v>
      </c>
      <c r="C96" s="1" t="s">
        <v>2074</v>
      </c>
    </row>
    <row r="97" spans="1:3">
      <c r="A97" s="1" t="s">
        <v>1947</v>
      </c>
      <c r="B97" s="1" t="s">
        <v>1948</v>
      </c>
      <c r="C97" s="1" t="s">
        <v>2074</v>
      </c>
    </row>
    <row r="98" spans="1:3">
      <c r="A98" s="1" t="s">
        <v>1949</v>
      </c>
      <c r="B98" s="1" t="s">
        <v>1950</v>
      </c>
      <c r="C98" s="1" t="s">
        <v>2074</v>
      </c>
    </row>
    <row r="99" spans="1:3">
      <c r="A99" s="1" t="s">
        <v>1951</v>
      </c>
      <c r="B99" s="1" t="s">
        <v>1952</v>
      </c>
      <c r="C99" s="1" t="s">
        <v>2074</v>
      </c>
    </row>
    <row r="100" spans="1:3">
      <c r="A100" s="1" t="s">
        <v>1953</v>
      </c>
      <c r="B100" s="1" t="s">
        <v>1954</v>
      </c>
      <c r="C100" s="1" t="s">
        <v>2074</v>
      </c>
    </row>
    <row r="101" spans="1:3">
      <c r="A101" s="1" t="s">
        <v>1955</v>
      </c>
      <c r="B101" s="1" t="s">
        <v>1956</v>
      </c>
      <c r="C101" s="1" t="s">
        <v>2074</v>
      </c>
    </row>
    <row r="102" spans="1:3">
      <c r="A102" s="1" t="s">
        <v>1957</v>
      </c>
      <c r="B102" s="1" t="s">
        <v>1958</v>
      </c>
      <c r="C102" s="1" t="s">
        <v>2074</v>
      </c>
    </row>
    <row r="103" spans="1:3">
      <c r="A103" s="1" t="s">
        <v>1959</v>
      </c>
      <c r="B103" s="1" t="s">
        <v>1960</v>
      </c>
      <c r="C103" s="1" t="s">
        <v>2074</v>
      </c>
    </row>
    <row r="104" spans="1:3">
      <c r="A104" s="1" t="s">
        <v>1961</v>
      </c>
      <c r="B104" s="1" t="s">
        <v>1962</v>
      </c>
      <c r="C104" s="1" t="s">
        <v>2074</v>
      </c>
    </row>
    <row r="105" spans="1:3">
      <c r="A105" s="1" t="s">
        <v>1963</v>
      </c>
      <c r="B105" s="1" t="s">
        <v>1964</v>
      </c>
      <c r="C105" s="1" t="s">
        <v>2074</v>
      </c>
    </row>
    <row r="106" spans="1:3">
      <c r="A106" s="1" t="s">
        <v>1965</v>
      </c>
      <c r="B106" s="1" t="s">
        <v>1966</v>
      </c>
      <c r="C106" s="1" t="s">
        <v>2074</v>
      </c>
    </row>
    <row r="107" spans="1:3">
      <c r="A107" s="1" t="s">
        <v>1967</v>
      </c>
      <c r="B107" s="1" t="s">
        <v>1968</v>
      </c>
      <c r="C107" s="1" t="s">
        <v>2074</v>
      </c>
    </row>
    <row r="108" spans="1:3">
      <c r="A108" s="1" t="s">
        <v>1969</v>
      </c>
      <c r="B108" s="1" t="s">
        <v>1970</v>
      </c>
      <c r="C108" s="1" t="s">
        <v>2074</v>
      </c>
    </row>
    <row r="109" spans="1:3">
      <c r="A109" s="1" t="s">
        <v>1971</v>
      </c>
      <c r="B109" s="1" t="s">
        <v>1972</v>
      </c>
      <c r="C109" s="1" t="s">
        <v>2074</v>
      </c>
    </row>
    <row r="110" spans="1:3">
      <c r="A110" s="1" t="s">
        <v>1973</v>
      </c>
      <c r="B110" s="1" t="s">
        <v>1974</v>
      </c>
      <c r="C110" s="1" t="s">
        <v>2074</v>
      </c>
    </row>
    <row r="111" spans="1:3">
      <c r="A111" s="1" t="s">
        <v>1975</v>
      </c>
      <c r="B111" s="1" t="s">
        <v>1976</v>
      </c>
      <c r="C111" s="1" t="s">
        <v>2074</v>
      </c>
    </row>
    <row r="112" spans="1:3">
      <c r="A112" s="1" t="s">
        <v>1977</v>
      </c>
      <c r="B112" s="1" t="s">
        <v>1978</v>
      </c>
      <c r="C112" s="1" t="s">
        <v>2074</v>
      </c>
    </row>
    <row r="113" spans="1:3">
      <c r="A113" s="1" t="s">
        <v>1979</v>
      </c>
      <c r="B113" s="1" t="s">
        <v>1980</v>
      </c>
      <c r="C113" s="1" t="s">
        <v>2074</v>
      </c>
    </row>
    <row r="114" spans="1:3">
      <c r="A114" s="1" t="s">
        <v>1981</v>
      </c>
      <c r="B114" s="1" t="s">
        <v>1982</v>
      </c>
      <c r="C114" s="1" t="s">
        <v>2074</v>
      </c>
    </row>
    <row r="115" spans="1:3">
      <c r="A115" s="1" t="s">
        <v>1983</v>
      </c>
      <c r="B115" s="1" t="s">
        <v>1984</v>
      </c>
      <c r="C115" s="1" t="s">
        <v>2074</v>
      </c>
    </row>
    <row r="116" spans="1:3">
      <c r="A116" s="1" t="s">
        <v>1985</v>
      </c>
      <c r="B116" s="1" t="s">
        <v>1986</v>
      </c>
      <c r="C116" s="1" t="s">
        <v>2074</v>
      </c>
    </row>
    <row r="117" spans="1:3">
      <c r="A117" s="1" t="s">
        <v>1987</v>
      </c>
      <c r="B117" s="1" t="s">
        <v>1988</v>
      </c>
      <c r="C117" s="1" t="s">
        <v>2074</v>
      </c>
    </row>
    <row r="118" spans="1:3">
      <c r="A118" s="1" t="s">
        <v>1989</v>
      </c>
      <c r="B118" s="1" t="s">
        <v>1990</v>
      </c>
      <c r="C118" s="1" t="s">
        <v>2074</v>
      </c>
    </row>
    <row r="119" spans="1:3">
      <c r="A119" s="1" t="s">
        <v>1991</v>
      </c>
      <c r="B119" s="1" t="s">
        <v>1992</v>
      </c>
      <c r="C119" s="1" t="s">
        <v>2074</v>
      </c>
    </row>
    <row r="120" spans="1:3">
      <c r="A120" s="1" t="s">
        <v>1993</v>
      </c>
      <c r="B120" s="1" t="s">
        <v>1994</v>
      </c>
      <c r="C120" s="1" t="s">
        <v>2074</v>
      </c>
    </row>
    <row r="121" spans="1:3">
      <c r="A121" s="1" t="s">
        <v>1995</v>
      </c>
      <c r="B121" s="1" t="s">
        <v>1996</v>
      </c>
      <c r="C121" s="1" t="s">
        <v>2074</v>
      </c>
    </row>
    <row r="122" spans="1:3">
      <c r="A122" s="1" t="s">
        <v>1997</v>
      </c>
      <c r="B122" s="1" t="s">
        <v>1998</v>
      </c>
      <c r="C122" s="1" t="s">
        <v>2074</v>
      </c>
    </row>
    <row r="123" spans="1:3">
      <c r="A123" s="1" t="s">
        <v>1999</v>
      </c>
      <c r="B123" s="1" t="s">
        <v>2000</v>
      </c>
      <c r="C123" s="1" t="s">
        <v>2074</v>
      </c>
    </row>
    <row r="124" spans="1:3">
      <c r="A124" s="1" t="s">
        <v>2001</v>
      </c>
      <c r="B124" s="1" t="s">
        <v>2002</v>
      </c>
      <c r="C124" s="1" t="s">
        <v>2074</v>
      </c>
    </row>
    <row r="125" spans="1:3">
      <c r="A125" s="1" t="s">
        <v>2003</v>
      </c>
      <c r="B125" s="1" t="s">
        <v>2004</v>
      </c>
      <c r="C125" s="1" t="s">
        <v>2074</v>
      </c>
    </row>
    <row r="126" spans="1:3">
      <c r="A126" s="1" t="s">
        <v>2005</v>
      </c>
      <c r="B126" s="1" t="s">
        <v>2006</v>
      </c>
      <c r="C126" s="1" t="s">
        <v>2074</v>
      </c>
    </row>
    <row r="127" spans="1:3">
      <c r="A127" s="1" t="s">
        <v>2007</v>
      </c>
      <c r="B127" s="1" t="s">
        <v>2008</v>
      </c>
      <c r="C127" s="1" t="s">
        <v>2074</v>
      </c>
    </row>
    <row r="128" spans="1:3">
      <c r="A128" s="1" t="s">
        <v>2009</v>
      </c>
      <c r="B128" s="1" t="s">
        <v>2010</v>
      </c>
      <c r="C128" s="1" t="s">
        <v>2074</v>
      </c>
    </row>
    <row r="129" spans="1:3">
      <c r="A129" s="1" t="s">
        <v>2011</v>
      </c>
      <c r="B129" s="1" t="s">
        <v>2012</v>
      </c>
      <c r="C129" s="1" t="s">
        <v>2074</v>
      </c>
    </row>
    <row r="130" spans="1:3">
      <c r="A130" s="1" t="s">
        <v>2013</v>
      </c>
      <c r="B130" s="1" t="s">
        <v>2014</v>
      </c>
      <c r="C130" s="1" t="s">
        <v>2074</v>
      </c>
    </row>
    <row r="131" spans="1:3">
      <c r="A131" s="1" t="s">
        <v>2015</v>
      </c>
      <c r="B131" s="1" t="s">
        <v>2016</v>
      </c>
      <c r="C131" s="1" t="s">
        <v>2074</v>
      </c>
    </row>
    <row r="132" spans="1:3">
      <c r="A132" s="1" t="s">
        <v>2017</v>
      </c>
      <c r="B132" s="1" t="s">
        <v>2018</v>
      </c>
      <c r="C132" s="1" t="s">
        <v>2074</v>
      </c>
    </row>
    <row r="133" spans="1:3">
      <c r="A133" s="1" t="s">
        <v>2019</v>
      </c>
      <c r="B133" s="1" t="s">
        <v>2020</v>
      </c>
      <c r="C133" s="1" t="s">
        <v>2074</v>
      </c>
    </row>
    <row r="134" spans="1:3">
      <c r="A134" s="1" t="s">
        <v>2021</v>
      </c>
      <c r="B134" s="1" t="s">
        <v>2022</v>
      </c>
      <c r="C134" s="1" t="s">
        <v>2074</v>
      </c>
    </row>
    <row r="135" spans="1:3">
      <c r="A135" s="1" t="s">
        <v>2023</v>
      </c>
      <c r="B135" s="1" t="s">
        <v>2024</v>
      </c>
      <c r="C135" s="1" t="s">
        <v>2074</v>
      </c>
    </row>
    <row r="136" spans="1:3">
      <c r="A136" s="1" t="s">
        <v>2025</v>
      </c>
      <c r="B136" s="1" t="s">
        <v>2026</v>
      </c>
      <c r="C136" s="1" t="s">
        <v>2074</v>
      </c>
    </row>
    <row r="137" spans="1:3">
      <c r="A137" s="1" t="s">
        <v>2027</v>
      </c>
      <c r="B137" s="1" t="s">
        <v>2028</v>
      </c>
      <c r="C137" s="1" t="s">
        <v>2074</v>
      </c>
    </row>
    <row r="138" spans="1:3">
      <c r="A138" s="1" t="s">
        <v>2029</v>
      </c>
      <c r="B138" s="1" t="s">
        <v>2030</v>
      </c>
      <c r="C138" s="1" t="s">
        <v>2074</v>
      </c>
    </row>
    <row r="139" spans="1:3">
      <c r="A139" s="1" t="s">
        <v>2031</v>
      </c>
      <c r="B139" s="1" t="s">
        <v>2032</v>
      </c>
      <c r="C139" s="1" t="s">
        <v>2074</v>
      </c>
    </row>
    <row r="140" spans="1:3">
      <c r="A140" s="1" t="s">
        <v>2033</v>
      </c>
      <c r="B140" s="1" t="s">
        <v>2034</v>
      </c>
      <c r="C140" s="1" t="s">
        <v>2074</v>
      </c>
    </row>
    <row r="141" spans="1:3">
      <c r="A141" s="1" t="s">
        <v>2035</v>
      </c>
      <c r="B141" s="1" t="s">
        <v>2036</v>
      </c>
      <c r="C141" s="1" t="s">
        <v>2074</v>
      </c>
    </row>
    <row r="142" spans="1:3">
      <c r="A142" s="1" t="s">
        <v>2037</v>
      </c>
      <c r="B142" s="1" t="s">
        <v>2038</v>
      </c>
      <c r="C142" s="1" t="s">
        <v>2074</v>
      </c>
    </row>
    <row r="143" spans="1:3">
      <c r="A143" s="1" t="s">
        <v>2039</v>
      </c>
      <c r="B143" s="1" t="s">
        <v>2040</v>
      </c>
      <c r="C143" s="1" t="s">
        <v>2074</v>
      </c>
    </row>
    <row r="144" spans="1:3">
      <c r="A144" s="1" t="s">
        <v>2041</v>
      </c>
      <c r="B144" s="1" t="s">
        <v>2042</v>
      </c>
      <c r="C144" s="1" t="s">
        <v>2074</v>
      </c>
    </row>
    <row r="145" spans="1:3">
      <c r="A145" s="1" t="s">
        <v>2043</v>
      </c>
      <c r="B145" s="1" t="s">
        <v>2044</v>
      </c>
      <c r="C145" s="1" t="s">
        <v>2074</v>
      </c>
    </row>
    <row r="146" spans="1:3">
      <c r="A146" s="1" t="s">
        <v>2045</v>
      </c>
      <c r="B146" s="1" t="s">
        <v>2046</v>
      </c>
      <c r="C146" s="1" t="s">
        <v>2074</v>
      </c>
    </row>
    <row r="147" spans="1:3">
      <c r="A147" s="1" t="s">
        <v>2047</v>
      </c>
      <c r="B147" s="1" t="s">
        <v>2048</v>
      </c>
      <c r="C147" s="1" t="s">
        <v>2074</v>
      </c>
    </row>
    <row r="148" spans="1:3">
      <c r="A148" s="1" t="s">
        <v>2049</v>
      </c>
      <c r="B148" s="1" t="s">
        <v>2050</v>
      </c>
      <c r="C148" s="1" t="s">
        <v>2074</v>
      </c>
    </row>
    <row r="149" spans="1:3">
      <c r="A149" s="1" t="s">
        <v>2051</v>
      </c>
      <c r="B149" s="1" t="s">
        <v>2052</v>
      </c>
      <c r="C149" s="1" t="s">
        <v>2074</v>
      </c>
    </row>
    <row r="150" spans="1:3">
      <c r="A150" s="1" t="s">
        <v>2053</v>
      </c>
      <c r="B150" s="1" t="s">
        <v>2054</v>
      </c>
      <c r="C150" s="1" t="s">
        <v>2074</v>
      </c>
    </row>
    <row r="151" spans="1:3">
      <c r="A151" s="1" t="s">
        <v>2055</v>
      </c>
      <c r="B151" s="1" t="s">
        <v>2056</v>
      </c>
      <c r="C151" s="1" t="s">
        <v>2074</v>
      </c>
    </row>
    <row r="152" spans="1:3">
      <c r="A152" s="1" t="s">
        <v>2057</v>
      </c>
      <c r="B152" s="1" t="s">
        <v>2058</v>
      </c>
      <c r="C152" s="1" t="s">
        <v>2074</v>
      </c>
    </row>
    <row r="153" spans="1:3">
      <c r="A153" s="1" t="s">
        <v>2059</v>
      </c>
      <c r="B153" s="1" t="s">
        <v>2060</v>
      </c>
      <c r="C153" s="1" t="s">
        <v>2074</v>
      </c>
    </row>
    <row r="154" spans="1:3">
      <c r="A154" s="1" t="s">
        <v>2061</v>
      </c>
      <c r="B154" s="1" t="s">
        <v>2062</v>
      </c>
      <c r="C154" s="1" t="s">
        <v>2074</v>
      </c>
    </row>
    <row r="155" spans="1:3">
      <c r="A155" s="1" t="s">
        <v>2063</v>
      </c>
      <c r="B155" s="1" t="s">
        <v>2064</v>
      </c>
      <c r="C155" s="1" t="s">
        <v>2075</v>
      </c>
    </row>
    <row r="156" spans="1:3">
      <c r="A156" s="1" t="s">
        <v>2065</v>
      </c>
      <c r="B156" s="1" t="s">
        <v>2066</v>
      </c>
      <c r="C156" s="1" t="s">
        <v>2075</v>
      </c>
    </row>
    <row r="157" spans="1:3">
      <c r="A157" s="1" t="s">
        <v>2067</v>
      </c>
      <c r="B157" s="1" t="s">
        <v>2068</v>
      </c>
      <c r="C157" s="1" t="s">
        <v>2075</v>
      </c>
    </row>
    <row r="158" spans="1:3">
      <c r="A158" s="1" t="s">
        <v>2069</v>
      </c>
      <c r="B158" s="1" t="s">
        <v>2070</v>
      </c>
      <c r="C158" s="1" t="s">
        <v>26</v>
      </c>
    </row>
    <row r="159" spans="1:3">
      <c r="A159" s="1" t="s">
        <v>2071</v>
      </c>
      <c r="B159" s="1" t="s">
        <v>2072</v>
      </c>
      <c r="C159" s="1" t="s">
        <v>26</v>
      </c>
    </row>
  </sheetData>
  <customSheetViews>
    <customSheetView guid="{5693F48F-8FCA-4CC0-9286-11E7497B1810}" state="hidden">
      <selection activeCell="I18" sqref="I18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B1:AB20"/>
  <sheetViews>
    <sheetView zoomScaleNormal="100" workbookViewId="0">
      <selection activeCell="D7" sqref="D7"/>
    </sheetView>
  </sheetViews>
  <sheetFormatPr defaultRowHeight="15.75"/>
  <cols>
    <col min="1" max="1" width="4" style="9" customWidth="1"/>
    <col min="2" max="2" width="6.375" style="9" customWidth="1"/>
    <col min="3" max="3" width="33.5" style="9" customWidth="1"/>
    <col min="4" max="4" width="27" style="9" customWidth="1"/>
    <col min="5" max="5" width="89.25" style="9" customWidth="1"/>
    <col min="6" max="16384" width="9" style="9"/>
  </cols>
  <sheetData>
    <row r="1" spans="2:28" ht="25.5">
      <c r="B1" s="7" t="s">
        <v>2084</v>
      </c>
      <c r="C1" s="8"/>
    </row>
    <row r="2" spans="2:28">
      <c r="B2" s="149" t="s">
        <v>2092</v>
      </c>
      <c r="C2" s="150"/>
    </row>
    <row r="3" spans="2:28">
      <c r="B3" s="11" t="s">
        <v>2085</v>
      </c>
      <c r="C3" s="11" t="s">
        <v>2086</v>
      </c>
      <c r="D3" s="11" t="s">
        <v>2084</v>
      </c>
      <c r="E3" s="11" t="s">
        <v>2087</v>
      </c>
    </row>
    <row r="4" spans="2:28" ht="113.25" customHeight="1">
      <c r="B4" s="12">
        <v>1</v>
      </c>
      <c r="C4" s="119" t="s">
        <v>2164</v>
      </c>
      <c r="D4" s="14" t="s">
        <v>2165</v>
      </c>
      <c r="E4" s="15"/>
    </row>
    <row r="5" spans="2:28" ht="113.25" customHeight="1">
      <c r="B5" s="12">
        <v>2</v>
      </c>
      <c r="C5" s="14" t="s">
        <v>2159</v>
      </c>
      <c r="D5" s="14" t="s">
        <v>2126</v>
      </c>
      <c r="E5" s="15"/>
    </row>
    <row r="6" spans="2:28" ht="113.25" customHeight="1">
      <c r="B6" s="12">
        <v>3</v>
      </c>
      <c r="C6" s="14" t="s">
        <v>2160</v>
      </c>
      <c r="D6" s="14" t="s">
        <v>2127</v>
      </c>
      <c r="E6" s="15"/>
    </row>
    <row r="7" spans="2:28" ht="113.25" customHeight="1">
      <c r="B7" s="12">
        <v>4</v>
      </c>
      <c r="C7" s="119" t="s">
        <v>2162</v>
      </c>
      <c r="D7" s="14" t="s">
        <v>2124</v>
      </c>
      <c r="E7" s="15"/>
    </row>
    <row r="9" spans="2:28">
      <c r="B9" s="16" t="s">
        <v>2125</v>
      </c>
      <c r="C9" s="16"/>
      <c r="D9" s="16"/>
      <c r="E9" s="16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2:28" ht="22.5" customHeight="1">
      <c r="B10" s="11" t="s">
        <v>6</v>
      </c>
      <c r="C10" s="11" t="s">
        <v>2086</v>
      </c>
      <c r="D10" s="151" t="s">
        <v>2084</v>
      </c>
      <c r="E10" s="152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</row>
    <row r="11" spans="2:28" ht="42.75" customHeight="1">
      <c r="B11" s="15">
        <v>1</v>
      </c>
      <c r="C11" s="18" t="s">
        <v>2128</v>
      </c>
      <c r="D11" s="148" t="s">
        <v>2129</v>
      </c>
      <c r="E11" s="14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</row>
    <row r="12" spans="2:28" ht="42.75" customHeight="1">
      <c r="B12" s="15">
        <v>2</v>
      </c>
      <c r="C12" s="18" t="s">
        <v>2130</v>
      </c>
      <c r="D12" s="148" t="s">
        <v>2131</v>
      </c>
      <c r="E12" s="147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</row>
    <row r="13" spans="2:28" ht="42.75" customHeight="1">
      <c r="B13" s="15">
        <v>3</v>
      </c>
      <c r="C13" s="18" t="s">
        <v>2098</v>
      </c>
      <c r="D13" s="148" t="s">
        <v>2132</v>
      </c>
      <c r="E13" s="147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</row>
    <row r="14" spans="2:28" ht="42.75" customHeight="1">
      <c r="B14" s="15">
        <v>4</v>
      </c>
      <c r="C14" s="20" t="s">
        <v>2093</v>
      </c>
      <c r="D14" s="146" t="s">
        <v>2133</v>
      </c>
      <c r="E14" s="147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</row>
    <row r="15" spans="2:28" ht="37.5" customHeight="1">
      <c r="B15" s="15">
        <v>5</v>
      </c>
      <c r="C15" s="20" t="s">
        <v>2094</v>
      </c>
      <c r="D15" s="146" t="s">
        <v>2134</v>
      </c>
      <c r="E15" s="147"/>
    </row>
    <row r="17" spans="2:5">
      <c r="B17" s="10" t="s">
        <v>2091</v>
      </c>
    </row>
    <row r="18" spans="2:5">
      <c r="B18" s="15" t="s">
        <v>6</v>
      </c>
      <c r="C18" s="21" t="s">
        <v>7</v>
      </c>
      <c r="D18" s="13" t="s">
        <v>2080</v>
      </c>
      <c r="E18" s="13" t="s">
        <v>2079</v>
      </c>
    </row>
    <row r="19" spans="2:5" ht="36.75" customHeight="1">
      <c r="B19" s="15">
        <v>1</v>
      </c>
      <c r="C19" s="21" t="s">
        <v>25</v>
      </c>
      <c r="D19" s="130" t="s">
        <v>2169</v>
      </c>
      <c r="E19" s="14"/>
    </row>
    <row r="20" spans="2:5" ht="36.75" customHeight="1">
      <c r="B20" s="15">
        <v>2</v>
      </c>
      <c r="C20" s="4" t="s">
        <v>2163</v>
      </c>
      <c r="D20" s="131" t="s">
        <v>2170</v>
      </c>
      <c r="E20" s="13"/>
    </row>
  </sheetData>
  <protectedRanges>
    <protectedRange sqref="C19:C20" name="範圍4"/>
  </protectedRanges>
  <customSheetViews>
    <customSheetView guid="{5693F48F-8FCA-4CC0-9286-11E7497B1810}" scale="85">
      <selection activeCell="C6" sqref="C6"/>
      <pageMargins left="0.7" right="0.7" top="0.75" bottom="0.75" header="0.3" footer="0.3"/>
      <pageSetup orientation="portrait" r:id="rId1"/>
    </customSheetView>
  </customSheetViews>
  <mergeCells count="7">
    <mergeCell ref="D15:E15"/>
    <mergeCell ref="D13:E13"/>
    <mergeCell ref="B2:C2"/>
    <mergeCell ref="D10:E10"/>
    <mergeCell ref="D11:E11"/>
    <mergeCell ref="D12:E12"/>
    <mergeCell ref="D14:E14"/>
  </mergeCells>
  <phoneticPr fontId="3" type="noConversion"/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AU57"/>
  <sheetViews>
    <sheetView showGridLines="0" zoomScale="85" zoomScaleNormal="85" workbookViewId="0">
      <selection activeCell="F25" sqref="F25:Q25"/>
    </sheetView>
  </sheetViews>
  <sheetFormatPr defaultColWidth="8.5" defaultRowHeight="15.75"/>
  <cols>
    <col min="1" max="1" width="2.625" style="23" customWidth="1"/>
    <col min="2" max="2" width="2.625" style="71" customWidth="1"/>
    <col min="3" max="3" width="3.625" style="71" customWidth="1"/>
    <col min="4" max="14" width="2.625" style="71" customWidth="1"/>
    <col min="15" max="17" width="3.75" style="71" customWidth="1"/>
    <col min="18" max="18" width="2.625" style="71" customWidth="1"/>
    <col min="19" max="21" width="2.875" style="71" customWidth="1"/>
    <col min="22" max="26" width="2.625" style="71" customWidth="1"/>
    <col min="27" max="29" width="3.625" style="71" customWidth="1"/>
    <col min="30" max="32" width="3.5" style="71" customWidth="1"/>
    <col min="33" max="35" width="4" style="71" customWidth="1"/>
    <col min="36" max="36" width="2.75" style="23" customWidth="1"/>
    <col min="37" max="37" width="10.625" style="23" customWidth="1"/>
    <col min="38" max="16384" width="8.5" style="23"/>
  </cols>
  <sheetData>
    <row r="1" spans="2:47" ht="22.5">
      <c r="B1" s="263" t="s">
        <v>2135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264"/>
      <c r="AI1" s="264"/>
      <c r="AJ1" s="265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</row>
    <row r="2" spans="2:47" s="28" customFormat="1" ht="15.75" customHeight="1"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66" t="s">
        <v>5</v>
      </c>
      <c r="AB2" s="266"/>
      <c r="AC2" s="266"/>
      <c r="AD2" s="267"/>
      <c r="AE2" s="267"/>
      <c r="AF2" s="267"/>
      <c r="AG2" s="267"/>
      <c r="AH2" s="267"/>
      <c r="AI2" s="267"/>
      <c r="AJ2" s="26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</row>
    <row r="3" spans="2:47" s="28" customFormat="1" ht="15.75" customHeight="1">
      <c r="B3" s="29"/>
      <c r="C3" s="30" t="s">
        <v>2089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268" t="s">
        <v>2100</v>
      </c>
      <c r="AB3" s="268"/>
      <c r="AC3" s="268"/>
      <c r="AD3" s="269"/>
      <c r="AE3" s="269"/>
      <c r="AF3" s="269"/>
      <c r="AG3" s="269"/>
      <c r="AH3" s="269"/>
      <c r="AI3" s="269"/>
      <c r="AJ3" s="32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</row>
    <row r="4" spans="2:47" s="37" customFormat="1" ht="15.75" customHeight="1">
      <c r="B4" s="33"/>
      <c r="C4" s="34">
        <v>1</v>
      </c>
      <c r="D4" s="249" t="s">
        <v>16</v>
      </c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49"/>
      <c r="Q4" s="249"/>
      <c r="R4" s="249"/>
      <c r="S4" s="249"/>
      <c r="T4" s="249"/>
      <c r="U4" s="249"/>
      <c r="V4" s="249"/>
      <c r="W4" s="249"/>
      <c r="X4" s="249"/>
      <c r="Y4" s="249"/>
      <c r="Z4" s="249"/>
      <c r="AA4" s="249"/>
      <c r="AB4" s="249"/>
      <c r="AC4" s="249"/>
      <c r="AD4" s="250"/>
      <c r="AE4" s="250"/>
      <c r="AF4" s="250"/>
      <c r="AG4" s="250"/>
      <c r="AH4" s="250"/>
      <c r="AI4" s="250"/>
      <c r="AJ4" s="35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2:47" s="37" customFormat="1" ht="15.75" customHeight="1">
      <c r="B5" s="33"/>
      <c r="C5" s="34">
        <v>2</v>
      </c>
      <c r="D5" s="249" t="s">
        <v>17</v>
      </c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50"/>
      <c r="AE5" s="250"/>
      <c r="AF5" s="250"/>
      <c r="AG5" s="250"/>
      <c r="AH5" s="250"/>
      <c r="AI5" s="250"/>
      <c r="AJ5" s="38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</row>
    <row r="6" spans="2:47" s="37" customFormat="1" ht="15.75" customHeight="1">
      <c r="B6" s="33"/>
      <c r="C6" s="34">
        <v>3</v>
      </c>
      <c r="D6" s="249" t="s">
        <v>2077</v>
      </c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  <c r="T6" s="249"/>
      <c r="U6" s="249"/>
      <c r="V6" s="249"/>
      <c r="W6" s="249"/>
      <c r="X6" s="249"/>
      <c r="Y6" s="249"/>
      <c r="Z6" s="249"/>
      <c r="AA6" s="249"/>
      <c r="AB6" s="249"/>
      <c r="AC6" s="249"/>
      <c r="AD6" s="250"/>
      <c r="AE6" s="250"/>
      <c r="AF6" s="250"/>
      <c r="AG6" s="250"/>
      <c r="AH6" s="250"/>
      <c r="AI6" s="250"/>
      <c r="AJ6" s="35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</row>
    <row r="7" spans="2:47" s="37" customFormat="1" ht="15.75" customHeight="1">
      <c r="B7" s="33"/>
      <c r="C7" s="39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1"/>
      <c r="AE7" s="41"/>
      <c r="AF7" s="41"/>
      <c r="AG7" s="41"/>
      <c r="AH7" s="41"/>
      <c r="AI7" s="41"/>
      <c r="AJ7" s="38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</row>
    <row r="8" spans="2:47" s="37" customFormat="1" ht="15.75" customHeight="1">
      <c r="B8" s="33"/>
      <c r="C8" s="165" t="s">
        <v>2088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53" t="s">
        <v>2102</v>
      </c>
      <c r="AE8" s="154"/>
      <c r="AF8" s="155" t="s">
        <v>2121</v>
      </c>
      <c r="AG8" s="156"/>
      <c r="AH8" s="157" t="s">
        <v>2122</v>
      </c>
      <c r="AI8" s="158"/>
      <c r="AJ8" s="38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</row>
    <row r="9" spans="2:47" s="37" customFormat="1" ht="15.75" customHeight="1">
      <c r="B9" s="33"/>
      <c r="C9" s="34">
        <v>1</v>
      </c>
      <c r="D9" s="249" t="s">
        <v>2146</v>
      </c>
      <c r="E9" s="249"/>
      <c r="F9" s="249"/>
      <c r="G9" s="249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  <c r="V9" s="249"/>
      <c r="W9" s="249"/>
      <c r="X9" s="249"/>
      <c r="Y9" s="249"/>
      <c r="Z9" s="249"/>
      <c r="AA9" s="249"/>
      <c r="AB9" s="249"/>
      <c r="AC9" s="249"/>
      <c r="AD9" s="153">
        <f>AF9+AH9</f>
        <v>3258</v>
      </c>
      <c r="AE9" s="154"/>
      <c r="AF9" s="159">
        <f>COUNTA('Testable nets list'!B:B)-1-AF10-AF11</f>
        <v>1784</v>
      </c>
      <c r="AG9" s="160"/>
      <c r="AH9" s="159">
        <f>COUNTA('Untestable nets list'!C:C)-1-AH10-AH11</f>
        <v>1474</v>
      </c>
      <c r="AI9" s="160"/>
      <c r="AJ9" s="38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</row>
    <row r="10" spans="2:47" s="37" customFormat="1" ht="15.75" customHeight="1">
      <c r="B10" s="33"/>
      <c r="C10" s="34">
        <v>2</v>
      </c>
      <c r="D10" s="249" t="s">
        <v>2149</v>
      </c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  <c r="V10" s="249"/>
      <c r="W10" s="249"/>
      <c r="X10" s="249"/>
      <c r="Y10" s="249"/>
      <c r="Z10" s="249"/>
      <c r="AA10" s="249"/>
      <c r="AB10" s="249"/>
      <c r="AC10" s="249"/>
      <c r="AD10" s="153">
        <f>COUNTA('Nets not required'!B:B)-1</f>
        <v>59</v>
      </c>
      <c r="AE10" s="154"/>
      <c r="AF10" s="159">
        <f>COUNTIFS('Testable nets list'!H:H,"Y")</f>
        <v>0</v>
      </c>
      <c r="AG10" s="160"/>
      <c r="AH10" s="159">
        <f>COUNTIFS('Untestable nets list'!E:E,"Y")</f>
        <v>0</v>
      </c>
      <c r="AI10" s="160"/>
      <c r="AJ10" s="38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</row>
    <row r="11" spans="2:47" s="37" customFormat="1" ht="15.75" customHeight="1">
      <c r="B11" s="33"/>
      <c r="C11" s="34">
        <v>3</v>
      </c>
      <c r="D11" s="249" t="s">
        <v>2154</v>
      </c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153">
        <f>COUNTA('Nets not required'!E:E)-1</f>
        <v>499</v>
      </c>
      <c r="AE11" s="154"/>
      <c r="AF11" s="159">
        <f>COUNTIFS('Testable nets list'!I:I,"Y")</f>
        <v>0</v>
      </c>
      <c r="AG11" s="160"/>
      <c r="AH11" s="159">
        <f>COUNTIFS('Untestable nets list'!F:F,"Y")</f>
        <v>0</v>
      </c>
      <c r="AI11" s="160"/>
      <c r="AJ11" s="38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</row>
    <row r="12" spans="2:47" s="37" customFormat="1" ht="15.75" customHeight="1">
      <c r="B12" s="33"/>
      <c r="C12" s="34">
        <v>4</v>
      </c>
      <c r="D12" s="249" t="s">
        <v>2161</v>
      </c>
      <c r="E12" s="249"/>
      <c r="F12" s="249"/>
      <c r="G12" s="249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153">
        <f>COUNTA('Nets not required'!K:K)-1</f>
        <v>37</v>
      </c>
      <c r="AE12" s="154"/>
      <c r="AF12" s="159" t="s">
        <v>2141</v>
      </c>
      <c r="AG12" s="160"/>
      <c r="AH12" s="163">
        <f>AD12</f>
        <v>37</v>
      </c>
      <c r="AI12" s="164"/>
      <c r="AJ12" s="38"/>
      <c r="AK12" s="36"/>
      <c r="AL12" s="36"/>
      <c r="AM12" s="36"/>
      <c r="AN12" s="36" t="s">
        <v>2118</v>
      </c>
      <c r="AO12" s="36"/>
      <c r="AP12" s="36"/>
      <c r="AQ12" s="36"/>
      <c r="AR12" s="36"/>
      <c r="AS12" s="36"/>
      <c r="AT12" s="36"/>
      <c r="AU12" s="36"/>
    </row>
    <row r="13" spans="2:47" s="37" customFormat="1" ht="15.75" customHeight="1">
      <c r="B13" s="33"/>
      <c r="C13" s="166" t="s">
        <v>2078</v>
      </c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53">
        <f>AF13+AH13</f>
        <v>3295</v>
      </c>
      <c r="AE13" s="154"/>
      <c r="AF13" s="161">
        <f>SUM(AF9:AF12)</f>
        <v>1784</v>
      </c>
      <c r="AG13" s="162"/>
      <c r="AH13" s="161">
        <f>SUM(AH9:AH12)</f>
        <v>1511</v>
      </c>
      <c r="AI13" s="162"/>
      <c r="AJ13" s="38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</row>
    <row r="14" spans="2:47" s="37" customFormat="1" ht="15.75" customHeight="1">
      <c r="B14" s="33"/>
      <c r="C14" s="39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6"/>
      <c r="AE14" s="186"/>
      <c r="AF14" s="186"/>
      <c r="AG14" s="186"/>
      <c r="AH14" s="186"/>
      <c r="AI14" s="186"/>
      <c r="AJ14" s="38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</row>
    <row r="15" spans="2:47" s="37" customFormat="1" ht="15.75" customHeight="1">
      <c r="B15" s="33"/>
      <c r="C15" s="187" t="s">
        <v>2147</v>
      </c>
      <c r="D15" s="187"/>
      <c r="E15" s="187"/>
      <c r="F15" s="187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187"/>
      <c r="X15" s="187"/>
      <c r="Y15" s="187"/>
      <c r="Z15" s="187"/>
      <c r="AA15" s="187"/>
      <c r="AB15" s="187"/>
      <c r="AC15" s="187"/>
      <c r="AD15" s="186"/>
      <c r="AE15" s="186"/>
      <c r="AF15" s="186"/>
      <c r="AG15" s="186"/>
      <c r="AH15" s="186"/>
      <c r="AI15" s="186"/>
      <c r="AJ15" s="38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</row>
    <row r="16" spans="2:47" s="37" customFormat="1" ht="15.75" customHeight="1">
      <c r="B16" s="33"/>
      <c r="C16" s="34">
        <v>1</v>
      </c>
      <c r="D16" s="251" t="s">
        <v>2101</v>
      </c>
      <c r="E16" s="252"/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3"/>
      <c r="AD16" s="201">
        <f>AD9</f>
        <v>3258</v>
      </c>
      <c r="AE16" s="202"/>
      <c r="AF16" s="202"/>
      <c r="AG16" s="202"/>
      <c r="AH16" s="202"/>
      <c r="AI16" s="203"/>
      <c r="AJ16" s="38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</row>
    <row r="17" spans="2:47" s="37" customFormat="1" ht="15.75" customHeight="1">
      <c r="B17" s="33"/>
      <c r="C17" s="34">
        <v>2</v>
      </c>
      <c r="D17" s="251" t="s">
        <v>2148</v>
      </c>
      <c r="E17" s="252"/>
      <c r="F17" s="252"/>
      <c r="G17" s="252"/>
      <c r="H17" s="252"/>
      <c r="I17" s="252"/>
      <c r="J17" s="252"/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V17" s="252"/>
      <c r="W17" s="252"/>
      <c r="X17" s="252"/>
      <c r="Y17" s="252"/>
      <c r="Z17" s="252"/>
      <c r="AA17" s="252"/>
      <c r="AB17" s="252"/>
      <c r="AC17" s="253"/>
      <c r="AD17" s="201">
        <f>AH9</f>
        <v>1474</v>
      </c>
      <c r="AE17" s="202"/>
      <c r="AF17" s="202"/>
      <c r="AG17" s="202"/>
      <c r="AH17" s="202"/>
      <c r="AI17" s="203"/>
      <c r="AJ17" s="38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</row>
    <row r="18" spans="2:47" s="37" customFormat="1" ht="15.75" customHeight="1">
      <c r="B18" s="33"/>
      <c r="C18" s="34">
        <v>3</v>
      </c>
      <c r="D18" s="251" t="s">
        <v>2158</v>
      </c>
      <c r="E18" s="252"/>
      <c r="F18" s="252"/>
      <c r="G18" s="252"/>
      <c r="H18" s="252"/>
      <c r="I18" s="252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3"/>
      <c r="AD18" s="254"/>
      <c r="AE18" s="255"/>
      <c r="AF18" s="255"/>
      <c r="AG18" s="255"/>
      <c r="AH18" s="255"/>
      <c r="AI18" s="256"/>
      <c r="AJ18" s="43"/>
      <c r="AK18" s="44"/>
      <c r="AL18" s="36"/>
      <c r="AM18" s="36"/>
      <c r="AN18" s="36"/>
      <c r="AO18" s="36"/>
      <c r="AP18" s="36"/>
      <c r="AQ18" s="36"/>
      <c r="AR18" s="36"/>
      <c r="AS18" s="36"/>
      <c r="AT18" s="36"/>
      <c r="AU18" s="36"/>
    </row>
    <row r="19" spans="2:47" s="37" customFormat="1" ht="15.75" customHeight="1">
      <c r="B19" s="33"/>
      <c r="C19" s="34">
        <v>4</v>
      </c>
      <c r="D19" s="188" t="s">
        <v>2123</v>
      </c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  <c r="X19" s="188"/>
      <c r="Y19" s="188"/>
      <c r="Z19" s="188"/>
      <c r="AA19" s="188"/>
      <c r="AB19" s="188"/>
      <c r="AC19" s="188"/>
      <c r="AD19" s="189"/>
      <c r="AE19" s="190"/>
      <c r="AF19" s="190"/>
      <c r="AG19" s="190"/>
      <c r="AH19" s="190"/>
      <c r="AI19" s="191"/>
      <c r="AJ19" s="43"/>
      <c r="AK19" s="44"/>
      <c r="AL19" s="36"/>
      <c r="AM19" s="36"/>
      <c r="AN19" s="36"/>
      <c r="AO19" s="36"/>
      <c r="AP19" s="36"/>
      <c r="AQ19" s="36"/>
      <c r="AR19" s="36"/>
      <c r="AS19" s="36"/>
      <c r="AT19" s="36"/>
    </row>
    <row r="20" spans="2:47" s="37" customFormat="1" ht="15.75" customHeight="1">
      <c r="B20" s="33"/>
      <c r="C20" s="34">
        <v>5</v>
      </c>
      <c r="D20" s="188" t="s">
        <v>2099</v>
      </c>
      <c r="E20" s="188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188"/>
      <c r="U20" s="188"/>
      <c r="V20" s="188"/>
      <c r="W20" s="188"/>
      <c r="X20" s="188"/>
      <c r="Y20" s="188"/>
      <c r="Z20" s="188"/>
      <c r="AA20" s="188"/>
      <c r="AB20" s="188"/>
      <c r="AC20" s="188"/>
      <c r="AD20" s="189"/>
      <c r="AE20" s="190"/>
      <c r="AF20" s="190"/>
      <c r="AG20" s="190"/>
      <c r="AH20" s="190"/>
      <c r="AI20" s="191"/>
      <c r="AJ20" s="43"/>
      <c r="AK20" s="44"/>
      <c r="AL20" s="36"/>
      <c r="AM20" s="36"/>
      <c r="AN20" s="36"/>
      <c r="AO20" s="36"/>
      <c r="AP20" s="36"/>
      <c r="AQ20" s="36"/>
      <c r="AR20" s="36"/>
      <c r="AS20" s="36"/>
      <c r="AT20" s="36"/>
    </row>
    <row r="21" spans="2:47" s="37" customFormat="1" ht="15.75" customHeight="1">
      <c r="B21" s="33"/>
      <c r="C21" s="34">
        <v>6</v>
      </c>
      <c r="D21" s="249" t="s">
        <v>2119</v>
      </c>
      <c r="E21" s="249"/>
      <c r="F21" s="249"/>
      <c r="G21" s="249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  <c r="V21" s="249"/>
      <c r="W21" s="249"/>
      <c r="X21" s="249"/>
      <c r="Y21" s="249"/>
      <c r="Z21" s="249"/>
      <c r="AA21" s="249"/>
      <c r="AB21" s="249"/>
      <c r="AC21" s="249"/>
      <c r="AD21" s="257">
        <f>(AD16-AD17-AD18)/AD16</f>
        <v>0.54757519950890121</v>
      </c>
      <c r="AE21" s="258"/>
      <c r="AF21" s="258"/>
      <c r="AG21" s="258"/>
      <c r="AH21" s="258"/>
      <c r="AI21" s="259"/>
      <c r="AJ21" s="43"/>
      <c r="AK21" s="45"/>
      <c r="AL21" s="46"/>
      <c r="AM21" s="36"/>
      <c r="AN21" s="36"/>
      <c r="AO21" s="36"/>
      <c r="AP21" s="36"/>
      <c r="AQ21" s="36"/>
      <c r="AR21" s="36"/>
      <c r="AS21" s="36"/>
      <c r="AT21" s="36"/>
    </row>
    <row r="22" spans="2:47" s="37" customFormat="1" ht="15.75" customHeight="1">
      <c r="B22" s="33"/>
      <c r="C22" s="34">
        <v>7</v>
      </c>
      <c r="D22" s="249" t="s">
        <v>2120</v>
      </c>
      <c r="E22" s="249"/>
      <c r="F22" s="249"/>
      <c r="G22" s="249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  <c r="T22" s="249"/>
      <c r="U22" s="249"/>
      <c r="V22" s="249"/>
      <c r="W22" s="249"/>
      <c r="X22" s="249"/>
      <c r="Y22" s="249"/>
      <c r="Z22" s="249"/>
      <c r="AA22" s="249"/>
      <c r="AB22" s="249"/>
      <c r="AC22" s="249"/>
      <c r="AD22" s="260" t="str">
        <f>IF(COUNTA('Nets not required'!H:H)&gt;1,(AD16-AD17-AD18-AD20)/(AD16-AD19)," ")</f>
        <v xml:space="preserve"> </v>
      </c>
      <c r="AE22" s="261"/>
      <c r="AF22" s="261"/>
      <c r="AG22" s="261"/>
      <c r="AH22" s="261"/>
      <c r="AI22" s="262"/>
      <c r="AJ22" s="43"/>
      <c r="AK22" s="45"/>
      <c r="AL22" s="46"/>
      <c r="AM22" s="36"/>
      <c r="AN22" s="36"/>
      <c r="AO22" s="36"/>
      <c r="AP22" s="36"/>
      <c r="AQ22" s="36"/>
      <c r="AR22" s="36"/>
      <c r="AS22" s="36"/>
      <c r="AT22" s="36"/>
    </row>
    <row r="23" spans="2:47" s="37" customFormat="1" ht="15.75" customHeight="1">
      <c r="B23" s="47"/>
      <c r="C23" s="48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38"/>
      <c r="AK23" s="36"/>
      <c r="AL23" s="46"/>
      <c r="AM23" s="46"/>
      <c r="AN23" s="36"/>
      <c r="AO23" s="36"/>
      <c r="AP23" s="36"/>
      <c r="AQ23" s="36"/>
      <c r="AR23" s="36"/>
      <c r="AS23" s="36"/>
      <c r="AT23" s="36"/>
      <c r="AU23" s="36"/>
    </row>
    <row r="24" spans="2:47" s="53" customFormat="1" ht="15.75" customHeight="1">
      <c r="B24" s="50"/>
      <c r="C24" s="51" t="s">
        <v>2166</v>
      </c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2"/>
      <c r="AK24" s="46"/>
      <c r="AL24" s="36"/>
      <c r="AM24" s="36"/>
      <c r="AN24" s="46"/>
      <c r="AO24" s="46"/>
      <c r="AP24" s="46"/>
      <c r="AQ24" s="46"/>
      <c r="AR24" s="46"/>
      <c r="AS24" s="46"/>
      <c r="AT24" s="46"/>
      <c r="AU24" s="46"/>
    </row>
    <row r="25" spans="2:47" s="53" customFormat="1" ht="15.75" customHeight="1">
      <c r="B25" s="54"/>
      <c r="C25" s="243" t="s">
        <v>2136</v>
      </c>
      <c r="D25" s="244"/>
      <c r="E25" s="245"/>
      <c r="F25" s="237" t="s">
        <v>13</v>
      </c>
      <c r="G25" s="238"/>
      <c r="H25" s="238"/>
      <c r="I25" s="238"/>
      <c r="J25" s="238"/>
      <c r="K25" s="238"/>
      <c r="L25" s="238"/>
      <c r="M25" s="238"/>
      <c r="N25" s="238"/>
      <c r="O25" s="238"/>
      <c r="P25" s="238"/>
      <c r="Q25" s="239"/>
      <c r="R25" s="240" t="s">
        <v>18</v>
      </c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2"/>
      <c r="AD25" s="195" t="s">
        <v>14</v>
      </c>
      <c r="AE25" s="196"/>
      <c r="AF25" s="197"/>
      <c r="AG25" s="195" t="s">
        <v>2096</v>
      </c>
      <c r="AH25" s="196"/>
      <c r="AI25" s="197"/>
      <c r="AJ25" s="52"/>
      <c r="AK25" s="46"/>
      <c r="AL25" s="55"/>
      <c r="AM25" s="55"/>
      <c r="AN25" s="46"/>
      <c r="AO25" s="46"/>
      <c r="AP25" s="46"/>
      <c r="AQ25" s="46"/>
      <c r="AR25" s="46"/>
      <c r="AS25" s="46"/>
      <c r="AT25" s="46"/>
      <c r="AU25" s="46"/>
    </row>
    <row r="26" spans="2:47" s="53" customFormat="1" ht="21.75" customHeight="1">
      <c r="B26" s="56"/>
      <c r="C26" s="246"/>
      <c r="D26" s="247"/>
      <c r="E26" s="248"/>
      <c r="F26" s="237" t="s">
        <v>9</v>
      </c>
      <c r="G26" s="238"/>
      <c r="H26" s="239"/>
      <c r="I26" s="237" t="s">
        <v>10</v>
      </c>
      <c r="J26" s="238"/>
      <c r="K26" s="239"/>
      <c r="L26" s="237" t="s">
        <v>11</v>
      </c>
      <c r="M26" s="238"/>
      <c r="N26" s="239"/>
      <c r="O26" s="237" t="s">
        <v>12</v>
      </c>
      <c r="P26" s="238"/>
      <c r="Q26" s="239"/>
      <c r="R26" s="240" t="s">
        <v>9</v>
      </c>
      <c r="S26" s="241"/>
      <c r="T26" s="242"/>
      <c r="U26" s="240" t="s">
        <v>10</v>
      </c>
      <c r="V26" s="241"/>
      <c r="W26" s="242"/>
      <c r="X26" s="240" t="s">
        <v>11</v>
      </c>
      <c r="Y26" s="241"/>
      <c r="Z26" s="242"/>
      <c r="AA26" s="240" t="s">
        <v>12</v>
      </c>
      <c r="AB26" s="241"/>
      <c r="AC26" s="242"/>
      <c r="AD26" s="198"/>
      <c r="AE26" s="199"/>
      <c r="AF26" s="200"/>
      <c r="AG26" s="198"/>
      <c r="AH26" s="199"/>
      <c r="AI26" s="200"/>
      <c r="AJ26" s="57"/>
      <c r="AK26" s="46"/>
      <c r="AL26" s="55"/>
      <c r="AM26" s="55"/>
      <c r="AN26" s="46"/>
      <c r="AO26" s="46"/>
      <c r="AP26" s="46"/>
      <c r="AQ26" s="46"/>
      <c r="AR26" s="46"/>
      <c r="AS26" s="46"/>
      <c r="AT26" s="46"/>
      <c r="AU26" s="46"/>
    </row>
    <row r="27" spans="2:47" s="37" customFormat="1" ht="15.75" customHeight="1">
      <c r="B27" s="56"/>
      <c r="C27" s="235" t="s">
        <v>0</v>
      </c>
      <c r="D27" s="235"/>
      <c r="E27" s="235"/>
      <c r="F27" s="232">
        <f>COUNTIFS('Testable nets list'!G:G,5,'Testable nets list'!F:F,1,'Testable nets list'!D:D,"T")</f>
        <v>0</v>
      </c>
      <c r="G27" s="233"/>
      <c r="H27" s="234"/>
      <c r="I27" s="232">
        <f>COUNTIFS('Testable nets list'!G:G,6,'Testable nets list'!F:F,1,'Testable nets list'!D:D,"T")</f>
        <v>0</v>
      </c>
      <c r="J27" s="233"/>
      <c r="K27" s="234"/>
      <c r="L27" s="232">
        <f>COUNTIFS('Testable nets list'!G:G,7,'Testable nets list'!F:F,1,'Testable nets list'!D:D,"T")</f>
        <v>0</v>
      </c>
      <c r="M27" s="233"/>
      <c r="N27" s="234"/>
      <c r="O27" s="232" t="s">
        <v>2142</v>
      </c>
      <c r="P27" s="233"/>
      <c r="Q27" s="234"/>
      <c r="R27" s="232">
        <f>COUNTIFS('Testable nets list'!G:G,5,'Testable nets list'!F:F,1,'Testable nets list'!D:D,"B")</f>
        <v>0</v>
      </c>
      <c r="S27" s="233"/>
      <c r="T27" s="234"/>
      <c r="U27" s="232">
        <f>COUNTIFS('Testable nets list'!G:G,6,'Testable nets list'!F:F,1,'Testable nets list'!D:D,"B")</f>
        <v>0</v>
      </c>
      <c r="V27" s="233"/>
      <c r="W27" s="234"/>
      <c r="X27" s="232">
        <f>COUNTIFS('Testable nets list'!G:G,7,'Testable nets list'!F:F,1,'Testable nets list'!D:D,"B")</f>
        <v>0</v>
      </c>
      <c r="Y27" s="233"/>
      <c r="Z27" s="234"/>
      <c r="AA27" s="232" t="s">
        <v>2143</v>
      </c>
      <c r="AB27" s="233"/>
      <c r="AC27" s="234"/>
      <c r="AD27" s="229">
        <f>SUM(F27:AC27)</f>
        <v>0</v>
      </c>
      <c r="AE27" s="230"/>
      <c r="AF27" s="231"/>
      <c r="AG27" s="192" t="e">
        <f>AD27/AD31</f>
        <v>#DIV/0!</v>
      </c>
      <c r="AH27" s="193"/>
      <c r="AI27" s="194"/>
      <c r="AJ27" s="38"/>
      <c r="AK27" s="36"/>
      <c r="AL27" s="55"/>
      <c r="AM27" s="55"/>
      <c r="AN27" s="36"/>
      <c r="AO27" s="36"/>
      <c r="AP27" s="36"/>
      <c r="AQ27" s="36"/>
      <c r="AR27" s="36"/>
      <c r="AS27" s="36"/>
      <c r="AT27" s="36"/>
      <c r="AU27" s="36"/>
    </row>
    <row r="28" spans="2:47" s="59" customFormat="1" ht="15.75" customHeight="1">
      <c r="B28" s="33"/>
      <c r="C28" s="235" t="s">
        <v>4</v>
      </c>
      <c r="D28" s="235"/>
      <c r="E28" s="235"/>
      <c r="F28" s="232">
        <f>COUNTIFS('Testable nets list'!G:G,5,'Testable nets list'!F:F,2,'Testable nets list'!D:D,"T")</f>
        <v>0</v>
      </c>
      <c r="G28" s="233"/>
      <c r="H28" s="234"/>
      <c r="I28" s="232">
        <f>COUNTIFS('Testable nets list'!G:G,6,'Testable nets list'!F:F,2,'Testable nets list'!D:D,"T")</f>
        <v>0</v>
      </c>
      <c r="J28" s="233"/>
      <c r="K28" s="234"/>
      <c r="L28" s="232">
        <f>COUNTIFS('Testable nets list'!G:G,7,'Testable nets list'!F:F,2,'Testable nets list'!D:D,"T")</f>
        <v>0</v>
      </c>
      <c r="M28" s="233"/>
      <c r="N28" s="234"/>
      <c r="O28" s="232" t="s">
        <v>2142</v>
      </c>
      <c r="P28" s="233"/>
      <c r="Q28" s="234"/>
      <c r="R28" s="232">
        <f>COUNTIFS('Testable nets list'!G:G,5,'Testable nets list'!F:F,2,'Testable nets list'!D:D,"B")</f>
        <v>0</v>
      </c>
      <c r="S28" s="233"/>
      <c r="T28" s="234"/>
      <c r="U28" s="232">
        <f>COUNTIFS('Testable nets list'!G:G,6,'Testable nets list'!F:F,2,'Testable nets list'!D:D,"B")</f>
        <v>0</v>
      </c>
      <c r="V28" s="233"/>
      <c r="W28" s="234"/>
      <c r="X28" s="232">
        <f>COUNTIFS('Testable nets list'!G:G,7,'Testable nets list'!F:F,2,'Testable nets list'!D:D,"B")</f>
        <v>0</v>
      </c>
      <c r="Y28" s="233"/>
      <c r="Z28" s="234"/>
      <c r="AA28" s="232" t="s">
        <v>2142</v>
      </c>
      <c r="AB28" s="233"/>
      <c r="AC28" s="234"/>
      <c r="AD28" s="229">
        <f>SUM(F28:AC28)</f>
        <v>0</v>
      </c>
      <c r="AE28" s="230"/>
      <c r="AF28" s="231"/>
      <c r="AG28" s="192" t="e">
        <f>AD28/AD31</f>
        <v>#DIV/0!</v>
      </c>
      <c r="AH28" s="193"/>
      <c r="AI28" s="194"/>
      <c r="AJ28" s="58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</row>
    <row r="29" spans="2:47" s="59" customFormat="1" ht="15.75" customHeight="1">
      <c r="B29" s="33"/>
      <c r="C29" s="235" t="s">
        <v>1</v>
      </c>
      <c r="D29" s="235"/>
      <c r="E29" s="235"/>
      <c r="F29" s="232">
        <f>COUNTIFS('Testable nets list'!G:G,5,'Testable nets list'!F:F,3,'Testable nets list'!D:D,"T")</f>
        <v>0</v>
      </c>
      <c r="G29" s="233"/>
      <c r="H29" s="234"/>
      <c r="I29" s="232">
        <f>COUNTIFS('Testable nets list'!G:G,6,'Testable nets list'!F:F,3,'Testable nets list'!D:D,"T")</f>
        <v>0</v>
      </c>
      <c r="J29" s="233"/>
      <c r="K29" s="234"/>
      <c r="L29" s="232">
        <f>COUNTIFS('Testable nets list'!G:G,7,'Testable nets list'!F:F,3,'Testable nets list'!D:D,"T")</f>
        <v>0</v>
      </c>
      <c r="M29" s="233"/>
      <c r="N29" s="234"/>
      <c r="O29" s="232" t="s">
        <v>2143</v>
      </c>
      <c r="P29" s="233"/>
      <c r="Q29" s="234"/>
      <c r="R29" s="232">
        <f>COUNTIFS('Testable nets list'!G:G,5,'Testable nets list'!F:F,3,'Testable nets list'!D:D,"B")</f>
        <v>0</v>
      </c>
      <c r="S29" s="233"/>
      <c r="T29" s="234"/>
      <c r="U29" s="232">
        <f>COUNTIFS('Testable nets list'!G:G,6,'Testable nets list'!F:F,3,'Testable nets list'!D:D,"B")</f>
        <v>0</v>
      </c>
      <c r="V29" s="233"/>
      <c r="W29" s="234"/>
      <c r="X29" s="232">
        <f>COUNTIFS('Testable nets list'!G:G,7,'Testable nets list'!F:F,3,'Testable nets list'!D:D,"B")</f>
        <v>0</v>
      </c>
      <c r="Y29" s="233"/>
      <c r="Z29" s="234"/>
      <c r="AA29" s="232" t="s">
        <v>2142</v>
      </c>
      <c r="AB29" s="233"/>
      <c r="AC29" s="234"/>
      <c r="AD29" s="229">
        <f>SUM(F29:AC29)</f>
        <v>0</v>
      </c>
      <c r="AE29" s="230"/>
      <c r="AF29" s="231"/>
      <c r="AG29" s="192" t="e">
        <f>AD29/AD31</f>
        <v>#DIV/0!</v>
      </c>
      <c r="AH29" s="193"/>
      <c r="AI29" s="194"/>
      <c r="AJ29" s="60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</row>
    <row r="30" spans="2:47" s="59" customFormat="1" ht="15.75" customHeight="1">
      <c r="B30" s="33"/>
      <c r="C30" s="235" t="s">
        <v>2</v>
      </c>
      <c r="D30" s="235" t="s">
        <v>2</v>
      </c>
      <c r="E30" s="235"/>
      <c r="F30" s="232">
        <f>COUNTIFS('Testable nets list'!G:G,5,'Testable nets list'!F:F,4,'Testable nets list'!D:D,"T")</f>
        <v>0</v>
      </c>
      <c r="G30" s="233"/>
      <c r="H30" s="234"/>
      <c r="I30" s="232">
        <f>COUNTIFS('Testable nets list'!G:G,6,'Testable nets list'!F:F,4,'Testable nets list'!D:D,"T")</f>
        <v>0</v>
      </c>
      <c r="J30" s="233"/>
      <c r="K30" s="234"/>
      <c r="L30" s="232">
        <f>COUNTIFS('Testable nets list'!G:G,7,'Testable nets list'!F:F,4,'Testable nets list'!D:D,"T")</f>
        <v>0</v>
      </c>
      <c r="M30" s="233"/>
      <c r="N30" s="234"/>
      <c r="O30" s="232" t="s">
        <v>2144</v>
      </c>
      <c r="P30" s="233"/>
      <c r="Q30" s="234"/>
      <c r="R30" s="232">
        <f>COUNTIFS('Testable nets list'!G:G,5,'Testable nets list'!F:F,4,'Testable nets list'!D:D,"B")</f>
        <v>0</v>
      </c>
      <c r="S30" s="233"/>
      <c r="T30" s="234"/>
      <c r="U30" s="232">
        <f>COUNTIFS('Testable nets list'!G:G,6,'Testable nets list'!F:F,4,'Testable nets list'!D:D,"B")</f>
        <v>0</v>
      </c>
      <c r="V30" s="233"/>
      <c r="W30" s="234"/>
      <c r="X30" s="232">
        <f>COUNTIFS('Testable nets list'!G:G,7,'Testable nets list'!F:F,4,'Testable nets list'!D:D,"B")</f>
        <v>0</v>
      </c>
      <c r="Y30" s="233"/>
      <c r="Z30" s="234"/>
      <c r="AA30" s="232" t="s">
        <v>2145</v>
      </c>
      <c r="AB30" s="233"/>
      <c r="AC30" s="234"/>
      <c r="AD30" s="229">
        <f>SUM(F30:AC30)</f>
        <v>0</v>
      </c>
      <c r="AE30" s="230"/>
      <c r="AF30" s="231"/>
      <c r="AG30" s="192" t="e">
        <f>AD30/AD31</f>
        <v>#DIV/0!</v>
      </c>
      <c r="AH30" s="193"/>
      <c r="AI30" s="194"/>
      <c r="AJ30" s="60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</row>
    <row r="31" spans="2:47" s="59" customFormat="1" ht="15.75" customHeight="1">
      <c r="B31" s="33"/>
      <c r="C31" s="235" t="s">
        <v>15</v>
      </c>
      <c r="D31" s="235" t="s">
        <v>3</v>
      </c>
      <c r="E31" s="235"/>
      <c r="F31" s="224">
        <f>SUM(F27:H30)</f>
        <v>0</v>
      </c>
      <c r="G31" s="225"/>
      <c r="H31" s="226"/>
      <c r="I31" s="224">
        <f>SUM(I27:K30)</f>
        <v>0</v>
      </c>
      <c r="J31" s="225"/>
      <c r="K31" s="226"/>
      <c r="L31" s="224">
        <f>SUM(L27:N30)</f>
        <v>0</v>
      </c>
      <c r="M31" s="225"/>
      <c r="N31" s="226"/>
      <c r="O31" s="224">
        <f>SUM(O27:Q30)</f>
        <v>0</v>
      </c>
      <c r="P31" s="225"/>
      <c r="Q31" s="226"/>
      <c r="R31" s="224">
        <f>SUM(R27:T30)</f>
        <v>0</v>
      </c>
      <c r="S31" s="225"/>
      <c r="T31" s="226"/>
      <c r="U31" s="224">
        <f>SUM(U27:W30)</f>
        <v>0</v>
      </c>
      <c r="V31" s="225"/>
      <c r="W31" s="226"/>
      <c r="X31" s="224">
        <f>SUM(X27:Z30)</f>
        <v>0</v>
      </c>
      <c r="Y31" s="225"/>
      <c r="Z31" s="226"/>
      <c r="AA31" s="224">
        <f>SUM(AA27:AC30)</f>
        <v>0</v>
      </c>
      <c r="AB31" s="225"/>
      <c r="AC31" s="226"/>
      <c r="AD31" s="229">
        <f>SUM(F31:AC31)</f>
        <v>0</v>
      </c>
      <c r="AE31" s="230"/>
      <c r="AF31" s="231"/>
      <c r="AG31" s="192">
        <f>1</f>
        <v>1</v>
      </c>
      <c r="AH31" s="193"/>
      <c r="AI31" s="194"/>
      <c r="AJ31" s="60"/>
      <c r="AK31" s="55"/>
      <c r="AL31" s="36"/>
      <c r="AM31" s="36"/>
      <c r="AN31" s="55"/>
      <c r="AO31" s="55"/>
      <c r="AP31" s="55"/>
      <c r="AQ31" s="55"/>
      <c r="AR31" s="55"/>
      <c r="AS31" s="55"/>
      <c r="AT31" s="55"/>
      <c r="AU31" s="55"/>
    </row>
    <row r="32" spans="2:47" s="59" customFormat="1" ht="15.75" customHeight="1">
      <c r="B32" s="33"/>
      <c r="C32" s="72" t="s">
        <v>2138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4"/>
      <c r="V32" s="74"/>
      <c r="W32" s="74"/>
      <c r="X32" s="73"/>
      <c r="Y32" s="73"/>
      <c r="Z32" s="73"/>
      <c r="AA32" s="73"/>
      <c r="AB32" s="73"/>
      <c r="AC32" s="73"/>
      <c r="AD32" s="73"/>
      <c r="AE32" s="73"/>
      <c r="AF32" s="73"/>
      <c r="AG32" s="206" t="e">
        <f>(AD27+AD28)/AD31</f>
        <v>#DIV/0!</v>
      </c>
      <c r="AH32" s="206"/>
      <c r="AI32" s="206"/>
      <c r="AJ32" s="60"/>
      <c r="AK32" s="55"/>
      <c r="AL32" s="36"/>
      <c r="AM32" s="36"/>
      <c r="AN32" s="55"/>
      <c r="AO32" s="55"/>
      <c r="AP32" s="55"/>
      <c r="AQ32" s="55"/>
      <c r="AR32" s="55"/>
      <c r="AS32" s="55"/>
      <c r="AT32" s="55"/>
      <c r="AU32" s="55"/>
    </row>
    <row r="33" spans="2:47" s="59" customFormat="1" ht="15.75" customHeight="1">
      <c r="B33" s="33"/>
      <c r="C33" s="75" t="s">
        <v>2081</v>
      </c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76"/>
      <c r="V33" s="76"/>
      <c r="W33" s="76"/>
      <c r="X33" s="61"/>
      <c r="Y33" s="61"/>
      <c r="Z33" s="61"/>
      <c r="AA33" s="61"/>
      <c r="AB33" s="61"/>
      <c r="AC33" s="61"/>
      <c r="AD33" s="61"/>
      <c r="AE33" s="61"/>
      <c r="AF33" s="61"/>
      <c r="AG33" s="205" t="e">
        <f>(F31+I31+R31+U31)/AD31</f>
        <v>#DIV/0!</v>
      </c>
      <c r="AH33" s="205"/>
      <c r="AI33" s="205"/>
      <c r="AJ33" s="60"/>
      <c r="AK33" s="55"/>
      <c r="AL33" s="36"/>
      <c r="AM33" s="36"/>
      <c r="AN33" s="55"/>
      <c r="AO33" s="55"/>
      <c r="AP33" s="55"/>
      <c r="AQ33" s="55"/>
      <c r="AR33" s="55"/>
      <c r="AS33" s="55"/>
      <c r="AT33" s="55"/>
      <c r="AU33" s="55"/>
    </row>
    <row r="34" spans="2:47" s="37" customFormat="1" ht="15.75" customHeight="1">
      <c r="B34" s="47"/>
      <c r="C34" s="77" t="s">
        <v>2082</v>
      </c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9"/>
      <c r="V34" s="79"/>
      <c r="W34" s="79"/>
      <c r="X34" s="78"/>
      <c r="Y34" s="78"/>
      <c r="Z34" s="78"/>
      <c r="AA34" s="78"/>
      <c r="AB34" s="78"/>
      <c r="AC34" s="78"/>
      <c r="AD34" s="78"/>
      <c r="AE34" s="78"/>
      <c r="AF34" s="78"/>
      <c r="AG34" s="204" t="e">
        <f>(R31+U31+X31+AA31)/AD31</f>
        <v>#DIV/0!</v>
      </c>
      <c r="AH34" s="204"/>
      <c r="AI34" s="204"/>
      <c r="AJ34" s="38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</row>
    <row r="35" spans="2:47" s="37" customFormat="1" ht="15.75" customHeight="1">
      <c r="B35" s="62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38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</row>
    <row r="36" spans="2:47" s="37" customFormat="1" ht="15.75" customHeight="1">
      <c r="B36" s="62"/>
      <c r="C36" s="51" t="s">
        <v>2090</v>
      </c>
      <c r="D36" s="51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38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</row>
    <row r="37" spans="2:47" s="37" customFormat="1" ht="15.75" customHeight="1">
      <c r="B37" s="62"/>
      <c r="C37" s="64" t="s">
        <v>2083</v>
      </c>
      <c r="D37" s="227" t="s">
        <v>19</v>
      </c>
      <c r="E37" s="227"/>
      <c r="F37" s="227"/>
      <c r="G37" s="227"/>
      <c r="H37" s="227"/>
      <c r="I37" s="227"/>
      <c r="J37" s="227" t="s">
        <v>22</v>
      </c>
      <c r="K37" s="227"/>
      <c r="L37" s="227"/>
      <c r="M37" s="227"/>
      <c r="N37" s="227" t="s">
        <v>23</v>
      </c>
      <c r="O37" s="227"/>
      <c r="P37" s="227"/>
      <c r="Q37" s="227"/>
      <c r="R37" s="227" t="s">
        <v>11</v>
      </c>
      <c r="S37" s="227"/>
      <c r="T37" s="227"/>
      <c r="U37" s="227"/>
      <c r="V37" s="228" t="s">
        <v>2097</v>
      </c>
      <c r="W37" s="228"/>
      <c r="X37" s="228"/>
      <c r="Y37" s="228"/>
      <c r="Z37" s="228" t="s">
        <v>2096</v>
      </c>
      <c r="AA37" s="228"/>
      <c r="AB37" s="228"/>
      <c r="AC37" s="228"/>
      <c r="AD37" s="63"/>
      <c r="AE37" s="63"/>
      <c r="AF37" s="63"/>
      <c r="AG37" s="63"/>
      <c r="AH37" s="63"/>
      <c r="AI37" s="63"/>
      <c r="AJ37" s="38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</row>
    <row r="38" spans="2:47" s="37" customFormat="1" ht="15.75" customHeight="1">
      <c r="B38" s="62"/>
      <c r="C38" s="210">
        <v>1</v>
      </c>
      <c r="D38" s="236" t="s">
        <v>24</v>
      </c>
      <c r="E38" s="213"/>
      <c r="F38" s="213"/>
      <c r="G38" s="213"/>
      <c r="H38" s="213"/>
      <c r="I38" s="214"/>
      <c r="J38" s="65" t="s">
        <v>20</v>
      </c>
      <c r="K38" s="181">
        <f>COUNTIFS('Testable nets list'!D:D,"T",'Testable nets list'!E:E,"24.00,24.00",'Testable nets list'!G:G,"5")</f>
        <v>0</v>
      </c>
      <c r="L38" s="181"/>
      <c r="M38" s="182"/>
      <c r="N38" s="65" t="s">
        <v>20</v>
      </c>
      <c r="O38" s="181">
        <f>COUNTIFS('Testable nets list'!D:D,"T",'Testable nets list'!E:E,"24.00,24.00",'Testable nets list'!G:G,"6")</f>
        <v>0</v>
      </c>
      <c r="P38" s="181"/>
      <c r="Q38" s="182"/>
      <c r="R38" s="65" t="s">
        <v>20</v>
      </c>
      <c r="S38" s="181">
        <f>COUNTIFS('Testable nets list'!D:D,"T",'Testable nets list'!E:E,"24.00,24.00",'Testable nets list'!G:G,"7")</f>
        <v>0</v>
      </c>
      <c r="T38" s="181"/>
      <c r="U38" s="182"/>
      <c r="V38" s="180">
        <f>K38+O38+S38</f>
        <v>0</v>
      </c>
      <c r="W38" s="181"/>
      <c r="X38" s="181"/>
      <c r="Y38" s="182"/>
      <c r="Z38" s="174">
        <f>V38/($AD$13-$AF$13)</f>
        <v>0</v>
      </c>
      <c r="AA38" s="175"/>
      <c r="AB38" s="175"/>
      <c r="AC38" s="176"/>
      <c r="AD38" s="63"/>
      <c r="AE38" s="63"/>
      <c r="AF38" s="63"/>
      <c r="AG38" s="63"/>
      <c r="AH38" s="63"/>
      <c r="AI38" s="63"/>
      <c r="AJ38" s="38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</row>
    <row r="39" spans="2:47" s="37" customFormat="1" ht="15.75" customHeight="1">
      <c r="B39" s="62"/>
      <c r="C39" s="211"/>
      <c r="D39" s="215"/>
      <c r="E39" s="216"/>
      <c r="F39" s="216"/>
      <c r="G39" s="216"/>
      <c r="H39" s="216"/>
      <c r="I39" s="217"/>
      <c r="J39" s="65" t="s">
        <v>21</v>
      </c>
      <c r="K39" s="181">
        <f>COUNTIFS('Testable nets list'!D:D,"B",'Testable nets list'!E:E,"24.00,24.00",'Testable nets list'!G:G,"5")</f>
        <v>0</v>
      </c>
      <c r="L39" s="181"/>
      <c r="M39" s="182"/>
      <c r="N39" s="65" t="s">
        <v>21</v>
      </c>
      <c r="O39" s="181">
        <f>COUNTIFS('Testable nets list'!D:D,"B",'Testable nets list'!E:E,"24.00,24.00",'Testable nets list'!G:G,"6")</f>
        <v>0</v>
      </c>
      <c r="P39" s="181"/>
      <c r="Q39" s="182"/>
      <c r="R39" s="65" t="s">
        <v>21</v>
      </c>
      <c r="S39" s="181">
        <f>COUNTIFS('Testable nets list'!D:D,"B",'Testable nets list'!E:E,"24.00,24.00",'Testable nets list'!G:G,"7")</f>
        <v>0</v>
      </c>
      <c r="T39" s="181"/>
      <c r="U39" s="182"/>
      <c r="V39" s="180">
        <f>K39+O39+S39</f>
        <v>0</v>
      </c>
      <c r="W39" s="181"/>
      <c r="X39" s="181"/>
      <c r="Y39" s="182"/>
      <c r="Z39" s="174">
        <f>V39/($AD$13-$AF$13)</f>
        <v>0</v>
      </c>
      <c r="AA39" s="175"/>
      <c r="AB39" s="175"/>
      <c r="AC39" s="176"/>
      <c r="AD39" s="63"/>
      <c r="AE39" s="63"/>
      <c r="AF39" s="63"/>
      <c r="AG39" s="63"/>
      <c r="AH39" s="63"/>
      <c r="AI39" s="63"/>
      <c r="AJ39" s="38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</row>
    <row r="40" spans="2:47" s="37" customFormat="1" ht="15.75" customHeight="1">
      <c r="B40" s="62"/>
      <c r="C40" s="210">
        <v>2</v>
      </c>
      <c r="D40" s="212" t="s">
        <v>2137</v>
      </c>
      <c r="E40" s="213"/>
      <c r="F40" s="213"/>
      <c r="G40" s="213"/>
      <c r="H40" s="213"/>
      <c r="I40" s="214"/>
      <c r="J40" s="65" t="s">
        <v>20</v>
      </c>
      <c r="K40" s="181">
        <f>COUNTIFS('Testable nets list'!D:D,"T",'Testable nets list'!E:E,"22.00,22.00",'Testable nets list'!G:G,"5")+COUNTIFS('Testable nets list'!D:D,"T",'Testable nets list'!E:E,"20.00,20.00",'Testable nets list'!G:G,"5")+COUNTIFS('Testable nets list'!D:D,"T",'Testable nets list'!E:E,"18.00,18.00",'Testable nets list'!G:G,"5")</f>
        <v>0</v>
      </c>
      <c r="L40" s="181"/>
      <c r="M40" s="182"/>
      <c r="N40" s="65" t="s">
        <v>20</v>
      </c>
      <c r="O40" s="181">
        <f>COUNTIFS('Testable nets list'!D:D,"T",'Testable nets list'!E:E,"22.00,22.00",'Testable nets list'!G:G,"6")+COUNTIFS('Testable nets list'!D:D,"T",'Testable nets list'!E:E,"20.00,20.00",'Testable nets list'!G:G,"6")+COUNTIFS('Testable nets list'!D:D,"T",'Testable nets list'!E:E,"18.00,18.00",'Testable nets list'!G:G,"6")</f>
        <v>0</v>
      </c>
      <c r="P40" s="181"/>
      <c r="Q40" s="182"/>
      <c r="R40" s="65" t="s">
        <v>20</v>
      </c>
      <c r="S40" s="181">
        <f>COUNTIFS('Testable nets list'!D:D,"T",'Testable nets list'!E:E,"22.00,22.00",'Testable nets list'!G:G,"7")+COUNTIFS('Testable nets list'!D:D,"T",'Testable nets list'!E:E,"20.00,20.00",'Testable nets list'!G:G,"7")+COUNTIFS('Testable nets list'!D:D,"T",'Testable nets list'!E:E,"18.00,18.00",'Testable nets list'!G:G,"7")</f>
        <v>0</v>
      </c>
      <c r="T40" s="181"/>
      <c r="U40" s="182"/>
      <c r="V40" s="180">
        <f>K40+O40+S40</f>
        <v>0</v>
      </c>
      <c r="W40" s="181"/>
      <c r="X40" s="181"/>
      <c r="Y40" s="182"/>
      <c r="Z40" s="174">
        <f>V40/($AD$13-$AF$13)</f>
        <v>0</v>
      </c>
      <c r="AA40" s="175"/>
      <c r="AB40" s="175"/>
      <c r="AC40" s="176"/>
      <c r="AD40" s="63"/>
      <c r="AE40" s="63"/>
      <c r="AF40" s="63"/>
      <c r="AG40" s="63"/>
      <c r="AH40" s="63"/>
      <c r="AI40" s="63"/>
      <c r="AJ40" s="38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</row>
    <row r="41" spans="2:47" s="37" customFormat="1" ht="15.75" customHeight="1">
      <c r="B41" s="62"/>
      <c r="C41" s="211"/>
      <c r="D41" s="215"/>
      <c r="E41" s="216"/>
      <c r="F41" s="216"/>
      <c r="G41" s="216"/>
      <c r="H41" s="216"/>
      <c r="I41" s="217"/>
      <c r="J41" s="65" t="s">
        <v>21</v>
      </c>
      <c r="K41" s="181">
        <f>COUNTIFS('Testable nets list'!D:D,"B",'Testable nets list'!E:E,"22.00,22.00",'Testable nets list'!G:G,"5")+COUNTIFS('Testable nets list'!D:D,"B",'Testable nets list'!E:E,"20.00,20.00",'Testable nets list'!G:G,"5")+COUNTIFS('Testable nets list'!D:D,"B",'Testable nets list'!E:E,"18.00,18.00",'Testable nets list'!G:G,"5")</f>
        <v>0</v>
      </c>
      <c r="L41" s="181"/>
      <c r="M41" s="182"/>
      <c r="N41" s="65" t="s">
        <v>21</v>
      </c>
      <c r="O41" s="181">
        <f>COUNTIFS('Testable nets list'!D:D,"B",'Testable nets list'!E:E,"22.00,22.00",'Testable nets list'!G:G,"6")+COUNTIFS('Testable nets list'!D:D,"B",'Testable nets list'!E:E,"20.00,20.00",'Testable nets list'!G:G,"6")+COUNTIFS('Testable nets list'!D:D,"B",'Testable nets list'!E:E,"18.00,18.00",'Testable nets list'!G:G,"6")</f>
        <v>0</v>
      </c>
      <c r="P41" s="181"/>
      <c r="Q41" s="182"/>
      <c r="R41" s="65" t="s">
        <v>21</v>
      </c>
      <c r="S41" s="181">
        <f>COUNTIFS('Testable nets list'!D:D,"B",'Testable nets list'!E:E,"22.00,22.00",'Testable nets list'!G:G,"7")+COUNTIFS('Testable nets list'!D:D,"B",'Testable nets list'!E:E,"20.00,20.00",'Testable nets list'!G:G,"7")+COUNTIFS('Testable nets list'!D:D,"B",'Testable nets list'!E:E,"18.00,18.00",'Testable nets list'!G:G,"7")</f>
        <v>0</v>
      </c>
      <c r="T41" s="181"/>
      <c r="U41" s="182"/>
      <c r="V41" s="180">
        <f>K41+O41+S41</f>
        <v>0</v>
      </c>
      <c r="W41" s="181"/>
      <c r="X41" s="181"/>
      <c r="Y41" s="182"/>
      <c r="Z41" s="174">
        <f>V41/($AD$13-$AF$13)</f>
        <v>0</v>
      </c>
      <c r="AA41" s="175"/>
      <c r="AB41" s="175"/>
      <c r="AC41" s="176"/>
      <c r="AD41" s="63"/>
      <c r="AE41" s="63"/>
      <c r="AF41" s="63"/>
      <c r="AG41" s="63"/>
      <c r="AH41" s="63"/>
      <c r="AI41" s="63"/>
      <c r="AJ41" s="38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</row>
    <row r="42" spans="2:47" s="37" customFormat="1" ht="15.75" customHeight="1">
      <c r="B42" s="47"/>
      <c r="C42" s="66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38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</row>
    <row r="43" spans="2:47" s="37" customFormat="1" ht="15.75" customHeight="1">
      <c r="B43" s="62"/>
      <c r="C43" s="42" t="s">
        <v>2091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38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</row>
    <row r="44" spans="2:47" s="37" customFormat="1" ht="15.75" customHeight="1">
      <c r="B44" s="62"/>
      <c r="C44" s="64" t="s">
        <v>6</v>
      </c>
      <c r="D44" s="218" t="s">
        <v>7</v>
      </c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20"/>
      <c r="P44" s="183" t="s">
        <v>2080</v>
      </c>
      <c r="Q44" s="183"/>
      <c r="R44" s="183"/>
      <c r="S44" s="183" t="s">
        <v>2095</v>
      </c>
      <c r="T44" s="183"/>
      <c r="U44" s="183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38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</row>
    <row r="45" spans="2:47" s="37" customFormat="1" ht="15.75" customHeight="1">
      <c r="B45" s="62"/>
      <c r="C45" s="34">
        <v>1</v>
      </c>
      <c r="D45" s="221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3"/>
      <c r="P45" s="167"/>
      <c r="Q45" s="167"/>
      <c r="R45" s="167"/>
      <c r="S45" s="167"/>
      <c r="T45" s="167"/>
      <c r="U45" s="167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38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</row>
    <row r="46" spans="2:47" s="37" customFormat="1" ht="15.75" customHeight="1">
      <c r="B46" s="62"/>
      <c r="C46" s="34">
        <v>2</v>
      </c>
      <c r="D46" s="168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70"/>
      <c r="P46" s="167"/>
      <c r="Q46" s="167"/>
      <c r="R46" s="167"/>
      <c r="S46" s="167"/>
      <c r="T46" s="167"/>
      <c r="U46" s="167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38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</row>
    <row r="47" spans="2:47" s="37" customFormat="1" ht="15.75" customHeight="1">
      <c r="B47" s="62"/>
      <c r="C47" s="34">
        <v>3</v>
      </c>
      <c r="D47" s="168"/>
      <c r="E47" s="169"/>
      <c r="F47" s="169"/>
      <c r="G47" s="169"/>
      <c r="H47" s="169"/>
      <c r="I47" s="169"/>
      <c r="J47" s="169"/>
      <c r="K47" s="169"/>
      <c r="L47" s="169"/>
      <c r="M47" s="169"/>
      <c r="N47" s="169"/>
      <c r="O47" s="170"/>
      <c r="P47" s="167"/>
      <c r="Q47" s="167"/>
      <c r="R47" s="167"/>
      <c r="S47" s="167"/>
      <c r="T47" s="167"/>
      <c r="U47" s="167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38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</row>
    <row r="48" spans="2:47" s="37" customFormat="1" ht="15.75" customHeight="1">
      <c r="B48" s="62"/>
      <c r="C48" s="34">
        <v>4</v>
      </c>
      <c r="D48" s="168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70"/>
      <c r="P48" s="184"/>
      <c r="Q48" s="184"/>
      <c r="R48" s="184"/>
      <c r="S48" s="167"/>
      <c r="T48" s="167"/>
      <c r="U48" s="167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38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</row>
    <row r="49" spans="2:47" s="37" customFormat="1" ht="15.75" customHeight="1">
      <c r="B49" s="62"/>
      <c r="C49" s="34">
        <v>5</v>
      </c>
      <c r="D49" s="168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70"/>
      <c r="P49" s="184"/>
      <c r="Q49" s="184"/>
      <c r="R49" s="184"/>
      <c r="S49" s="167"/>
      <c r="T49" s="167"/>
      <c r="U49" s="167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38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</row>
    <row r="50" spans="2:47" s="37" customFormat="1" ht="15.75" customHeight="1">
      <c r="B50" s="62"/>
      <c r="C50" s="34">
        <v>6</v>
      </c>
      <c r="D50" s="168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70"/>
      <c r="P50" s="207"/>
      <c r="Q50" s="208"/>
      <c r="R50" s="209"/>
      <c r="S50" s="177"/>
      <c r="T50" s="178"/>
      <c r="U50" s="17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38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</row>
    <row r="51" spans="2:47" s="37" customFormat="1" ht="15.75" customHeight="1">
      <c r="B51" s="62"/>
      <c r="C51" s="34">
        <v>7</v>
      </c>
      <c r="D51" s="168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70"/>
      <c r="P51" s="184"/>
      <c r="Q51" s="184"/>
      <c r="R51" s="184"/>
      <c r="S51" s="167"/>
      <c r="T51" s="167"/>
      <c r="U51" s="167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38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</row>
    <row r="52" spans="2:47" s="37" customFormat="1" ht="15.75" customHeight="1">
      <c r="B52" s="62"/>
      <c r="C52" s="34">
        <v>8</v>
      </c>
      <c r="D52" s="168"/>
      <c r="E52" s="169"/>
      <c r="F52" s="169"/>
      <c r="G52" s="169"/>
      <c r="H52" s="169"/>
      <c r="I52" s="169"/>
      <c r="J52" s="169"/>
      <c r="K52" s="169"/>
      <c r="L52" s="169"/>
      <c r="M52" s="169"/>
      <c r="N52" s="169"/>
      <c r="O52" s="170"/>
      <c r="P52" s="184"/>
      <c r="Q52" s="184"/>
      <c r="R52" s="184"/>
      <c r="S52" s="167"/>
      <c r="T52" s="167"/>
      <c r="U52" s="167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38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</row>
    <row r="53" spans="2:47" s="37" customFormat="1" ht="15.75" customHeight="1">
      <c r="B53" s="62"/>
      <c r="C53" s="34">
        <v>9</v>
      </c>
      <c r="D53" s="168"/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70"/>
      <c r="P53" s="184"/>
      <c r="Q53" s="184"/>
      <c r="R53" s="184"/>
      <c r="S53" s="167"/>
      <c r="T53" s="167"/>
      <c r="U53" s="167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38"/>
      <c r="AK53" s="36"/>
      <c r="AL53" s="27"/>
      <c r="AM53" s="27"/>
      <c r="AN53" s="36"/>
      <c r="AO53" s="36"/>
      <c r="AP53" s="36"/>
      <c r="AQ53" s="36"/>
      <c r="AR53" s="36"/>
      <c r="AS53" s="36"/>
      <c r="AT53" s="36"/>
      <c r="AU53" s="36"/>
    </row>
    <row r="54" spans="2:47" s="37" customFormat="1" ht="15.75" customHeight="1">
      <c r="B54" s="62"/>
      <c r="C54" s="34">
        <v>10</v>
      </c>
      <c r="D54" s="171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3"/>
      <c r="P54" s="184"/>
      <c r="Q54" s="184"/>
      <c r="R54" s="184"/>
      <c r="S54" s="167"/>
      <c r="T54" s="167"/>
      <c r="U54" s="167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38"/>
      <c r="AK54" s="36"/>
      <c r="AL54" s="27"/>
      <c r="AM54" s="27"/>
      <c r="AN54" s="36"/>
      <c r="AO54" s="36"/>
      <c r="AP54" s="36"/>
      <c r="AQ54" s="36"/>
      <c r="AR54" s="36"/>
      <c r="AS54" s="36"/>
      <c r="AT54" s="36"/>
      <c r="AU54" s="36"/>
    </row>
    <row r="55" spans="2:47" s="37" customFormat="1" ht="15.75" customHeight="1" thickBot="1">
      <c r="B55" s="67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9"/>
      <c r="AK55" s="36"/>
      <c r="AL55" s="23"/>
      <c r="AM55" s="23"/>
      <c r="AN55" s="36"/>
      <c r="AO55" s="36"/>
      <c r="AP55" s="36"/>
      <c r="AQ55" s="36"/>
      <c r="AR55" s="36"/>
      <c r="AS55" s="36"/>
      <c r="AT55" s="36"/>
      <c r="AU55" s="36"/>
    </row>
    <row r="56" spans="2:47" s="28" customFormat="1"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K56" s="27"/>
      <c r="AL56" s="23"/>
      <c r="AM56" s="23"/>
      <c r="AN56" s="27"/>
      <c r="AO56" s="27"/>
      <c r="AP56" s="27"/>
      <c r="AQ56" s="27"/>
      <c r="AR56" s="27"/>
      <c r="AS56" s="27"/>
      <c r="AT56" s="27"/>
      <c r="AU56" s="27"/>
    </row>
    <row r="57" spans="2:47" s="28" customFormat="1">
      <c r="B57" s="70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K57" s="27"/>
      <c r="AL57" s="23"/>
      <c r="AM57" s="23"/>
      <c r="AN57" s="27"/>
      <c r="AO57" s="27"/>
      <c r="AP57" s="27"/>
      <c r="AQ57" s="27"/>
      <c r="AR57" s="27"/>
      <c r="AS57" s="27"/>
      <c r="AT57" s="27"/>
      <c r="AU57" s="27"/>
    </row>
  </sheetData>
  <sheetProtection selectLockedCells="1"/>
  <protectedRanges>
    <protectedRange sqref="D48:U54" name="範圍1" securityDescriptor="O:WDG:WDD:(A;;CC;;;S-1-5-21-1209599712-1461700933-852523008-28653)"/>
    <protectedRange sqref="D45:U47" name="範圍1_2" securityDescriptor="O:WDG:WDD:(A;;CC;;;S-1-5-21-1209599712-1461700933-852523008-28653)"/>
    <protectedRange sqref="AD2" name="範圍1_3" securityDescriptor="O:WDG:WDD:(A;;CC;;;S-1-5-21-1209599712-1461700933-852523008-28653)"/>
    <protectedRange sqref="AD3" name="範圍1_4" securityDescriptor="O:WDG:WDD:(A;;CC;;;S-1-5-21-1209599712-1461700933-852523008-28653)"/>
    <protectedRange sqref="AD4:AD6" name="範圍1_1_1" securityDescriptor="O:WDG:WDD:(A;;CC;;;S-1-5-21-1209599712-1461700933-852523008-28653)"/>
  </protectedRanges>
  <customSheetViews>
    <customSheetView guid="{5693F48F-8FCA-4CC0-9286-11E7497B1810}" scale="85" showGridLines="0" topLeftCell="B23">
      <selection activeCell="AL35" sqref="AL35"/>
      <pageMargins left="0.7" right="0.7" top="0.75" bottom="0.75" header="0.3" footer="0.3"/>
      <pageSetup orientation="portrait" r:id="rId1"/>
    </customSheetView>
  </customSheetViews>
  <mergeCells count="187">
    <mergeCell ref="B1:AJ1"/>
    <mergeCell ref="AA2:AC2"/>
    <mergeCell ref="AD2:AI2"/>
    <mergeCell ref="AA3:AC3"/>
    <mergeCell ref="AD3:AI3"/>
    <mergeCell ref="D4:AC4"/>
    <mergeCell ref="AD4:AI4"/>
    <mergeCell ref="D5:AC5"/>
    <mergeCell ref="AD5:AI5"/>
    <mergeCell ref="D6:AC6"/>
    <mergeCell ref="AD6:AI6"/>
    <mergeCell ref="S46:U46"/>
    <mergeCell ref="S47:U47"/>
    <mergeCell ref="D9:AC9"/>
    <mergeCell ref="D10:AC10"/>
    <mergeCell ref="D11:AC11"/>
    <mergeCell ref="D12:AC12"/>
    <mergeCell ref="AD15:AI15"/>
    <mergeCell ref="D18:AC18"/>
    <mergeCell ref="D20:AC20"/>
    <mergeCell ref="AD20:AI20"/>
    <mergeCell ref="AD18:AI18"/>
    <mergeCell ref="AD17:AI17"/>
    <mergeCell ref="D17:AC17"/>
    <mergeCell ref="D16:AC16"/>
    <mergeCell ref="AD25:AF26"/>
    <mergeCell ref="F26:H26"/>
    <mergeCell ref="I26:K26"/>
    <mergeCell ref="L26:N26"/>
    <mergeCell ref="AD21:AI21"/>
    <mergeCell ref="D22:AC22"/>
    <mergeCell ref="AD22:AI22"/>
    <mergeCell ref="D21:AC21"/>
    <mergeCell ref="O26:Q26"/>
    <mergeCell ref="R26:T26"/>
    <mergeCell ref="U26:W26"/>
    <mergeCell ref="X26:Z26"/>
    <mergeCell ref="AA26:AC26"/>
    <mergeCell ref="C25:E26"/>
    <mergeCell ref="F25:Q25"/>
    <mergeCell ref="R25:AC25"/>
    <mergeCell ref="C28:E28"/>
    <mergeCell ref="F28:H28"/>
    <mergeCell ref="I28:K28"/>
    <mergeCell ref="L28:N28"/>
    <mergeCell ref="O28:Q28"/>
    <mergeCell ref="C27:E27"/>
    <mergeCell ref="F27:H27"/>
    <mergeCell ref="I27:K27"/>
    <mergeCell ref="L27:N27"/>
    <mergeCell ref="O27:Q27"/>
    <mergeCell ref="R28:T28"/>
    <mergeCell ref="U28:W28"/>
    <mergeCell ref="X28:Z28"/>
    <mergeCell ref="AA28:AC28"/>
    <mergeCell ref="AD28:AF28"/>
    <mergeCell ref="U27:W27"/>
    <mergeCell ref="X27:Z27"/>
    <mergeCell ref="AA27:AC27"/>
    <mergeCell ref="AD27:AF27"/>
    <mergeCell ref="R27:T27"/>
    <mergeCell ref="C30:E30"/>
    <mergeCell ref="F30:H30"/>
    <mergeCell ref="I30:K30"/>
    <mergeCell ref="L30:N30"/>
    <mergeCell ref="O30:Q30"/>
    <mergeCell ref="C29:E29"/>
    <mergeCell ref="F29:H29"/>
    <mergeCell ref="I29:K29"/>
    <mergeCell ref="L29:N29"/>
    <mergeCell ref="O29:Q29"/>
    <mergeCell ref="R30:T30"/>
    <mergeCell ref="U30:W30"/>
    <mergeCell ref="X30:Z30"/>
    <mergeCell ref="AA30:AC30"/>
    <mergeCell ref="AD30:AF30"/>
    <mergeCell ref="U29:W29"/>
    <mergeCell ref="X29:Z29"/>
    <mergeCell ref="AA29:AC29"/>
    <mergeCell ref="AD29:AF29"/>
    <mergeCell ref="R29:T29"/>
    <mergeCell ref="AD31:AF31"/>
    <mergeCell ref="V38:Y38"/>
    <mergeCell ref="C31:E31"/>
    <mergeCell ref="F31:H31"/>
    <mergeCell ref="I31:K31"/>
    <mergeCell ref="L31:N31"/>
    <mergeCell ref="O31:Q31"/>
    <mergeCell ref="R31:T31"/>
    <mergeCell ref="Z37:AC37"/>
    <mergeCell ref="D37:I37"/>
    <mergeCell ref="C38:C39"/>
    <mergeCell ref="D38:I39"/>
    <mergeCell ref="Z39:AC39"/>
    <mergeCell ref="Z40:AC40"/>
    <mergeCell ref="Z41:AC41"/>
    <mergeCell ref="U31:W31"/>
    <mergeCell ref="X31:Z31"/>
    <mergeCell ref="AA31:AC31"/>
    <mergeCell ref="J37:M37"/>
    <mergeCell ref="N37:Q37"/>
    <mergeCell ref="R37:U37"/>
    <mergeCell ref="V37:Y37"/>
    <mergeCell ref="K38:M38"/>
    <mergeCell ref="O38:Q38"/>
    <mergeCell ref="S38:U38"/>
    <mergeCell ref="K39:M39"/>
    <mergeCell ref="O39:Q39"/>
    <mergeCell ref="S39:U39"/>
    <mergeCell ref="P49:R49"/>
    <mergeCell ref="P51:R51"/>
    <mergeCell ref="P50:R50"/>
    <mergeCell ref="C40:C41"/>
    <mergeCell ref="D40:I41"/>
    <mergeCell ref="K40:M40"/>
    <mergeCell ref="O40:Q40"/>
    <mergeCell ref="S40:U40"/>
    <mergeCell ref="K41:M41"/>
    <mergeCell ref="O41:Q41"/>
    <mergeCell ref="D44:O44"/>
    <mergeCell ref="D45:O45"/>
    <mergeCell ref="AD14:AI14"/>
    <mergeCell ref="C15:AC15"/>
    <mergeCell ref="D19:AC19"/>
    <mergeCell ref="AD19:AI19"/>
    <mergeCell ref="S53:U53"/>
    <mergeCell ref="D50:O50"/>
    <mergeCell ref="D51:O51"/>
    <mergeCell ref="S51:U51"/>
    <mergeCell ref="P52:R52"/>
    <mergeCell ref="S52:U52"/>
    <mergeCell ref="AG28:AI28"/>
    <mergeCell ref="AG27:AI27"/>
    <mergeCell ref="AG25:AI26"/>
    <mergeCell ref="AD16:AI16"/>
    <mergeCell ref="AG34:AI34"/>
    <mergeCell ref="AG33:AI33"/>
    <mergeCell ref="AG32:AI32"/>
    <mergeCell ref="AG31:AI31"/>
    <mergeCell ref="AG30:AI30"/>
    <mergeCell ref="AG29:AI29"/>
    <mergeCell ref="D46:O46"/>
    <mergeCell ref="P44:R44"/>
    <mergeCell ref="P45:R45"/>
    <mergeCell ref="P46:R46"/>
    <mergeCell ref="C8:AC8"/>
    <mergeCell ref="C13:AC13"/>
    <mergeCell ref="S49:U49"/>
    <mergeCell ref="D53:O53"/>
    <mergeCell ref="D54:O54"/>
    <mergeCell ref="Z38:AC38"/>
    <mergeCell ref="S50:U50"/>
    <mergeCell ref="S45:U45"/>
    <mergeCell ref="V39:Y39"/>
    <mergeCell ref="S48:U48"/>
    <mergeCell ref="S44:U44"/>
    <mergeCell ref="S41:U41"/>
    <mergeCell ref="V40:Y40"/>
    <mergeCell ref="V41:Y41"/>
    <mergeCell ref="P53:R53"/>
    <mergeCell ref="P54:R54"/>
    <mergeCell ref="D14:AC14"/>
    <mergeCell ref="S54:U54"/>
    <mergeCell ref="D52:O52"/>
    <mergeCell ref="D47:O47"/>
    <mergeCell ref="D48:O48"/>
    <mergeCell ref="D49:O49"/>
    <mergeCell ref="P47:R47"/>
    <mergeCell ref="P48:R48"/>
    <mergeCell ref="AD8:AE8"/>
    <mergeCell ref="AD9:AE9"/>
    <mergeCell ref="AD10:AE10"/>
    <mergeCell ref="AD11:AE11"/>
    <mergeCell ref="AD12:AE12"/>
    <mergeCell ref="AD13:AE13"/>
    <mergeCell ref="AF8:AG8"/>
    <mergeCell ref="AH8:AI8"/>
    <mergeCell ref="AF9:AG9"/>
    <mergeCell ref="AF10:AG10"/>
    <mergeCell ref="AF11:AG11"/>
    <mergeCell ref="AF12:AG12"/>
    <mergeCell ref="AF13:AG13"/>
    <mergeCell ref="AH9:AI9"/>
    <mergeCell ref="AH10:AI10"/>
    <mergeCell ref="AH11:AI11"/>
    <mergeCell ref="AH12:AI12"/>
    <mergeCell ref="AH13:AI13"/>
  </mergeCells>
  <phoneticPr fontId="3" type="noConversion"/>
  <conditionalFormatting sqref="AJ24:AJ25">
    <cfRule type="cellIs" dxfId="0" priority="20" stopIfTrue="1" operator="lessThan">
      <formula>0.8</formula>
    </cfRule>
  </conditionalFormatting>
  <pageMargins left="0.7" right="0.7" top="0.75" bottom="0.75" header="0.3" footer="0.3"/>
  <pageSetup orientation="portrait" r:id="rId2"/>
  <ignoredErrors>
    <ignoredError sqref="AE21:AI21 AE22:AI22 AF13 AH13 AD10:AD1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工作表4.AllinOne">
                <anchor moveWithCells="1" sizeWithCells="1">
                  <from>
                    <xdr:col>36</xdr:col>
                    <xdr:colOff>552450</xdr:colOff>
                    <xdr:row>2</xdr:row>
                    <xdr:rowOff>66675</xdr:rowOff>
                  </from>
                  <to>
                    <xdr:col>38</xdr:col>
                    <xdr:colOff>523875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rgb="FF00B0F0"/>
  </sheetPr>
  <dimension ref="A1:L1785"/>
  <sheetViews>
    <sheetView showGridLines="0" topLeftCell="C1" workbookViewId="0">
      <pane ySplit="1" topLeftCell="A2" activePane="bottomLeft" state="frozen"/>
      <selection activeCell="B1" sqref="B1"/>
      <selection pane="bottomLeft" activeCell="G2" sqref="G2:G1048576"/>
    </sheetView>
  </sheetViews>
  <sheetFormatPr defaultRowHeight="12.75"/>
  <cols>
    <col min="1" max="1" width="6.125" style="114" customWidth="1"/>
    <col min="2" max="2" width="29.625" style="115" customWidth="1"/>
    <col min="3" max="3" width="56.625" style="115" customWidth="1"/>
    <col min="4" max="4" width="10.625" style="115" bestFit="1" customWidth="1"/>
    <col min="5" max="5" width="10" style="115" bestFit="1" customWidth="1"/>
    <col min="6" max="6" width="10.125" style="115" bestFit="1" customWidth="1"/>
    <col min="7" max="7" width="9.5" style="115" bestFit="1" customWidth="1"/>
    <col min="8" max="8" width="21.125" style="115" customWidth="1"/>
    <col min="9" max="9" width="16.5" style="115" bestFit="1" customWidth="1"/>
    <col min="10" max="10" width="10.125" style="114" customWidth="1"/>
    <col min="11" max="11" width="7.625" style="114" bestFit="1" customWidth="1"/>
    <col min="12" max="16384" width="9" style="114"/>
  </cols>
  <sheetData>
    <row r="1" spans="1:12" s="122" customFormat="1" ht="50.25" customHeight="1" thickBot="1">
      <c r="A1" s="120" t="s">
        <v>2103</v>
      </c>
      <c r="B1" s="120" t="s">
        <v>2104</v>
      </c>
      <c r="C1" s="120" t="s">
        <v>2105</v>
      </c>
      <c r="D1" s="120" t="s">
        <v>2106</v>
      </c>
      <c r="E1" s="120" t="s">
        <v>2107</v>
      </c>
      <c r="F1" s="120" t="s">
        <v>2140</v>
      </c>
      <c r="G1" s="120" t="s">
        <v>2108</v>
      </c>
      <c r="H1" s="121" t="s">
        <v>2150</v>
      </c>
      <c r="I1" s="121" t="s">
        <v>2151</v>
      </c>
      <c r="J1" s="120" t="s">
        <v>2109</v>
      </c>
      <c r="K1" s="120" t="s">
        <v>2110</v>
      </c>
      <c r="L1" s="145" t="s">
        <v>2162</v>
      </c>
    </row>
    <row r="2" spans="1:12" ht="13.5" thickBot="1">
      <c r="A2" s="125">
        <v>1</v>
      </c>
      <c r="B2" s="129" t="s">
        <v>2172</v>
      </c>
      <c r="C2" s="129" t="s">
        <v>2173</v>
      </c>
      <c r="D2" s="125" t="s">
        <v>2171</v>
      </c>
      <c r="E2" s="125" t="s">
        <v>35</v>
      </c>
      <c r="F2" s="125">
        <v>3</v>
      </c>
      <c r="G2" s="126"/>
      <c r="H2" s="113">
        <f>VLOOKUP(B:B,'Nets not required'!B:C,2,0)</f>
        <v>0</v>
      </c>
      <c r="I2" s="113" t="e">
        <f>VLOOKUP(B:B,'Nets not required'!E:F,2,0)</f>
        <v>#N/A</v>
      </c>
      <c r="J2" s="82" t="e">
        <f>VLOOKUP(B:B,'Nets not required'!H:I,2,0)</f>
        <v>#N/A</v>
      </c>
      <c r="K2" s="82" t="str">
        <f t="shared" ref="K2:K25" si="0">MID(B2,1,4)</f>
        <v>TP_P</v>
      </c>
      <c r="L2" s="113" t="e">
        <f>VLOOKUP(B:B,'Nets not required'!K:L,2,0)</f>
        <v>#N/A</v>
      </c>
    </row>
    <row r="3" spans="1:12" ht="13.5" thickBot="1">
      <c r="A3" s="127">
        <v>2</v>
      </c>
      <c r="B3" s="140" t="s">
        <v>2174</v>
      </c>
      <c r="C3" s="140" t="s">
        <v>2175</v>
      </c>
      <c r="D3" s="139" t="s">
        <v>2171</v>
      </c>
      <c r="E3" s="139" t="s">
        <v>35</v>
      </c>
      <c r="F3" s="139">
        <v>3</v>
      </c>
      <c r="G3" s="139"/>
      <c r="H3" s="113">
        <f>VLOOKUP(B:B,'Nets not required'!B:C,2,0)</f>
        <v>0</v>
      </c>
      <c r="I3" s="113" t="e">
        <f>VLOOKUP(B:B,'Nets not required'!E:F,2,0)</f>
        <v>#N/A</v>
      </c>
      <c r="J3" s="82" t="e">
        <f>VLOOKUP(B:B,'Nets not required'!H:I,2,0)</f>
        <v>#N/A</v>
      </c>
      <c r="K3" s="82" t="str">
        <f t="shared" si="0"/>
        <v>TP_M</v>
      </c>
      <c r="L3" s="113" t="e">
        <f>VLOOKUP(B:B,'Nets not required'!K:L,2,0)</f>
        <v>#N/A</v>
      </c>
    </row>
    <row r="4" spans="1:12" ht="13.5" thickBot="1">
      <c r="A4" s="127">
        <v>3</v>
      </c>
      <c r="B4" s="129" t="s">
        <v>2176</v>
      </c>
      <c r="C4" s="129" t="s">
        <v>2177</v>
      </c>
      <c r="D4" s="127" t="s">
        <v>2171</v>
      </c>
      <c r="E4" s="127" t="s">
        <v>35</v>
      </c>
      <c r="F4" s="127">
        <v>3</v>
      </c>
      <c r="G4" s="127"/>
      <c r="H4" s="113">
        <f>VLOOKUP(B:B,'Nets not required'!B:C,2,0)</f>
        <v>0</v>
      </c>
      <c r="I4" s="113" t="e">
        <f>VLOOKUP(B:B,'Nets not required'!E:F,2,0)</f>
        <v>#N/A</v>
      </c>
      <c r="J4" s="82" t="e">
        <f>VLOOKUP(B:B,'Nets not required'!H:I,2,0)</f>
        <v>#N/A</v>
      </c>
      <c r="K4" s="82" t="str">
        <f t="shared" si="0"/>
        <v>TP_M</v>
      </c>
      <c r="L4" s="113" t="e">
        <f>VLOOKUP(B:B,'Nets not required'!K:L,2,0)</f>
        <v>#N/A</v>
      </c>
    </row>
    <row r="5" spans="1:12" ht="13.5" thickBot="1">
      <c r="A5" s="127">
        <v>4</v>
      </c>
      <c r="B5" s="140" t="s">
        <v>2178</v>
      </c>
      <c r="C5" s="140" t="s">
        <v>2179</v>
      </c>
      <c r="D5" s="139" t="s">
        <v>2171</v>
      </c>
      <c r="E5" s="139" t="s">
        <v>35</v>
      </c>
      <c r="F5" s="139">
        <v>2</v>
      </c>
      <c r="G5" s="139"/>
      <c r="H5" s="113">
        <f>VLOOKUP(B:B,'Nets not required'!B:C,2,0)</f>
        <v>0</v>
      </c>
      <c r="I5" s="113" t="e">
        <f>VLOOKUP(B:B,'Nets not required'!E:F,2,0)</f>
        <v>#N/A</v>
      </c>
      <c r="J5" s="82" t="e">
        <f>VLOOKUP(B:B,'Nets not required'!H:I,2,0)</f>
        <v>#N/A</v>
      </c>
      <c r="K5" s="82" t="str">
        <f t="shared" si="0"/>
        <v>TP_P</v>
      </c>
      <c r="L5" s="113" t="e">
        <f>VLOOKUP(B:B,'Nets not required'!K:L,2,0)</f>
        <v>#N/A</v>
      </c>
    </row>
    <row r="6" spans="1:12" ht="13.5" thickBot="1">
      <c r="A6" s="127">
        <v>5</v>
      </c>
      <c r="B6" s="129" t="s">
        <v>2180</v>
      </c>
      <c r="C6" s="129" t="s">
        <v>2181</v>
      </c>
      <c r="D6" s="127" t="s">
        <v>2171</v>
      </c>
      <c r="E6" s="127" t="s">
        <v>35</v>
      </c>
      <c r="F6" s="127">
        <v>3</v>
      </c>
      <c r="G6" s="127"/>
      <c r="H6" s="113">
        <f>VLOOKUP(B:B,'Nets not required'!B:C,2,0)</f>
        <v>0</v>
      </c>
      <c r="I6" s="113" t="e">
        <f>VLOOKUP(B:B,'Nets not required'!E:F,2,0)</f>
        <v>#N/A</v>
      </c>
      <c r="J6" s="82" t="e">
        <f>VLOOKUP(B:B,'Nets not required'!H:I,2,0)</f>
        <v>#N/A</v>
      </c>
      <c r="K6" s="82" t="str">
        <f t="shared" si="0"/>
        <v>TP_P</v>
      </c>
      <c r="L6" s="113" t="e">
        <f>VLOOKUP(B:B,'Nets not required'!K:L,2,0)</f>
        <v>#N/A</v>
      </c>
    </row>
    <row r="7" spans="1:12" ht="13.5" thickBot="1">
      <c r="A7" s="127">
        <v>6</v>
      </c>
      <c r="B7" s="140" t="s">
        <v>2182</v>
      </c>
      <c r="C7" s="140" t="s">
        <v>2183</v>
      </c>
      <c r="D7" s="139" t="s">
        <v>2171</v>
      </c>
      <c r="E7" s="139" t="s">
        <v>35</v>
      </c>
      <c r="F7" s="139">
        <v>3</v>
      </c>
      <c r="G7" s="139"/>
      <c r="H7" s="113">
        <f>VLOOKUP(B:B,'Nets not required'!B:C,2,0)</f>
        <v>0</v>
      </c>
      <c r="I7" s="113" t="e">
        <f>VLOOKUP(B:B,'Nets not required'!E:F,2,0)</f>
        <v>#N/A</v>
      </c>
      <c r="J7" s="82" t="e">
        <f>VLOOKUP(B:B,'Nets not required'!H:I,2,0)</f>
        <v>#N/A</v>
      </c>
      <c r="K7" s="82" t="str">
        <f t="shared" si="0"/>
        <v>TP_P</v>
      </c>
      <c r="L7" s="113" t="e">
        <f>VLOOKUP(B:B,'Nets not required'!K:L,2,0)</f>
        <v>#N/A</v>
      </c>
    </row>
    <row r="8" spans="1:12" ht="13.5" thickBot="1">
      <c r="A8" s="127">
        <v>7</v>
      </c>
      <c r="B8" s="129" t="s">
        <v>2184</v>
      </c>
      <c r="C8" s="129" t="s">
        <v>2185</v>
      </c>
      <c r="D8" s="127" t="s">
        <v>2171</v>
      </c>
      <c r="E8" s="127" t="s">
        <v>35</v>
      </c>
      <c r="F8" s="127">
        <v>3</v>
      </c>
      <c r="G8" s="127"/>
      <c r="H8" s="113">
        <f>VLOOKUP(B:B,'Nets not required'!B:C,2,0)</f>
        <v>0</v>
      </c>
      <c r="I8" s="113" t="e">
        <f>VLOOKUP(B:B,'Nets not required'!E:F,2,0)</f>
        <v>#N/A</v>
      </c>
      <c r="J8" s="82" t="e">
        <f>VLOOKUP(B:B,'Nets not required'!H:I,2,0)</f>
        <v>#N/A</v>
      </c>
      <c r="K8" s="82" t="str">
        <f t="shared" si="0"/>
        <v>TP_P</v>
      </c>
      <c r="L8" s="113" t="e">
        <f>VLOOKUP(B:B,'Nets not required'!K:L,2,0)</f>
        <v>#N/A</v>
      </c>
    </row>
    <row r="9" spans="1:12" ht="13.5" thickBot="1">
      <c r="A9" s="127">
        <v>8</v>
      </c>
      <c r="B9" s="140" t="s">
        <v>2186</v>
      </c>
      <c r="C9" s="140" t="s">
        <v>2187</v>
      </c>
      <c r="D9" s="139" t="s">
        <v>2171</v>
      </c>
      <c r="E9" s="139" t="s">
        <v>35</v>
      </c>
      <c r="F9" s="139">
        <v>1</v>
      </c>
      <c r="G9" s="139"/>
      <c r="H9" s="113">
        <f>VLOOKUP(B:B,'Nets not required'!B:C,2,0)</f>
        <v>0</v>
      </c>
      <c r="I9" s="113" t="e">
        <f>VLOOKUP(B:B,'Nets not required'!E:F,2,0)</f>
        <v>#N/A</v>
      </c>
      <c r="J9" s="82" t="e">
        <f>VLOOKUP(B:B,'Nets not required'!H:I,2,0)</f>
        <v>#N/A</v>
      </c>
      <c r="K9" s="82" t="str">
        <f t="shared" si="0"/>
        <v>TP_P</v>
      </c>
      <c r="L9" s="113" t="e">
        <f>VLOOKUP(B:B,'Nets not required'!K:L,2,0)</f>
        <v>#N/A</v>
      </c>
    </row>
    <row r="10" spans="1:12" ht="13.5" thickBot="1">
      <c r="A10" s="127">
        <v>9</v>
      </c>
      <c r="B10" s="129" t="s">
        <v>2188</v>
      </c>
      <c r="C10" s="129" t="s">
        <v>2189</v>
      </c>
      <c r="D10" s="127" t="s">
        <v>2171</v>
      </c>
      <c r="E10" s="127" t="s">
        <v>35</v>
      </c>
      <c r="F10" s="127">
        <v>2</v>
      </c>
      <c r="G10" s="127"/>
      <c r="H10" s="113">
        <f>VLOOKUP(B:B,'Nets not required'!B:C,2,0)</f>
        <v>0</v>
      </c>
      <c r="I10" s="113" t="e">
        <f>VLOOKUP(B:B,'Nets not required'!E:F,2,0)</f>
        <v>#N/A</v>
      </c>
      <c r="J10" s="82" t="e">
        <f>VLOOKUP(B:B,'Nets not required'!H:I,2,0)</f>
        <v>#N/A</v>
      </c>
      <c r="K10" s="82" t="str">
        <f t="shared" si="0"/>
        <v>TP_P</v>
      </c>
      <c r="L10" s="113" t="e">
        <f>VLOOKUP(B:B,'Nets not required'!K:L,2,0)</f>
        <v>#N/A</v>
      </c>
    </row>
    <row r="11" spans="1:12" ht="13.5" thickBot="1">
      <c r="A11" s="127">
        <v>10</v>
      </c>
      <c r="B11" s="140" t="s">
        <v>2190</v>
      </c>
      <c r="C11" s="140" t="s">
        <v>2191</v>
      </c>
      <c r="D11" s="139" t="s">
        <v>2171</v>
      </c>
      <c r="E11" s="139" t="s">
        <v>35</v>
      </c>
      <c r="F11" s="139">
        <v>1</v>
      </c>
      <c r="G11" s="139"/>
      <c r="H11" s="113">
        <f>VLOOKUP(B:B,'Nets not required'!B:C,2,0)</f>
        <v>0</v>
      </c>
      <c r="I11" s="113" t="e">
        <f>VLOOKUP(B:B,'Nets not required'!E:F,2,0)</f>
        <v>#N/A</v>
      </c>
      <c r="J11" s="82" t="e">
        <f>VLOOKUP(B:B,'Nets not required'!H:I,2,0)</f>
        <v>#N/A</v>
      </c>
      <c r="K11" s="82" t="str">
        <f t="shared" si="0"/>
        <v>TP_P</v>
      </c>
      <c r="L11" s="113" t="e">
        <f>VLOOKUP(B:B,'Nets not required'!K:L,2,0)</f>
        <v>#N/A</v>
      </c>
    </row>
    <row r="12" spans="1:12" ht="13.5" thickBot="1">
      <c r="A12" s="127">
        <v>11</v>
      </c>
      <c r="B12" s="129" t="s">
        <v>2192</v>
      </c>
      <c r="C12" s="129" t="s">
        <v>2193</v>
      </c>
      <c r="D12" s="127" t="s">
        <v>2171</v>
      </c>
      <c r="E12" s="127" t="s">
        <v>35</v>
      </c>
      <c r="F12" s="127">
        <v>2</v>
      </c>
      <c r="G12" s="127"/>
      <c r="H12" s="113">
        <f>VLOOKUP(B:B,'Nets not required'!B:C,2,0)</f>
        <v>0</v>
      </c>
      <c r="I12" s="113" t="e">
        <f>VLOOKUP(B:B,'Nets not required'!E:F,2,0)</f>
        <v>#N/A</v>
      </c>
      <c r="J12" s="82" t="e">
        <f>VLOOKUP(B:B,'Nets not required'!H:I,2,0)</f>
        <v>#N/A</v>
      </c>
      <c r="K12" s="82" t="str">
        <f t="shared" si="0"/>
        <v>TP_P</v>
      </c>
      <c r="L12" s="113" t="e">
        <f>VLOOKUP(B:B,'Nets not required'!K:L,2,0)</f>
        <v>#N/A</v>
      </c>
    </row>
    <row r="13" spans="1:12" ht="13.5" thickBot="1">
      <c r="A13" s="127">
        <v>12</v>
      </c>
      <c r="B13" s="140" t="s">
        <v>2194</v>
      </c>
      <c r="C13" s="140" t="s">
        <v>2195</v>
      </c>
      <c r="D13" s="139" t="s">
        <v>2171</v>
      </c>
      <c r="E13" s="139" t="s">
        <v>35</v>
      </c>
      <c r="F13" s="139">
        <v>3</v>
      </c>
      <c r="G13" s="139"/>
      <c r="H13" s="113">
        <f>VLOOKUP(B:B,'Nets not required'!B:C,2,0)</f>
        <v>0</v>
      </c>
      <c r="I13" s="113" t="e">
        <f>VLOOKUP(B:B,'Nets not required'!E:F,2,0)</f>
        <v>#N/A</v>
      </c>
      <c r="J13" s="82" t="e">
        <f>VLOOKUP(B:B,'Nets not required'!H:I,2,0)</f>
        <v>#N/A</v>
      </c>
      <c r="K13" s="82" t="str">
        <f t="shared" si="0"/>
        <v>TP_M</v>
      </c>
      <c r="L13" s="113" t="e">
        <f>VLOOKUP(B:B,'Nets not required'!K:L,2,0)</f>
        <v>#N/A</v>
      </c>
    </row>
    <row r="14" spans="1:12" ht="13.5" thickBot="1">
      <c r="A14" s="127">
        <v>13</v>
      </c>
      <c r="B14" s="129" t="s">
        <v>2196</v>
      </c>
      <c r="C14" s="129" t="s">
        <v>2197</v>
      </c>
      <c r="D14" s="127" t="s">
        <v>2171</v>
      </c>
      <c r="E14" s="127" t="s">
        <v>35</v>
      </c>
      <c r="F14" s="127">
        <v>1</v>
      </c>
      <c r="G14" s="127"/>
      <c r="H14" s="113">
        <f>VLOOKUP(B:B,'Nets not required'!B:C,2,0)</f>
        <v>0</v>
      </c>
      <c r="I14" s="113" t="e">
        <f>VLOOKUP(B:B,'Nets not required'!E:F,2,0)</f>
        <v>#N/A</v>
      </c>
      <c r="J14" s="82" t="e">
        <f>VLOOKUP(B:B,'Nets not required'!H:I,2,0)</f>
        <v>#N/A</v>
      </c>
      <c r="K14" s="82" t="str">
        <f t="shared" si="0"/>
        <v>TP_P</v>
      </c>
      <c r="L14" s="113" t="e">
        <f>VLOOKUP(B:B,'Nets not required'!K:L,2,0)</f>
        <v>#N/A</v>
      </c>
    </row>
    <row r="15" spans="1:12" ht="13.5" thickBot="1">
      <c r="A15" s="127">
        <v>14</v>
      </c>
      <c r="B15" s="140" t="s">
        <v>2198</v>
      </c>
      <c r="C15" s="140" t="s">
        <v>2199</v>
      </c>
      <c r="D15" s="139" t="s">
        <v>2171</v>
      </c>
      <c r="E15" s="139" t="s">
        <v>35</v>
      </c>
      <c r="F15" s="139">
        <v>3</v>
      </c>
      <c r="G15" s="139"/>
      <c r="H15" s="113">
        <f>VLOOKUP(B:B,'Nets not required'!B:C,2,0)</f>
        <v>0</v>
      </c>
      <c r="I15" s="113" t="e">
        <f>VLOOKUP(B:B,'Nets not required'!E:F,2,0)</f>
        <v>#N/A</v>
      </c>
      <c r="J15" s="82" t="e">
        <f>VLOOKUP(B:B,'Nets not required'!H:I,2,0)</f>
        <v>#N/A</v>
      </c>
      <c r="K15" s="82" t="str">
        <f t="shared" si="0"/>
        <v>TP_P</v>
      </c>
      <c r="L15" s="113" t="e">
        <f>VLOOKUP(B:B,'Nets not required'!K:L,2,0)</f>
        <v>#N/A</v>
      </c>
    </row>
    <row r="16" spans="1:12" ht="13.5" thickBot="1">
      <c r="A16" s="127">
        <v>15</v>
      </c>
      <c r="B16" s="129" t="s">
        <v>2200</v>
      </c>
      <c r="C16" s="129" t="s">
        <v>2201</v>
      </c>
      <c r="D16" s="127" t="s">
        <v>2171</v>
      </c>
      <c r="E16" s="127" t="s">
        <v>35</v>
      </c>
      <c r="F16" s="127">
        <v>2</v>
      </c>
      <c r="G16" s="127"/>
      <c r="H16" s="113">
        <f>VLOOKUP(B:B,'Nets not required'!B:C,2,0)</f>
        <v>0</v>
      </c>
      <c r="I16" s="113" t="e">
        <f>VLOOKUP(B:B,'Nets not required'!E:F,2,0)</f>
        <v>#N/A</v>
      </c>
      <c r="J16" s="82" t="e">
        <f>VLOOKUP(B:B,'Nets not required'!H:I,2,0)</f>
        <v>#N/A</v>
      </c>
      <c r="K16" s="82" t="str">
        <f t="shared" si="0"/>
        <v>TP_P</v>
      </c>
      <c r="L16" s="113" t="e">
        <f>VLOOKUP(B:B,'Nets not required'!K:L,2,0)</f>
        <v>#N/A</v>
      </c>
    </row>
    <row r="17" spans="1:12" ht="13.5" thickBot="1">
      <c r="A17" s="127">
        <v>16</v>
      </c>
      <c r="B17" s="140" t="s">
        <v>2202</v>
      </c>
      <c r="C17" s="140" t="s">
        <v>2203</v>
      </c>
      <c r="D17" s="139" t="s">
        <v>2171</v>
      </c>
      <c r="E17" s="139" t="s">
        <v>35</v>
      </c>
      <c r="F17" s="139">
        <v>2</v>
      </c>
      <c r="G17" s="139"/>
      <c r="H17" s="113">
        <f>VLOOKUP(B:B,'Nets not required'!B:C,2,0)</f>
        <v>0</v>
      </c>
      <c r="I17" s="113" t="e">
        <f>VLOOKUP(B:B,'Nets not required'!E:F,2,0)</f>
        <v>#N/A</v>
      </c>
      <c r="J17" s="82" t="e">
        <f>VLOOKUP(B:B,'Nets not required'!H:I,2,0)</f>
        <v>#N/A</v>
      </c>
      <c r="K17" s="82" t="str">
        <f t="shared" si="0"/>
        <v>TP_P</v>
      </c>
      <c r="L17" s="113" t="e">
        <f>VLOOKUP(B:B,'Nets not required'!K:L,2,0)</f>
        <v>#N/A</v>
      </c>
    </row>
    <row r="18" spans="1:12" ht="13.5" thickBot="1">
      <c r="A18" s="127">
        <v>18</v>
      </c>
      <c r="B18" s="140" t="s">
        <v>2204</v>
      </c>
      <c r="C18" s="140" t="s">
        <v>2205</v>
      </c>
      <c r="D18" s="139" t="s">
        <v>2171</v>
      </c>
      <c r="E18" s="139" t="s">
        <v>35</v>
      </c>
      <c r="F18" s="139">
        <v>3</v>
      </c>
      <c r="G18" s="139"/>
      <c r="H18" s="113">
        <f>VLOOKUP(B:B,'Nets not required'!B:C,2,0)</f>
        <v>0</v>
      </c>
      <c r="I18" s="113" t="e">
        <f>VLOOKUP(B:B,'Nets not required'!E:F,2,0)</f>
        <v>#N/A</v>
      </c>
      <c r="J18" s="82" t="e">
        <f>VLOOKUP(B:B,'Nets not required'!H:I,2,0)</f>
        <v>#N/A</v>
      </c>
      <c r="K18" s="82" t="str">
        <f t="shared" si="0"/>
        <v>TP_P</v>
      </c>
      <c r="L18" s="113" t="e">
        <f>VLOOKUP(B:B,'Nets not required'!K:L,2,0)</f>
        <v>#N/A</v>
      </c>
    </row>
    <row r="19" spans="1:12" ht="13.5" thickBot="1">
      <c r="A19" s="127">
        <v>20</v>
      </c>
      <c r="B19" s="140" t="s">
        <v>2206</v>
      </c>
      <c r="C19" s="140" t="s">
        <v>2207</v>
      </c>
      <c r="D19" s="139" t="s">
        <v>2171</v>
      </c>
      <c r="E19" s="139" t="s">
        <v>35</v>
      </c>
      <c r="F19" s="139">
        <v>2</v>
      </c>
      <c r="G19" s="139"/>
      <c r="H19" s="113">
        <f>VLOOKUP(B:B,'Nets not required'!B:C,2,0)</f>
        <v>0</v>
      </c>
      <c r="I19" s="113" t="e">
        <f>VLOOKUP(B:B,'Nets not required'!E:F,2,0)</f>
        <v>#N/A</v>
      </c>
      <c r="J19" s="82" t="e">
        <f>VLOOKUP(B:B,'Nets not required'!H:I,2,0)</f>
        <v>#N/A</v>
      </c>
      <c r="K19" s="82" t="str">
        <f t="shared" si="0"/>
        <v>TP_P</v>
      </c>
      <c r="L19" s="113" t="e">
        <f>VLOOKUP(B:B,'Nets not required'!K:L,2,0)</f>
        <v>#N/A</v>
      </c>
    </row>
    <row r="20" spans="1:12" ht="13.5" thickBot="1">
      <c r="A20" s="127">
        <v>21</v>
      </c>
      <c r="B20" s="129" t="s">
        <v>2208</v>
      </c>
      <c r="C20" s="129" t="s">
        <v>2209</v>
      </c>
      <c r="D20" s="127" t="s">
        <v>2171</v>
      </c>
      <c r="E20" s="127" t="s">
        <v>35</v>
      </c>
      <c r="F20" s="127">
        <v>2</v>
      </c>
      <c r="G20" s="127"/>
      <c r="H20" s="113">
        <f>VLOOKUP(B:B,'Nets not required'!B:C,2,0)</f>
        <v>0</v>
      </c>
      <c r="I20" s="113" t="e">
        <f>VLOOKUP(B:B,'Nets not required'!E:F,2,0)</f>
        <v>#N/A</v>
      </c>
      <c r="J20" s="82" t="e">
        <f>VLOOKUP(B:B,'Nets not required'!H:I,2,0)</f>
        <v>#N/A</v>
      </c>
      <c r="K20" s="82" t="str">
        <f t="shared" si="0"/>
        <v>TP_P</v>
      </c>
      <c r="L20" s="113" t="e">
        <f>VLOOKUP(B:B,'Nets not required'!K:L,2,0)</f>
        <v>#N/A</v>
      </c>
    </row>
    <row r="21" spans="1:12" ht="13.5" thickBot="1">
      <c r="A21" s="127">
        <v>22</v>
      </c>
      <c r="B21" s="140" t="s">
        <v>2210</v>
      </c>
      <c r="C21" s="140" t="s">
        <v>2211</v>
      </c>
      <c r="D21" s="139" t="s">
        <v>2171</v>
      </c>
      <c r="E21" s="139" t="s">
        <v>35</v>
      </c>
      <c r="F21" s="139">
        <v>3</v>
      </c>
      <c r="G21" s="139"/>
      <c r="H21" s="113">
        <f>VLOOKUP(B:B,'Nets not required'!B:C,2,0)</f>
        <v>0</v>
      </c>
      <c r="I21" s="113" t="e">
        <f>VLOOKUP(B:B,'Nets not required'!E:F,2,0)</f>
        <v>#N/A</v>
      </c>
      <c r="J21" s="82" t="e">
        <f>VLOOKUP(B:B,'Nets not required'!H:I,2,0)</f>
        <v>#N/A</v>
      </c>
      <c r="K21" s="82" t="str">
        <f t="shared" si="0"/>
        <v>TP_P</v>
      </c>
      <c r="L21" s="113" t="e">
        <f>VLOOKUP(B:B,'Nets not required'!K:L,2,0)</f>
        <v>#N/A</v>
      </c>
    </row>
    <row r="22" spans="1:12" ht="13.5" thickBot="1">
      <c r="A22" s="127">
        <v>23</v>
      </c>
      <c r="B22" s="129" t="s">
        <v>2212</v>
      </c>
      <c r="C22" s="129" t="s">
        <v>2213</v>
      </c>
      <c r="D22" s="127" t="s">
        <v>2171</v>
      </c>
      <c r="E22" s="127" t="s">
        <v>35</v>
      </c>
      <c r="F22" s="127">
        <v>3</v>
      </c>
      <c r="G22" s="127"/>
      <c r="H22" s="113">
        <f>VLOOKUP(B:B,'Nets not required'!B:C,2,0)</f>
        <v>0</v>
      </c>
      <c r="I22" s="113" t="e">
        <f>VLOOKUP(B:B,'Nets not required'!E:F,2,0)</f>
        <v>#N/A</v>
      </c>
      <c r="J22" s="82" t="e">
        <f>VLOOKUP(B:B,'Nets not required'!H:I,2,0)</f>
        <v>#N/A</v>
      </c>
      <c r="K22" s="82" t="str">
        <f t="shared" si="0"/>
        <v>TP_P</v>
      </c>
      <c r="L22" s="113" t="e">
        <f>VLOOKUP(B:B,'Nets not required'!K:L,2,0)</f>
        <v>#N/A</v>
      </c>
    </row>
    <row r="23" spans="1:12" ht="13.5" thickBot="1">
      <c r="A23" s="127">
        <v>24</v>
      </c>
      <c r="B23" s="140" t="s">
        <v>2214</v>
      </c>
      <c r="C23" s="140" t="s">
        <v>2215</v>
      </c>
      <c r="D23" s="139" t="s">
        <v>2171</v>
      </c>
      <c r="E23" s="139" t="s">
        <v>35</v>
      </c>
      <c r="F23" s="139">
        <v>3</v>
      </c>
      <c r="G23" s="139"/>
      <c r="H23" s="113">
        <f>VLOOKUP(B:B,'Nets not required'!B:C,2,0)</f>
        <v>0</v>
      </c>
      <c r="I23" s="113" t="e">
        <f>VLOOKUP(B:B,'Nets not required'!E:F,2,0)</f>
        <v>#N/A</v>
      </c>
      <c r="J23" s="82" t="e">
        <f>VLOOKUP(B:B,'Nets not required'!H:I,2,0)</f>
        <v>#N/A</v>
      </c>
      <c r="K23" s="82" t="str">
        <f t="shared" si="0"/>
        <v>TP_P</v>
      </c>
      <c r="L23" s="113" t="e">
        <f>VLOOKUP(B:B,'Nets not required'!K:L,2,0)</f>
        <v>#N/A</v>
      </c>
    </row>
    <row r="24" spans="1:12" ht="13.5" thickBot="1">
      <c r="A24" s="127">
        <v>25</v>
      </c>
      <c r="B24" s="140" t="s">
        <v>2216</v>
      </c>
      <c r="C24" s="140" t="s">
        <v>2217</v>
      </c>
      <c r="D24" s="139" t="s">
        <v>2171</v>
      </c>
      <c r="E24" s="139" t="s">
        <v>35</v>
      </c>
      <c r="F24" s="139">
        <v>3</v>
      </c>
      <c r="G24" s="139"/>
      <c r="H24" s="113">
        <f>VLOOKUP(B:B,'Nets not required'!B:C,2,0)</f>
        <v>0</v>
      </c>
      <c r="I24" s="113" t="e">
        <f>VLOOKUP(B:B,'Nets not required'!E:F,2,0)</f>
        <v>#N/A</v>
      </c>
      <c r="J24" s="82" t="e">
        <f>VLOOKUP(B:B,'Nets not required'!H:I,2,0)</f>
        <v>#N/A</v>
      </c>
      <c r="K24" s="82" t="str">
        <f t="shared" si="0"/>
        <v>TP_M</v>
      </c>
      <c r="L24" s="113" t="e">
        <f>VLOOKUP(B:B,'Nets not required'!K:L,2,0)</f>
        <v>#N/A</v>
      </c>
    </row>
    <row r="25" spans="1:12" ht="13.5" thickBot="1">
      <c r="A25" s="127">
        <v>26</v>
      </c>
      <c r="B25" s="144" t="s">
        <v>2218</v>
      </c>
      <c r="C25" s="144" t="s">
        <v>2219</v>
      </c>
      <c r="D25" s="141" t="s">
        <v>2171</v>
      </c>
      <c r="E25" s="141" t="s">
        <v>35</v>
      </c>
      <c r="F25" s="141">
        <v>2</v>
      </c>
      <c r="G25" s="141"/>
      <c r="H25" s="143">
        <f>VLOOKUP(B:B,'Nets not required'!B:C,2,0)</f>
        <v>0</v>
      </c>
      <c r="I25" s="113" t="e">
        <f>VLOOKUP(B:B,'Nets not required'!E:F,2,0)</f>
        <v>#N/A</v>
      </c>
      <c r="J25" s="82" t="e">
        <f>VLOOKUP(B:B,'Nets not required'!H:I,2,0)</f>
        <v>#N/A</v>
      </c>
      <c r="K25" s="82" t="str">
        <f t="shared" si="0"/>
        <v>TP_P</v>
      </c>
      <c r="L25" s="113" t="e">
        <f>VLOOKUP(B:B,'Nets not required'!K:L,2,0)</f>
        <v>#N/A</v>
      </c>
    </row>
    <row r="26" spans="1:12" ht="16.5">
      <c r="A26"/>
      <c r="B26" t="s">
        <v>2220</v>
      </c>
      <c r="C26" t="s">
        <v>2221</v>
      </c>
      <c r="D26" t="s">
        <v>2171</v>
      </c>
      <c r="E26" t="s">
        <v>35</v>
      </c>
      <c r="F26">
        <v>3</v>
      </c>
      <c r="G26"/>
      <c r="H26"/>
      <c r="I26"/>
      <c r="J26"/>
      <c r="K26"/>
    </row>
    <row r="27" spans="1:12" ht="16.5">
      <c r="A27"/>
      <c r="B27" t="s">
        <v>2222</v>
      </c>
      <c r="C27" t="s">
        <v>2223</v>
      </c>
      <c r="D27" t="s">
        <v>2171</v>
      </c>
      <c r="E27" t="s">
        <v>35</v>
      </c>
      <c r="F27">
        <v>3</v>
      </c>
      <c r="G27"/>
      <c r="H27"/>
      <c r="I27"/>
      <c r="J27"/>
      <c r="K27"/>
    </row>
    <row r="28" spans="1:12" ht="16.5">
      <c r="A28"/>
      <c r="B28" t="s">
        <v>2224</v>
      </c>
      <c r="C28" t="s">
        <v>2225</v>
      </c>
      <c r="D28" t="s">
        <v>2171</v>
      </c>
      <c r="E28" t="s">
        <v>35</v>
      </c>
      <c r="F28">
        <v>3</v>
      </c>
      <c r="G28"/>
      <c r="H28"/>
      <c r="I28"/>
      <c r="J28"/>
      <c r="K28"/>
    </row>
    <row r="29" spans="1:12" ht="16.5">
      <c r="A29"/>
      <c r="B29" t="s">
        <v>2226</v>
      </c>
      <c r="C29" t="s">
        <v>2227</v>
      </c>
      <c r="D29" t="s">
        <v>2171</v>
      </c>
      <c r="E29" t="s">
        <v>35</v>
      </c>
      <c r="F29">
        <v>3</v>
      </c>
      <c r="G29"/>
      <c r="H29"/>
      <c r="I29"/>
      <c r="J29"/>
      <c r="K29"/>
    </row>
    <row r="30" spans="1:12" ht="16.5">
      <c r="A30"/>
      <c r="B30" t="s">
        <v>2228</v>
      </c>
      <c r="C30" t="s">
        <v>2229</v>
      </c>
      <c r="D30" t="s">
        <v>2171</v>
      </c>
      <c r="E30" t="s">
        <v>35</v>
      </c>
      <c r="F30">
        <v>3</v>
      </c>
      <c r="G30"/>
      <c r="H30"/>
      <c r="I30"/>
      <c r="J30"/>
      <c r="K30"/>
    </row>
    <row r="31" spans="1:12" ht="16.5">
      <c r="A31"/>
      <c r="B31" t="s">
        <v>2230</v>
      </c>
      <c r="C31" t="s">
        <v>2231</v>
      </c>
      <c r="D31" t="s">
        <v>2171</v>
      </c>
      <c r="E31" t="s">
        <v>35</v>
      </c>
      <c r="F31">
        <v>3</v>
      </c>
      <c r="G31"/>
      <c r="H31"/>
      <c r="I31"/>
      <c r="J31"/>
      <c r="K31"/>
    </row>
    <row r="32" spans="1:12" ht="16.5">
      <c r="A32"/>
      <c r="B32" t="s">
        <v>2232</v>
      </c>
      <c r="C32" t="s">
        <v>2233</v>
      </c>
      <c r="D32" t="s">
        <v>2171</v>
      </c>
      <c r="E32" t="s">
        <v>35</v>
      </c>
      <c r="F32">
        <v>3</v>
      </c>
      <c r="G32"/>
      <c r="H32"/>
      <c r="I32"/>
      <c r="J32"/>
      <c r="K32"/>
    </row>
    <row r="33" spans="1:11" ht="16.5">
      <c r="A33"/>
      <c r="B33" t="s">
        <v>2234</v>
      </c>
      <c r="C33" t="s">
        <v>2235</v>
      </c>
      <c r="D33" t="s">
        <v>2171</v>
      </c>
      <c r="E33" t="s">
        <v>35</v>
      </c>
      <c r="F33">
        <v>3</v>
      </c>
      <c r="G33"/>
      <c r="H33"/>
      <c r="I33"/>
      <c r="J33"/>
      <c r="K33"/>
    </row>
    <row r="34" spans="1:11" ht="16.5">
      <c r="A34"/>
      <c r="B34" t="s">
        <v>2236</v>
      </c>
      <c r="C34" t="s">
        <v>2237</v>
      </c>
      <c r="D34" t="s">
        <v>2171</v>
      </c>
      <c r="E34" t="s">
        <v>35</v>
      </c>
      <c r="F34">
        <v>3</v>
      </c>
      <c r="G34"/>
      <c r="H34"/>
      <c r="I34"/>
      <c r="J34"/>
      <c r="K34"/>
    </row>
    <row r="35" spans="1:11">
      <c r="B35" s="115" t="s">
        <v>2238</v>
      </c>
      <c r="C35" s="115" t="s">
        <v>2239</v>
      </c>
      <c r="D35" s="115" t="s">
        <v>2171</v>
      </c>
      <c r="E35" s="115" t="s">
        <v>35</v>
      </c>
      <c r="F35" s="115">
        <v>3</v>
      </c>
    </row>
    <row r="36" spans="1:11">
      <c r="B36" s="115" t="s">
        <v>2240</v>
      </c>
      <c r="C36" s="115" t="s">
        <v>2241</v>
      </c>
      <c r="D36" s="115" t="s">
        <v>2171</v>
      </c>
      <c r="E36" s="115" t="s">
        <v>35</v>
      </c>
      <c r="F36" s="115">
        <v>3</v>
      </c>
    </row>
    <row r="37" spans="1:11">
      <c r="B37" s="115" t="s">
        <v>2242</v>
      </c>
      <c r="C37" s="115" t="s">
        <v>2243</v>
      </c>
      <c r="D37" s="115" t="s">
        <v>2171</v>
      </c>
      <c r="E37" s="115" t="s">
        <v>35</v>
      </c>
      <c r="F37" s="115">
        <v>3</v>
      </c>
    </row>
    <row r="38" spans="1:11">
      <c r="B38" s="115" t="s">
        <v>2244</v>
      </c>
      <c r="C38" s="115" t="s">
        <v>2245</v>
      </c>
      <c r="D38" s="115" t="s">
        <v>2171</v>
      </c>
      <c r="E38" s="115" t="s">
        <v>35</v>
      </c>
      <c r="F38" s="115">
        <v>3</v>
      </c>
    </row>
    <row r="39" spans="1:11">
      <c r="B39" s="115" t="s">
        <v>2246</v>
      </c>
      <c r="C39" s="115" t="s">
        <v>2247</v>
      </c>
      <c r="D39" s="115" t="s">
        <v>2171</v>
      </c>
      <c r="E39" s="115" t="s">
        <v>35</v>
      </c>
      <c r="F39" s="115">
        <v>3</v>
      </c>
    </row>
    <row r="40" spans="1:11">
      <c r="B40" s="115" t="s">
        <v>2248</v>
      </c>
      <c r="C40" s="115" t="s">
        <v>2249</v>
      </c>
      <c r="D40" s="115" t="s">
        <v>2171</v>
      </c>
      <c r="E40" s="115" t="s">
        <v>29</v>
      </c>
      <c r="F40" s="115">
        <v>3</v>
      </c>
    </row>
    <row r="41" spans="1:11">
      <c r="B41" s="115" t="s">
        <v>2250</v>
      </c>
      <c r="C41" s="115" t="s">
        <v>2251</v>
      </c>
      <c r="D41" s="115" t="s">
        <v>2171</v>
      </c>
      <c r="E41" s="115" t="s">
        <v>29</v>
      </c>
      <c r="F41" s="115">
        <v>3</v>
      </c>
    </row>
    <row r="42" spans="1:11">
      <c r="B42" s="115" t="s">
        <v>2252</v>
      </c>
      <c r="C42" s="115" t="s">
        <v>2253</v>
      </c>
      <c r="D42" s="115" t="s">
        <v>2171</v>
      </c>
      <c r="E42" s="115" t="s">
        <v>29</v>
      </c>
      <c r="F42" s="115">
        <v>1</v>
      </c>
    </row>
    <row r="43" spans="1:11">
      <c r="B43" s="115" t="s">
        <v>2254</v>
      </c>
      <c r="C43" s="115" t="s">
        <v>2255</v>
      </c>
      <c r="D43" s="115" t="s">
        <v>2171</v>
      </c>
      <c r="E43" s="115" t="s">
        <v>29</v>
      </c>
      <c r="F43" s="115">
        <v>1</v>
      </c>
    </row>
    <row r="44" spans="1:11">
      <c r="B44" s="115" t="s">
        <v>2256</v>
      </c>
      <c r="C44" s="115" t="s">
        <v>2257</v>
      </c>
      <c r="D44" s="115" t="s">
        <v>2171</v>
      </c>
      <c r="E44" s="115" t="s">
        <v>29</v>
      </c>
      <c r="F44" s="115">
        <v>3</v>
      </c>
    </row>
    <row r="45" spans="1:11">
      <c r="B45" s="115" t="s">
        <v>2258</v>
      </c>
      <c r="C45" s="115" t="s">
        <v>2259</v>
      </c>
      <c r="D45" s="115" t="s">
        <v>2171</v>
      </c>
      <c r="E45" s="115" t="s">
        <v>29</v>
      </c>
      <c r="F45" s="115">
        <v>3</v>
      </c>
    </row>
    <row r="46" spans="1:11">
      <c r="B46" s="115" t="s">
        <v>2260</v>
      </c>
      <c r="C46" s="115" t="s">
        <v>2261</v>
      </c>
      <c r="D46" s="115" t="s">
        <v>2171</v>
      </c>
      <c r="E46" s="115" t="s">
        <v>29</v>
      </c>
      <c r="F46" s="115">
        <v>3</v>
      </c>
    </row>
    <row r="47" spans="1:11">
      <c r="B47" s="115" t="s">
        <v>2262</v>
      </c>
      <c r="C47" s="115" t="s">
        <v>2263</v>
      </c>
      <c r="D47" s="115" t="s">
        <v>2171</v>
      </c>
      <c r="E47" s="115" t="s">
        <v>29</v>
      </c>
      <c r="F47" s="115">
        <v>3</v>
      </c>
    </row>
    <row r="48" spans="1:11">
      <c r="B48" s="115" t="s">
        <v>2264</v>
      </c>
      <c r="C48" s="115" t="s">
        <v>2265</v>
      </c>
      <c r="D48" s="115" t="s">
        <v>2171</v>
      </c>
      <c r="E48" s="115" t="s">
        <v>29</v>
      </c>
      <c r="F48" s="115">
        <v>3</v>
      </c>
    </row>
    <row r="49" spans="2:6">
      <c r="B49" s="115" t="s">
        <v>2266</v>
      </c>
      <c r="C49" s="115" t="s">
        <v>2267</v>
      </c>
      <c r="D49" s="115" t="s">
        <v>2171</v>
      </c>
      <c r="E49" s="115" t="s">
        <v>29</v>
      </c>
      <c r="F49" s="115">
        <v>3</v>
      </c>
    </row>
    <row r="50" spans="2:6">
      <c r="B50" s="115" t="s">
        <v>2268</v>
      </c>
      <c r="C50" s="115" t="s">
        <v>2269</v>
      </c>
      <c r="D50" s="115" t="s">
        <v>2171</v>
      </c>
      <c r="E50" s="115" t="s">
        <v>29</v>
      </c>
      <c r="F50" s="115">
        <v>1</v>
      </c>
    </row>
    <row r="51" spans="2:6">
      <c r="B51" s="115" t="s">
        <v>2270</v>
      </c>
      <c r="C51" s="115" t="s">
        <v>2271</v>
      </c>
      <c r="D51" s="115" t="s">
        <v>2171</v>
      </c>
      <c r="E51" s="115" t="s">
        <v>29</v>
      </c>
      <c r="F51" s="115">
        <v>3</v>
      </c>
    </row>
    <row r="52" spans="2:6">
      <c r="B52" s="115" t="s">
        <v>2272</v>
      </c>
      <c r="C52" s="115" t="s">
        <v>2273</v>
      </c>
      <c r="D52" s="115" t="s">
        <v>2171</v>
      </c>
      <c r="E52" s="115" t="s">
        <v>29</v>
      </c>
      <c r="F52" s="115">
        <v>3</v>
      </c>
    </row>
    <row r="53" spans="2:6">
      <c r="B53" s="115" t="s">
        <v>2274</v>
      </c>
      <c r="C53" s="115" t="s">
        <v>2275</v>
      </c>
      <c r="D53" s="115" t="s">
        <v>2171</v>
      </c>
      <c r="E53" s="115" t="s">
        <v>29</v>
      </c>
      <c r="F53" s="115">
        <v>3</v>
      </c>
    </row>
    <row r="54" spans="2:6">
      <c r="B54" s="115" t="s">
        <v>2276</v>
      </c>
      <c r="C54" s="115" t="s">
        <v>2277</v>
      </c>
      <c r="D54" s="115" t="s">
        <v>2171</v>
      </c>
      <c r="E54" s="115" t="s">
        <v>29</v>
      </c>
      <c r="F54" s="115">
        <v>3</v>
      </c>
    </row>
    <row r="55" spans="2:6">
      <c r="B55" s="115" t="s">
        <v>2278</v>
      </c>
      <c r="C55" s="115" t="s">
        <v>2279</v>
      </c>
      <c r="D55" s="115" t="s">
        <v>2171</v>
      </c>
      <c r="E55" s="115" t="s">
        <v>29</v>
      </c>
      <c r="F55" s="115">
        <v>3</v>
      </c>
    </row>
    <row r="56" spans="2:6">
      <c r="B56" s="115" t="s">
        <v>2280</v>
      </c>
      <c r="C56" s="115" t="s">
        <v>2281</v>
      </c>
      <c r="D56" s="115" t="s">
        <v>2171</v>
      </c>
      <c r="E56" s="115" t="s">
        <v>29</v>
      </c>
      <c r="F56" s="115">
        <v>3</v>
      </c>
    </row>
    <row r="57" spans="2:6">
      <c r="B57" s="115" t="s">
        <v>2282</v>
      </c>
      <c r="C57" s="115" t="s">
        <v>2283</v>
      </c>
      <c r="D57" s="115" t="s">
        <v>2171</v>
      </c>
      <c r="E57" s="115" t="s">
        <v>29</v>
      </c>
      <c r="F57" s="115">
        <v>2</v>
      </c>
    </row>
    <row r="58" spans="2:6">
      <c r="B58" s="115" t="s">
        <v>2284</v>
      </c>
      <c r="C58" s="115" t="s">
        <v>2285</v>
      </c>
      <c r="D58" s="115" t="s">
        <v>2171</v>
      </c>
      <c r="E58" s="115" t="s">
        <v>29</v>
      </c>
      <c r="F58" s="115">
        <v>1</v>
      </c>
    </row>
    <row r="59" spans="2:6">
      <c r="B59" s="115" t="s">
        <v>2286</v>
      </c>
      <c r="C59" s="115" t="s">
        <v>2287</v>
      </c>
      <c r="D59" s="115" t="s">
        <v>2171</v>
      </c>
      <c r="E59" s="115" t="s">
        <v>29</v>
      </c>
      <c r="F59" s="115">
        <v>3</v>
      </c>
    </row>
    <row r="60" spans="2:6">
      <c r="B60" s="115" t="s">
        <v>2288</v>
      </c>
      <c r="C60" s="115" t="s">
        <v>2289</v>
      </c>
      <c r="D60" s="115" t="s">
        <v>2171</v>
      </c>
      <c r="E60" s="115" t="s">
        <v>29</v>
      </c>
      <c r="F60" s="115">
        <v>3</v>
      </c>
    </row>
    <row r="61" spans="2:6">
      <c r="B61" s="115" t="s">
        <v>2290</v>
      </c>
      <c r="C61" s="115" t="s">
        <v>2291</v>
      </c>
      <c r="D61" s="115" t="s">
        <v>2171</v>
      </c>
      <c r="E61" s="115" t="s">
        <v>29</v>
      </c>
      <c r="F61" s="115">
        <v>2</v>
      </c>
    </row>
    <row r="62" spans="2:6">
      <c r="B62" s="115" t="s">
        <v>2292</v>
      </c>
      <c r="C62" s="115" t="s">
        <v>2293</v>
      </c>
      <c r="D62" s="115" t="s">
        <v>2171</v>
      </c>
      <c r="E62" s="115" t="s">
        <v>29</v>
      </c>
      <c r="F62" s="115">
        <v>1</v>
      </c>
    </row>
    <row r="63" spans="2:6">
      <c r="B63" s="115" t="s">
        <v>2294</v>
      </c>
      <c r="C63" s="115" t="s">
        <v>2295</v>
      </c>
      <c r="D63" s="115" t="s">
        <v>2171</v>
      </c>
      <c r="E63" s="115" t="s">
        <v>29</v>
      </c>
      <c r="F63" s="115">
        <v>3</v>
      </c>
    </row>
    <row r="64" spans="2:6">
      <c r="B64" s="115" t="s">
        <v>2296</v>
      </c>
      <c r="C64" s="115" t="s">
        <v>2297</v>
      </c>
      <c r="D64" s="115" t="s">
        <v>2171</v>
      </c>
      <c r="E64" s="115" t="s">
        <v>29</v>
      </c>
      <c r="F64" s="115">
        <v>1</v>
      </c>
    </row>
    <row r="65" spans="2:6">
      <c r="B65" s="115" t="s">
        <v>2298</v>
      </c>
      <c r="C65" s="115" t="s">
        <v>2299</v>
      </c>
      <c r="D65" s="115" t="s">
        <v>2171</v>
      </c>
      <c r="E65" s="115" t="s">
        <v>29</v>
      </c>
      <c r="F65" s="115">
        <v>1</v>
      </c>
    </row>
    <row r="66" spans="2:6">
      <c r="B66" s="115" t="s">
        <v>2300</v>
      </c>
      <c r="C66" s="115" t="s">
        <v>2301</v>
      </c>
      <c r="D66" s="115" t="s">
        <v>2171</v>
      </c>
      <c r="E66" s="115" t="s">
        <v>29</v>
      </c>
      <c r="F66" s="115">
        <v>1</v>
      </c>
    </row>
    <row r="67" spans="2:6">
      <c r="B67" s="115" t="s">
        <v>2302</v>
      </c>
      <c r="C67" s="115" t="s">
        <v>2303</v>
      </c>
      <c r="D67" s="115" t="s">
        <v>2171</v>
      </c>
      <c r="E67" s="115" t="s">
        <v>29</v>
      </c>
      <c r="F67" s="115">
        <v>3</v>
      </c>
    </row>
    <row r="68" spans="2:6">
      <c r="B68" s="115" t="s">
        <v>2304</v>
      </c>
      <c r="C68" s="115" t="s">
        <v>2305</v>
      </c>
      <c r="D68" s="115" t="s">
        <v>2171</v>
      </c>
      <c r="E68" s="115" t="s">
        <v>29</v>
      </c>
      <c r="F68" s="115">
        <v>3</v>
      </c>
    </row>
    <row r="69" spans="2:6">
      <c r="B69" s="115" t="s">
        <v>2306</v>
      </c>
      <c r="C69" s="115" t="s">
        <v>2307</v>
      </c>
      <c r="D69" s="115" t="s">
        <v>2171</v>
      </c>
      <c r="E69" s="115" t="s">
        <v>29</v>
      </c>
      <c r="F69" s="115">
        <v>3</v>
      </c>
    </row>
    <row r="70" spans="2:6">
      <c r="B70" s="115" t="s">
        <v>2308</v>
      </c>
      <c r="C70" s="115" t="s">
        <v>2309</v>
      </c>
      <c r="D70" s="115" t="s">
        <v>2171</v>
      </c>
      <c r="E70" s="115" t="s">
        <v>29</v>
      </c>
      <c r="F70" s="115">
        <v>3</v>
      </c>
    </row>
    <row r="71" spans="2:6">
      <c r="B71" s="115" t="s">
        <v>2310</v>
      </c>
      <c r="C71" s="115" t="s">
        <v>2311</v>
      </c>
      <c r="D71" s="115" t="s">
        <v>2171</v>
      </c>
      <c r="E71" s="115" t="s">
        <v>29</v>
      </c>
      <c r="F71" s="115">
        <v>3</v>
      </c>
    </row>
    <row r="72" spans="2:6">
      <c r="B72" s="115" t="s">
        <v>2312</v>
      </c>
      <c r="C72" s="115" t="s">
        <v>2313</v>
      </c>
      <c r="D72" s="115" t="s">
        <v>2171</v>
      </c>
      <c r="E72" s="115" t="s">
        <v>29</v>
      </c>
      <c r="F72" s="115">
        <v>3</v>
      </c>
    </row>
    <row r="73" spans="2:6">
      <c r="B73" s="115" t="s">
        <v>2314</v>
      </c>
      <c r="C73" s="115" t="s">
        <v>2315</v>
      </c>
      <c r="D73" s="115" t="s">
        <v>2171</v>
      </c>
      <c r="E73" s="115" t="s">
        <v>29</v>
      </c>
      <c r="F73" s="115">
        <v>3</v>
      </c>
    </row>
    <row r="74" spans="2:6">
      <c r="B74" s="115" t="s">
        <v>2316</v>
      </c>
      <c r="C74" s="115" t="s">
        <v>2317</v>
      </c>
      <c r="D74" s="115" t="s">
        <v>2171</v>
      </c>
      <c r="E74" s="115" t="s">
        <v>29</v>
      </c>
      <c r="F74" s="115">
        <v>3</v>
      </c>
    </row>
    <row r="75" spans="2:6">
      <c r="B75" s="115" t="s">
        <v>2318</v>
      </c>
      <c r="C75" s="115" t="s">
        <v>2319</v>
      </c>
      <c r="D75" s="115" t="s">
        <v>2171</v>
      </c>
      <c r="E75" s="115" t="s">
        <v>29</v>
      </c>
      <c r="F75" s="115">
        <v>2</v>
      </c>
    </row>
    <row r="76" spans="2:6">
      <c r="B76" s="115" t="s">
        <v>2320</v>
      </c>
      <c r="C76" s="115" t="s">
        <v>2321</v>
      </c>
      <c r="D76" s="115" t="s">
        <v>2171</v>
      </c>
      <c r="E76" s="115" t="s">
        <v>29</v>
      </c>
      <c r="F76" s="115">
        <v>2</v>
      </c>
    </row>
    <row r="77" spans="2:6">
      <c r="B77" s="115" t="s">
        <v>2322</v>
      </c>
      <c r="C77" s="115" t="s">
        <v>2323</v>
      </c>
      <c r="D77" s="115" t="s">
        <v>2171</v>
      </c>
      <c r="E77" s="115" t="s">
        <v>29</v>
      </c>
      <c r="F77" s="115">
        <v>3</v>
      </c>
    </row>
    <row r="78" spans="2:6">
      <c r="B78" s="115" t="s">
        <v>2324</v>
      </c>
      <c r="C78" s="115" t="s">
        <v>2325</v>
      </c>
      <c r="D78" s="115" t="s">
        <v>2171</v>
      </c>
      <c r="E78" s="115" t="s">
        <v>29</v>
      </c>
      <c r="F78" s="115">
        <v>3</v>
      </c>
    </row>
    <row r="79" spans="2:6">
      <c r="B79" s="115" t="s">
        <v>2326</v>
      </c>
      <c r="C79" s="115" t="s">
        <v>2327</v>
      </c>
      <c r="D79" s="115" t="s">
        <v>2171</v>
      </c>
      <c r="E79" s="115" t="s">
        <v>29</v>
      </c>
      <c r="F79" s="115">
        <v>3</v>
      </c>
    </row>
    <row r="80" spans="2:6">
      <c r="B80" s="115" t="s">
        <v>2328</v>
      </c>
      <c r="C80" s="115" t="s">
        <v>2329</v>
      </c>
      <c r="D80" s="115" t="s">
        <v>2171</v>
      </c>
      <c r="E80" s="115" t="s">
        <v>29</v>
      </c>
      <c r="F80" s="115">
        <v>3</v>
      </c>
    </row>
    <row r="81" spans="2:6">
      <c r="B81" s="115" t="s">
        <v>2330</v>
      </c>
      <c r="C81" s="115" t="s">
        <v>2331</v>
      </c>
      <c r="D81" s="115" t="s">
        <v>2171</v>
      </c>
      <c r="E81" s="115" t="s">
        <v>29</v>
      </c>
      <c r="F81" s="115">
        <v>3</v>
      </c>
    </row>
    <row r="82" spans="2:6">
      <c r="B82" s="115" t="s">
        <v>2333</v>
      </c>
      <c r="C82" s="115" t="s">
        <v>2334</v>
      </c>
      <c r="D82" s="115" t="s">
        <v>2171</v>
      </c>
      <c r="E82" s="115" t="s">
        <v>2332</v>
      </c>
      <c r="F82" s="115">
        <v>3</v>
      </c>
    </row>
    <row r="83" spans="2:6">
      <c r="B83" s="115" t="s">
        <v>2335</v>
      </c>
      <c r="C83" s="115" t="s">
        <v>2336</v>
      </c>
      <c r="D83" s="115" t="s">
        <v>2171</v>
      </c>
      <c r="E83" s="115" t="s">
        <v>29</v>
      </c>
      <c r="F83" s="115">
        <v>3</v>
      </c>
    </row>
    <row r="84" spans="2:6">
      <c r="B84" s="115" t="s">
        <v>2337</v>
      </c>
      <c r="C84" s="115" t="s">
        <v>2338</v>
      </c>
      <c r="D84" s="115" t="s">
        <v>2171</v>
      </c>
      <c r="E84" s="115" t="s">
        <v>2332</v>
      </c>
      <c r="F84" s="115">
        <v>3</v>
      </c>
    </row>
    <row r="85" spans="2:6">
      <c r="B85" s="115" t="s">
        <v>2339</v>
      </c>
      <c r="C85" s="115" t="s">
        <v>2340</v>
      </c>
      <c r="D85" s="115" t="s">
        <v>2171</v>
      </c>
      <c r="E85" s="115" t="s">
        <v>29</v>
      </c>
      <c r="F85" s="115">
        <v>3</v>
      </c>
    </row>
    <row r="86" spans="2:6">
      <c r="B86" s="115" t="s">
        <v>2341</v>
      </c>
      <c r="C86" s="115" t="s">
        <v>2342</v>
      </c>
      <c r="D86" s="115" t="s">
        <v>2171</v>
      </c>
      <c r="E86" s="115" t="s">
        <v>29</v>
      </c>
      <c r="F86" s="115">
        <v>3</v>
      </c>
    </row>
    <row r="87" spans="2:6">
      <c r="B87" s="115" t="s">
        <v>2343</v>
      </c>
      <c r="C87" s="115" t="s">
        <v>2344</v>
      </c>
      <c r="D87" s="115" t="s">
        <v>2171</v>
      </c>
      <c r="E87" s="115" t="s">
        <v>29</v>
      </c>
      <c r="F87" s="115">
        <v>3</v>
      </c>
    </row>
    <row r="88" spans="2:6">
      <c r="B88" s="115" t="s">
        <v>2345</v>
      </c>
      <c r="C88" s="115" t="s">
        <v>2346</v>
      </c>
      <c r="D88" s="115" t="s">
        <v>2171</v>
      </c>
      <c r="E88" s="115" t="s">
        <v>29</v>
      </c>
      <c r="F88" s="115">
        <v>3</v>
      </c>
    </row>
    <row r="89" spans="2:6">
      <c r="B89" s="115" t="s">
        <v>2347</v>
      </c>
      <c r="C89" s="115" t="s">
        <v>2348</v>
      </c>
      <c r="D89" s="115" t="s">
        <v>2171</v>
      </c>
      <c r="E89" s="115" t="s">
        <v>29</v>
      </c>
      <c r="F89" s="115">
        <v>3</v>
      </c>
    </row>
    <row r="90" spans="2:6">
      <c r="B90" s="115" t="s">
        <v>2349</v>
      </c>
      <c r="C90" s="115" t="s">
        <v>2350</v>
      </c>
      <c r="D90" s="115" t="s">
        <v>2171</v>
      </c>
      <c r="E90" s="115" t="s">
        <v>29</v>
      </c>
      <c r="F90" s="115">
        <v>3</v>
      </c>
    </row>
    <row r="91" spans="2:6">
      <c r="B91" s="115" t="s">
        <v>2351</v>
      </c>
      <c r="C91" s="115" t="s">
        <v>2352</v>
      </c>
      <c r="D91" s="115" t="s">
        <v>2171</v>
      </c>
      <c r="E91" s="115" t="s">
        <v>29</v>
      </c>
      <c r="F91" s="115">
        <v>3</v>
      </c>
    </row>
    <row r="92" spans="2:6">
      <c r="B92" s="115" t="s">
        <v>2353</v>
      </c>
      <c r="C92" s="115" t="s">
        <v>2354</v>
      </c>
      <c r="D92" s="115" t="s">
        <v>2171</v>
      </c>
      <c r="E92" s="115" t="s">
        <v>29</v>
      </c>
      <c r="F92" s="115">
        <v>3</v>
      </c>
    </row>
    <row r="93" spans="2:6">
      <c r="B93" s="115" t="s">
        <v>2355</v>
      </c>
      <c r="C93" s="115" t="s">
        <v>2356</v>
      </c>
      <c r="D93" s="115" t="s">
        <v>2171</v>
      </c>
      <c r="E93" s="115" t="s">
        <v>29</v>
      </c>
      <c r="F93" s="115">
        <v>3</v>
      </c>
    </row>
    <row r="94" spans="2:6">
      <c r="B94" s="115" t="s">
        <v>2357</v>
      </c>
      <c r="C94" s="115" t="s">
        <v>2358</v>
      </c>
      <c r="D94" s="115" t="s">
        <v>2171</v>
      </c>
      <c r="E94" s="115" t="s">
        <v>29</v>
      </c>
      <c r="F94" s="115">
        <v>3</v>
      </c>
    </row>
    <row r="95" spans="2:6">
      <c r="B95" s="115" t="s">
        <v>2359</v>
      </c>
      <c r="C95" s="115" t="s">
        <v>2360</v>
      </c>
      <c r="D95" s="115" t="s">
        <v>2171</v>
      </c>
      <c r="E95" s="115" t="s">
        <v>2332</v>
      </c>
      <c r="F95" s="115">
        <v>3</v>
      </c>
    </row>
    <row r="96" spans="2:6">
      <c r="B96" s="115" t="s">
        <v>2361</v>
      </c>
      <c r="C96" s="115" t="s">
        <v>2362</v>
      </c>
      <c r="D96" s="115" t="s">
        <v>2171</v>
      </c>
      <c r="E96" s="115" t="s">
        <v>29</v>
      </c>
      <c r="F96" s="115">
        <v>3</v>
      </c>
    </row>
    <row r="97" spans="2:6">
      <c r="B97" s="115" t="s">
        <v>2363</v>
      </c>
      <c r="C97" s="115" t="s">
        <v>2364</v>
      </c>
      <c r="D97" s="115" t="s">
        <v>2171</v>
      </c>
      <c r="E97" s="115" t="s">
        <v>29</v>
      </c>
      <c r="F97" s="115">
        <v>3</v>
      </c>
    </row>
    <row r="98" spans="2:6">
      <c r="B98" s="115" t="s">
        <v>2365</v>
      </c>
      <c r="C98" s="115" t="s">
        <v>2366</v>
      </c>
      <c r="D98" s="115" t="s">
        <v>2171</v>
      </c>
      <c r="E98" s="115" t="s">
        <v>29</v>
      </c>
      <c r="F98" s="115">
        <v>1</v>
      </c>
    </row>
    <row r="99" spans="2:6">
      <c r="B99" s="115" t="s">
        <v>2367</v>
      </c>
      <c r="C99" s="115" t="s">
        <v>2368</v>
      </c>
      <c r="D99" s="115" t="s">
        <v>2171</v>
      </c>
      <c r="E99" s="115" t="s">
        <v>29</v>
      </c>
      <c r="F99" s="115">
        <v>1</v>
      </c>
    </row>
    <row r="100" spans="2:6">
      <c r="B100" s="115" t="s">
        <v>2369</v>
      </c>
      <c r="C100" s="115" t="s">
        <v>2370</v>
      </c>
      <c r="D100" s="115" t="s">
        <v>2171</v>
      </c>
      <c r="E100" s="115" t="s">
        <v>29</v>
      </c>
      <c r="F100" s="115">
        <v>1</v>
      </c>
    </row>
    <row r="101" spans="2:6">
      <c r="B101" s="115" t="s">
        <v>2371</v>
      </c>
      <c r="C101" s="115" t="s">
        <v>2372</v>
      </c>
      <c r="D101" s="115" t="s">
        <v>2171</v>
      </c>
      <c r="E101" s="115" t="s">
        <v>29</v>
      </c>
      <c r="F101" s="115">
        <v>1</v>
      </c>
    </row>
    <row r="102" spans="2:6">
      <c r="B102" s="115" t="s">
        <v>2373</v>
      </c>
      <c r="C102" s="115" t="s">
        <v>2374</v>
      </c>
      <c r="D102" s="115" t="s">
        <v>2171</v>
      </c>
      <c r="E102" s="115" t="s">
        <v>29</v>
      </c>
      <c r="F102" s="115">
        <v>3</v>
      </c>
    </row>
    <row r="103" spans="2:6">
      <c r="B103" s="115" t="s">
        <v>2375</v>
      </c>
      <c r="C103" s="115" t="s">
        <v>2376</v>
      </c>
      <c r="D103" s="115" t="s">
        <v>2171</v>
      </c>
      <c r="E103" s="115" t="s">
        <v>29</v>
      </c>
      <c r="F103" s="115">
        <v>1</v>
      </c>
    </row>
    <row r="104" spans="2:6">
      <c r="B104" s="115" t="s">
        <v>2377</v>
      </c>
      <c r="C104" s="115" t="s">
        <v>2378</v>
      </c>
      <c r="D104" s="115" t="s">
        <v>2171</v>
      </c>
      <c r="E104" s="115" t="s">
        <v>29</v>
      </c>
      <c r="F104" s="115">
        <v>1</v>
      </c>
    </row>
    <row r="105" spans="2:6">
      <c r="B105" s="115" t="s">
        <v>2379</v>
      </c>
      <c r="C105" s="115" t="s">
        <v>2380</v>
      </c>
      <c r="D105" s="115" t="s">
        <v>2171</v>
      </c>
      <c r="E105" s="115" t="s">
        <v>29</v>
      </c>
      <c r="F105" s="115">
        <v>3</v>
      </c>
    </row>
    <row r="106" spans="2:6">
      <c r="B106" s="115" t="s">
        <v>2381</v>
      </c>
      <c r="C106" s="115" t="s">
        <v>2382</v>
      </c>
      <c r="D106" s="115" t="s">
        <v>2171</v>
      </c>
      <c r="E106" s="115" t="s">
        <v>29</v>
      </c>
      <c r="F106" s="115">
        <v>3</v>
      </c>
    </row>
    <row r="107" spans="2:6">
      <c r="B107" s="115" t="s">
        <v>2383</v>
      </c>
      <c r="C107" s="115" t="s">
        <v>2384</v>
      </c>
      <c r="D107" s="115" t="s">
        <v>2171</v>
      </c>
      <c r="E107" s="115" t="s">
        <v>29</v>
      </c>
      <c r="F107" s="115">
        <v>3</v>
      </c>
    </row>
    <row r="108" spans="2:6">
      <c r="B108" s="115" t="s">
        <v>2385</v>
      </c>
      <c r="C108" s="115" t="s">
        <v>2386</v>
      </c>
      <c r="D108" s="115" t="s">
        <v>2171</v>
      </c>
      <c r="E108" s="115" t="s">
        <v>29</v>
      </c>
      <c r="F108" s="115">
        <v>3</v>
      </c>
    </row>
    <row r="109" spans="2:6">
      <c r="B109" s="115" t="s">
        <v>2387</v>
      </c>
      <c r="C109" s="115" t="s">
        <v>2388</v>
      </c>
      <c r="D109" s="115" t="s">
        <v>2171</v>
      </c>
      <c r="E109" s="115" t="s">
        <v>29</v>
      </c>
      <c r="F109" s="115">
        <v>1</v>
      </c>
    </row>
    <row r="110" spans="2:6">
      <c r="B110" s="115" t="s">
        <v>2389</v>
      </c>
      <c r="C110" s="115" t="s">
        <v>2390</v>
      </c>
      <c r="D110" s="115" t="s">
        <v>2171</v>
      </c>
      <c r="E110" s="115" t="s">
        <v>29</v>
      </c>
      <c r="F110" s="115">
        <v>1</v>
      </c>
    </row>
    <row r="111" spans="2:6">
      <c r="B111" s="115" t="s">
        <v>2391</v>
      </c>
      <c r="C111" s="115" t="s">
        <v>2392</v>
      </c>
      <c r="D111" s="115" t="s">
        <v>2171</v>
      </c>
      <c r="E111" s="115" t="s">
        <v>29</v>
      </c>
      <c r="F111" s="115">
        <v>1</v>
      </c>
    </row>
    <row r="112" spans="2:6">
      <c r="B112" s="115" t="s">
        <v>2393</v>
      </c>
      <c r="C112" s="115" t="s">
        <v>2394</v>
      </c>
      <c r="D112" s="115" t="s">
        <v>2171</v>
      </c>
      <c r="E112" s="115" t="s">
        <v>29</v>
      </c>
      <c r="F112" s="115">
        <v>2</v>
      </c>
    </row>
    <row r="113" spans="2:6">
      <c r="B113" s="115" t="s">
        <v>2395</v>
      </c>
      <c r="C113" s="115" t="s">
        <v>2396</v>
      </c>
      <c r="D113" s="115" t="s">
        <v>2171</v>
      </c>
      <c r="E113" s="115" t="s">
        <v>29</v>
      </c>
      <c r="F113" s="115">
        <v>2</v>
      </c>
    </row>
    <row r="114" spans="2:6">
      <c r="B114" s="115" t="s">
        <v>2397</v>
      </c>
      <c r="C114" s="115" t="s">
        <v>2398</v>
      </c>
      <c r="D114" s="115" t="s">
        <v>2171</v>
      </c>
      <c r="E114" s="115" t="s">
        <v>29</v>
      </c>
      <c r="F114" s="115">
        <v>1</v>
      </c>
    </row>
    <row r="115" spans="2:6">
      <c r="B115" s="115" t="s">
        <v>2399</v>
      </c>
      <c r="C115" s="115" t="s">
        <v>2400</v>
      </c>
      <c r="D115" s="115" t="s">
        <v>2171</v>
      </c>
      <c r="E115" s="115" t="s">
        <v>29</v>
      </c>
      <c r="F115" s="115">
        <v>1</v>
      </c>
    </row>
    <row r="116" spans="2:6">
      <c r="B116" s="115" t="s">
        <v>2401</v>
      </c>
      <c r="C116" s="115" t="s">
        <v>2402</v>
      </c>
      <c r="D116" s="115" t="s">
        <v>2171</v>
      </c>
      <c r="E116" s="115" t="s">
        <v>29</v>
      </c>
      <c r="F116" s="115">
        <v>1</v>
      </c>
    </row>
    <row r="117" spans="2:6">
      <c r="B117" s="115" t="s">
        <v>2403</v>
      </c>
      <c r="C117" s="115" t="s">
        <v>2404</v>
      </c>
      <c r="D117" s="115" t="s">
        <v>2171</v>
      </c>
      <c r="E117" s="115" t="s">
        <v>29</v>
      </c>
      <c r="F117" s="115">
        <v>1</v>
      </c>
    </row>
    <row r="118" spans="2:6">
      <c r="B118" s="115" t="s">
        <v>2405</v>
      </c>
      <c r="C118" s="115" t="s">
        <v>2406</v>
      </c>
      <c r="D118" s="115" t="s">
        <v>2171</v>
      </c>
      <c r="E118" s="115" t="s">
        <v>29</v>
      </c>
      <c r="F118" s="115">
        <v>2</v>
      </c>
    </row>
    <row r="119" spans="2:6">
      <c r="B119" s="115" t="s">
        <v>2407</v>
      </c>
      <c r="C119" s="115" t="s">
        <v>2408</v>
      </c>
      <c r="D119" s="115" t="s">
        <v>2171</v>
      </c>
      <c r="E119" s="115" t="s">
        <v>29</v>
      </c>
      <c r="F119" s="115">
        <v>1</v>
      </c>
    </row>
    <row r="120" spans="2:6">
      <c r="B120" s="115" t="s">
        <v>2409</v>
      </c>
      <c r="C120" s="115" t="s">
        <v>2410</v>
      </c>
      <c r="D120" s="115" t="s">
        <v>2171</v>
      </c>
      <c r="E120" s="115" t="s">
        <v>29</v>
      </c>
      <c r="F120" s="115">
        <v>3</v>
      </c>
    </row>
    <row r="121" spans="2:6">
      <c r="B121" s="115" t="s">
        <v>2411</v>
      </c>
      <c r="C121" s="115" t="s">
        <v>2412</v>
      </c>
      <c r="D121" s="115" t="s">
        <v>2171</v>
      </c>
      <c r="E121" s="115" t="s">
        <v>29</v>
      </c>
      <c r="F121" s="115">
        <v>2</v>
      </c>
    </row>
    <row r="122" spans="2:6">
      <c r="B122" s="115" t="s">
        <v>2413</v>
      </c>
      <c r="C122" s="115" t="s">
        <v>2414</v>
      </c>
      <c r="D122" s="115" t="s">
        <v>2171</v>
      </c>
      <c r="E122" s="115" t="s">
        <v>29</v>
      </c>
      <c r="F122" s="115">
        <v>1</v>
      </c>
    </row>
    <row r="123" spans="2:6">
      <c r="B123" s="115" t="s">
        <v>2415</v>
      </c>
      <c r="C123" s="115" t="s">
        <v>2416</v>
      </c>
      <c r="D123" s="115" t="s">
        <v>2171</v>
      </c>
      <c r="E123" s="115" t="s">
        <v>29</v>
      </c>
      <c r="F123" s="115">
        <v>3</v>
      </c>
    </row>
    <row r="124" spans="2:6">
      <c r="B124" s="115" t="s">
        <v>2417</v>
      </c>
      <c r="C124" s="115" t="s">
        <v>2418</v>
      </c>
      <c r="D124" s="115" t="s">
        <v>2171</v>
      </c>
      <c r="E124" s="115" t="s">
        <v>29</v>
      </c>
      <c r="F124" s="115">
        <v>3</v>
      </c>
    </row>
    <row r="125" spans="2:6">
      <c r="B125" s="115" t="s">
        <v>2419</v>
      </c>
      <c r="C125" s="115" t="s">
        <v>2420</v>
      </c>
      <c r="D125" s="115" t="s">
        <v>2171</v>
      </c>
      <c r="E125" s="115" t="s">
        <v>29</v>
      </c>
      <c r="F125" s="115">
        <v>1</v>
      </c>
    </row>
    <row r="126" spans="2:6">
      <c r="B126" s="115" t="s">
        <v>2421</v>
      </c>
      <c r="C126" s="115" t="s">
        <v>2422</v>
      </c>
      <c r="D126" s="115" t="s">
        <v>2171</v>
      </c>
      <c r="E126" s="115" t="s">
        <v>29</v>
      </c>
      <c r="F126" s="115">
        <v>1</v>
      </c>
    </row>
    <row r="127" spans="2:6">
      <c r="B127" s="115" t="s">
        <v>2423</v>
      </c>
      <c r="C127" s="115" t="s">
        <v>2424</v>
      </c>
      <c r="D127" s="115" t="s">
        <v>2171</v>
      </c>
      <c r="E127" s="115" t="s">
        <v>29</v>
      </c>
      <c r="F127" s="115">
        <v>1</v>
      </c>
    </row>
    <row r="128" spans="2:6">
      <c r="B128" s="115" t="s">
        <v>2425</v>
      </c>
      <c r="C128" s="115" t="s">
        <v>2426</v>
      </c>
      <c r="D128" s="115" t="s">
        <v>2171</v>
      </c>
      <c r="E128" s="115" t="s">
        <v>29</v>
      </c>
      <c r="F128" s="115">
        <v>3</v>
      </c>
    </row>
    <row r="129" spans="2:6">
      <c r="B129" s="115" t="s">
        <v>2427</v>
      </c>
      <c r="C129" s="115" t="s">
        <v>2428</v>
      </c>
      <c r="D129" s="115" t="s">
        <v>2171</v>
      </c>
      <c r="E129" s="115" t="s">
        <v>29</v>
      </c>
      <c r="F129" s="115">
        <v>1</v>
      </c>
    </row>
    <row r="130" spans="2:6">
      <c r="B130" s="115" t="s">
        <v>2429</v>
      </c>
      <c r="C130" s="115" t="s">
        <v>2430</v>
      </c>
      <c r="D130" s="115" t="s">
        <v>2171</v>
      </c>
      <c r="E130" s="115" t="s">
        <v>29</v>
      </c>
      <c r="F130" s="115">
        <v>1</v>
      </c>
    </row>
    <row r="131" spans="2:6">
      <c r="B131" s="115" t="s">
        <v>2431</v>
      </c>
      <c r="C131" s="115" t="s">
        <v>2432</v>
      </c>
      <c r="D131" s="115" t="s">
        <v>2171</v>
      </c>
      <c r="E131" s="115" t="s">
        <v>29</v>
      </c>
      <c r="F131" s="115">
        <v>1</v>
      </c>
    </row>
    <row r="132" spans="2:6">
      <c r="B132" s="115" t="s">
        <v>2433</v>
      </c>
      <c r="C132" s="115" t="s">
        <v>2434</v>
      </c>
      <c r="D132" s="115" t="s">
        <v>2171</v>
      </c>
      <c r="E132" s="115" t="s">
        <v>29</v>
      </c>
      <c r="F132" s="115">
        <v>2</v>
      </c>
    </row>
    <row r="133" spans="2:6">
      <c r="B133" s="115" t="s">
        <v>2435</v>
      </c>
      <c r="C133" s="115" t="s">
        <v>2436</v>
      </c>
      <c r="D133" s="115" t="s">
        <v>2171</v>
      </c>
      <c r="E133" s="115" t="s">
        <v>29</v>
      </c>
      <c r="F133" s="115">
        <v>2</v>
      </c>
    </row>
    <row r="134" spans="2:6">
      <c r="B134" s="115" t="s">
        <v>2437</v>
      </c>
      <c r="C134" s="115" t="s">
        <v>2438</v>
      </c>
      <c r="D134" s="115" t="s">
        <v>2171</v>
      </c>
      <c r="E134" s="115" t="s">
        <v>29</v>
      </c>
      <c r="F134" s="115">
        <v>2</v>
      </c>
    </row>
    <row r="135" spans="2:6">
      <c r="B135" s="115" t="s">
        <v>2439</v>
      </c>
      <c r="C135" s="115" t="s">
        <v>2440</v>
      </c>
      <c r="D135" s="115" t="s">
        <v>2171</v>
      </c>
      <c r="E135" s="115" t="s">
        <v>29</v>
      </c>
      <c r="F135" s="115">
        <v>1</v>
      </c>
    </row>
    <row r="136" spans="2:6">
      <c r="B136" s="115" t="s">
        <v>2441</v>
      </c>
      <c r="C136" s="115" t="s">
        <v>2442</v>
      </c>
      <c r="D136" s="115" t="s">
        <v>2171</v>
      </c>
      <c r="E136" s="115" t="s">
        <v>29</v>
      </c>
      <c r="F136" s="115">
        <v>1</v>
      </c>
    </row>
    <row r="137" spans="2:6">
      <c r="B137" s="115" t="s">
        <v>2443</v>
      </c>
      <c r="C137" s="115" t="s">
        <v>2444</v>
      </c>
      <c r="D137" s="115" t="s">
        <v>2171</v>
      </c>
      <c r="E137" s="115" t="s">
        <v>29</v>
      </c>
      <c r="F137" s="115">
        <v>2</v>
      </c>
    </row>
    <row r="138" spans="2:6">
      <c r="B138" s="115" t="s">
        <v>2445</v>
      </c>
      <c r="C138" s="115" t="s">
        <v>2446</v>
      </c>
      <c r="D138" s="115" t="s">
        <v>2171</v>
      </c>
      <c r="E138" s="115" t="s">
        <v>29</v>
      </c>
      <c r="F138" s="115">
        <v>1</v>
      </c>
    </row>
    <row r="139" spans="2:6">
      <c r="B139" s="115" t="s">
        <v>2447</v>
      </c>
      <c r="C139" s="115" t="s">
        <v>2448</v>
      </c>
      <c r="D139" s="115" t="s">
        <v>2171</v>
      </c>
      <c r="E139" s="115" t="s">
        <v>29</v>
      </c>
      <c r="F139" s="115">
        <v>3</v>
      </c>
    </row>
    <row r="140" spans="2:6">
      <c r="B140" s="115" t="s">
        <v>2449</v>
      </c>
      <c r="C140" s="115" t="s">
        <v>2450</v>
      </c>
      <c r="D140" s="115" t="s">
        <v>2171</v>
      </c>
      <c r="E140" s="115" t="s">
        <v>29</v>
      </c>
      <c r="F140" s="115">
        <v>3</v>
      </c>
    </row>
    <row r="141" spans="2:6">
      <c r="B141" s="115" t="s">
        <v>2451</v>
      </c>
      <c r="C141" s="115" t="s">
        <v>2452</v>
      </c>
      <c r="D141" s="115" t="s">
        <v>2171</v>
      </c>
      <c r="E141" s="115" t="s">
        <v>29</v>
      </c>
      <c r="F141" s="115">
        <v>3</v>
      </c>
    </row>
    <row r="142" spans="2:6">
      <c r="B142" s="115" t="s">
        <v>2453</v>
      </c>
      <c r="C142" s="115" t="s">
        <v>2454</v>
      </c>
      <c r="D142" s="115" t="s">
        <v>2171</v>
      </c>
      <c r="E142" s="115" t="s">
        <v>29</v>
      </c>
      <c r="F142" s="115">
        <v>3</v>
      </c>
    </row>
    <row r="143" spans="2:6">
      <c r="B143" s="115" t="s">
        <v>2455</v>
      </c>
      <c r="C143" s="115" t="s">
        <v>2456</v>
      </c>
      <c r="D143" s="115" t="s">
        <v>2171</v>
      </c>
      <c r="E143" s="115" t="s">
        <v>29</v>
      </c>
      <c r="F143" s="115">
        <v>2</v>
      </c>
    </row>
    <row r="144" spans="2:6">
      <c r="B144" s="115" t="s">
        <v>2457</v>
      </c>
      <c r="C144" s="115" t="s">
        <v>2458</v>
      </c>
      <c r="D144" s="115" t="s">
        <v>2171</v>
      </c>
      <c r="E144" s="115" t="s">
        <v>29</v>
      </c>
      <c r="F144" s="115">
        <v>3</v>
      </c>
    </row>
    <row r="145" spans="2:6">
      <c r="B145" s="115" t="s">
        <v>2459</v>
      </c>
      <c r="C145" s="115" t="s">
        <v>2460</v>
      </c>
      <c r="D145" s="115" t="s">
        <v>2171</v>
      </c>
      <c r="E145" s="115" t="s">
        <v>29</v>
      </c>
      <c r="F145" s="115">
        <v>3</v>
      </c>
    </row>
    <row r="146" spans="2:6">
      <c r="B146" s="115" t="s">
        <v>2461</v>
      </c>
      <c r="C146" s="115" t="s">
        <v>2462</v>
      </c>
      <c r="D146" s="115" t="s">
        <v>2171</v>
      </c>
      <c r="E146" s="115" t="s">
        <v>29</v>
      </c>
      <c r="F146" s="115">
        <v>3</v>
      </c>
    </row>
    <row r="147" spans="2:6">
      <c r="B147" s="115" t="s">
        <v>2463</v>
      </c>
      <c r="C147" s="115" t="s">
        <v>2464</v>
      </c>
      <c r="D147" s="115" t="s">
        <v>2171</v>
      </c>
      <c r="E147" s="115" t="s">
        <v>29</v>
      </c>
      <c r="F147" s="115">
        <v>3</v>
      </c>
    </row>
    <row r="148" spans="2:6">
      <c r="B148" s="115" t="s">
        <v>2465</v>
      </c>
      <c r="C148" s="115" t="s">
        <v>2466</v>
      </c>
      <c r="D148" s="115" t="s">
        <v>2171</v>
      </c>
      <c r="E148" s="115" t="s">
        <v>29</v>
      </c>
      <c r="F148" s="115">
        <v>1</v>
      </c>
    </row>
    <row r="149" spans="2:6">
      <c r="B149" s="115" t="s">
        <v>2467</v>
      </c>
      <c r="C149" s="115" t="s">
        <v>2468</v>
      </c>
      <c r="D149" s="115" t="s">
        <v>2171</v>
      </c>
      <c r="E149" s="115" t="s">
        <v>29</v>
      </c>
      <c r="F149" s="115">
        <v>3</v>
      </c>
    </row>
    <row r="150" spans="2:6">
      <c r="B150" s="115" t="s">
        <v>2469</v>
      </c>
      <c r="C150" s="115" t="s">
        <v>2470</v>
      </c>
      <c r="D150" s="115" t="s">
        <v>2171</v>
      </c>
      <c r="E150" s="115" t="s">
        <v>29</v>
      </c>
      <c r="F150" s="115">
        <v>3</v>
      </c>
    </row>
    <row r="151" spans="2:6">
      <c r="B151" s="115" t="s">
        <v>2471</v>
      </c>
      <c r="C151" s="115" t="s">
        <v>2472</v>
      </c>
      <c r="D151" s="115" t="s">
        <v>2171</v>
      </c>
      <c r="E151" s="115" t="s">
        <v>29</v>
      </c>
      <c r="F151" s="115">
        <v>1</v>
      </c>
    </row>
    <row r="152" spans="2:6">
      <c r="B152" s="115" t="s">
        <v>2473</v>
      </c>
      <c r="C152" s="115" t="s">
        <v>2474</v>
      </c>
      <c r="D152" s="115" t="s">
        <v>2171</v>
      </c>
      <c r="E152" s="115" t="s">
        <v>29</v>
      </c>
      <c r="F152" s="115">
        <v>3</v>
      </c>
    </row>
    <row r="153" spans="2:6">
      <c r="B153" s="115" t="s">
        <v>2475</v>
      </c>
      <c r="C153" s="115" t="s">
        <v>2476</v>
      </c>
      <c r="D153" s="115" t="s">
        <v>2171</v>
      </c>
      <c r="E153" s="115" t="s">
        <v>29</v>
      </c>
      <c r="F153" s="115">
        <v>1</v>
      </c>
    </row>
    <row r="154" spans="2:6">
      <c r="B154" s="115" t="s">
        <v>2477</v>
      </c>
      <c r="C154" s="115" t="s">
        <v>2478</v>
      </c>
      <c r="D154" s="115" t="s">
        <v>2171</v>
      </c>
      <c r="E154" s="115" t="s">
        <v>29</v>
      </c>
      <c r="F154" s="115">
        <v>1</v>
      </c>
    </row>
    <row r="155" spans="2:6">
      <c r="B155" s="115" t="s">
        <v>2479</v>
      </c>
      <c r="C155" s="115" t="s">
        <v>2480</v>
      </c>
      <c r="D155" s="115" t="s">
        <v>2171</v>
      </c>
      <c r="E155" s="115" t="s">
        <v>29</v>
      </c>
      <c r="F155" s="115">
        <v>2</v>
      </c>
    </row>
    <row r="156" spans="2:6">
      <c r="B156" s="115" t="s">
        <v>2481</v>
      </c>
      <c r="C156" s="115" t="s">
        <v>2482</v>
      </c>
      <c r="D156" s="115" t="s">
        <v>2171</v>
      </c>
      <c r="E156" s="115" t="s">
        <v>29</v>
      </c>
      <c r="F156" s="115">
        <v>2</v>
      </c>
    </row>
    <row r="157" spans="2:6">
      <c r="B157" s="115" t="s">
        <v>2483</v>
      </c>
      <c r="C157" s="115" t="s">
        <v>2484</v>
      </c>
      <c r="D157" s="115" t="s">
        <v>2171</v>
      </c>
      <c r="E157" s="115" t="s">
        <v>29</v>
      </c>
      <c r="F157" s="115">
        <v>2</v>
      </c>
    </row>
    <row r="158" spans="2:6">
      <c r="B158" s="115" t="s">
        <v>2485</v>
      </c>
      <c r="C158" s="115" t="s">
        <v>2486</v>
      </c>
      <c r="D158" s="115" t="s">
        <v>2171</v>
      </c>
      <c r="E158" s="115" t="s">
        <v>29</v>
      </c>
      <c r="F158" s="115">
        <v>3</v>
      </c>
    </row>
    <row r="159" spans="2:6">
      <c r="B159" s="115" t="s">
        <v>2487</v>
      </c>
      <c r="C159" s="115" t="s">
        <v>2488</v>
      </c>
      <c r="D159" s="115" t="s">
        <v>2171</v>
      </c>
      <c r="E159" s="115" t="s">
        <v>29</v>
      </c>
      <c r="F159" s="115">
        <v>1</v>
      </c>
    </row>
    <row r="160" spans="2:6">
      <c r="B160" s="115" t="s">
        <v>2489</v>
      </c>
      <c r="C160" s="115" t="s">
        <v>2490</v>
      </c>
      <c r="D160" s="115" t="s">
        <v>2171</v>
      </c>
      <c r="E160" s="115" t="s">
        <v>29</v>
      </c>
      <c r="F160" s="115">
        <v>2</v>
      </c>
    </row>
    <row r="161" spans="2:6">
      <c r="B161" s="115" t="s">
        <v>2491</v>
      </c>
      <c r="C161" s="115" t="s">
        <v>2492</v>
      </c>
      <c r="D161" s="115" t="s">
        <v>2171</v>
      </c>
      <c r="E161" s="115" t="s">
        <v>29</v>
      </c>
      <c r="F161" s="115">
        <v>1</v>
      </c>
    </row>
    <row r="162" spans="2:6">
      <c r="B162" s="115" t="s">
        <v>2493</v>
      </c>
      <c r="C162" s="115" t="s">
        <v>2494</v>
      </c>
      <c r="D162" s="115" t="s">
        <v>2171</v>
      </c>
      <c r="E162" s="115" t="s">
        <v>29</v>
      </c>
      <c r="F162" s="115">
        <v>1</v>
      </c>
    </row>
    <row r="163" spans="2:6">
      <c r="B163" s="115" t="s">
        <v>2495</v>
      </c>
      <c r="C163" s="115" t="s">
        <v>2496</v>
      </c>
      <c r="D163" s="115" t="s">
        <v>2171</v>
      </c>
      <c r="E163" s="115" t="s">
        <v>29</v>
      </c>
      <c r="F163" s="115">
        <v>3</v>
      </c>
    </row>
    <row r="164" spans="2:6">
      <c r="B164" s="115" t="s">
        <v>2497</v>
      </c>
      <c r="C164" s="115" t="s">
        <v>2498</v>
      </c>
      <c r="D164" s="115" t="s">
        <v>2171</v>
      </c>
      <c r="E164" s="115" t="s">
        <v>29</v>
      </c>
      <c r="F164" s="115">
        <v>2</v>
      </c>
    </row>
    <row r="165" spans="2:6">
      <c r="B165" s="115" t="s">
        <v>2499</v>
      </c>
      <c r="C165" s="115" t="s">
        <v>2500</v>
      </c>
      <c r="D165" s="115" t="s">
        <v>2171</v>
      </c>
      <c r="E165" s="115" t="s">
        <v>29</v>
      </c>
      <c r="F165" s="115">
        <v>2</v>
      </c>
    </row>
    <row r="166" spans="2:6">
      <c r="B166" s="115" t="s">
        <v>2501</v>
      </c>
      <c r="C166" s="115" t="s">
        <v>2502</v>
      </c>
      <c r="D166" s="115" t="s">
        <v>2171</v>
      </c>
      <c r="E166" s="115" t="s">
        <v>29</v>
      </c>
      <c r="F166" s="115">
        <v>3</v>
      </c>
    </row>
    <row r="167" spans="2:6">
      <c r="B167" s="115" t="s">
        <v>2503</v>
      </c>
      <c r="C167" s="115" t="s">
        <v>2504</v>
      </c>
      <c r="D167" s="115" t="s">
        <v>2171</v>
      </c>
      <c r="E167" s="115" t="s">
        <v>29</v>
      </c>
      <c r="F167" s="115">
        <v>1</v>
      </c>
    </row>
    <row r="168" spans="2:6">
      <c r="B168" s="115" t="s">
        <v>2505</v>
      </c>
      <c r="C168" s="115" t="s">
        <v>2506</v>
      </c>
      <c r="D168" s="115" t="s">
        <v>2171</v>
      </c>
      <c r="E168" s="115" t="s">
        <v>29</v>
      </c>
      <c r="F168" s="115">
        <v>3</v>
      </c>
    </row>
    <row r="169" spans="2:6">
      <c r="B169" s="115" t="s">
        <v>2507</v>
      </c>
      <c r="C169" s="115" t="s">
        <v>2508</v>
      </c>
      <c r="D169" s="115" t="s">
        <v>2171</v>
      </c>
      <c r="E169" s="115" t="s">
        <v>29</v>
      </c>
      <c r="F169" s="115">
        <v>3</v>
      </c>
    </row>
    <row r="170" spans="2:6">
      <c r="B170" s="115" t="s">
        <v>2509</v>
      </c>
      <c r="C170" s="115" t="s">
        <v>2510</v>
      </c>
      <c r="D170" s="115" t="s">
        <v>2171</v>
      </c>
      <c r="E170" s="115" t="s">
        <v>29</v>
      </c>
      <c r="F170" s="115">
        <v>1</v>
      </c>
    </row>
    <row r="171" spans="2:6">
      <c r="B171" s="115" t="s">
        <v>2511</v>
      </c>
      <c r="C171" s="115" t="s">
        <v>2512</v>
      </c>
      <c r="D171" s="115" t="s">
        <v>2171</v>
      </c>
      <c r="E171" s="115" t="s">
        <v>29</v>
      </c>
      <c r="F171" s="115">
        <v>3</v>
      </c>
    </row>
    <row r="172" spans="2:6">
      <c r="B172" s="115" t="s">
        <v>2513</v>
      </c>
      <c r="C172" s="115" t="s">
        <v>2514</v>
      </c>
      <c r="D172" s="115" t="s">
        <v>2171</v>
      </c>
      <c r="E172" s="115" t="s">
        <v>29</v>
      </c>
      <c r="F172" s="115">
        <v>3</v>
      </c>
    </row>
    <row r="173" spans="2:6">
      <c r="B173" s="115" t="s">
        <v>2515</v>
      </c>
      <c r="C173" s="115" t="s">
        <v>2516</v>
      </c>
      <c r="D173" s="115" t="s">
        <v>2171</v>
      </c>
      <c r="E173" s="115" t="s">
        <v>29</v>
      </c>
      <c r="F173" s="115">
        <v>2</v>
      </c>
    </row>
    <row r="174" spans="2:6">
      <c r="B174" s="115" t="s">
        <v>2517</v>
      </c>
      <c r="C174" s="115" t="s">
        <v>2518</v>
      </c>
      <c r="D174" s="115" t="s">
        <v>2171</v>
      </c>
      <c r="E174" s="115" t="s">
        <v>29</v>
      </c>
      <c r="F174" s="115">
        <v>2</v>
      </c>
    </row>
    <row r="175" spans="2:6">
      <c r="B175" s="115" t="s">
        <v>2519</v>
      </c>
      <c r="C175" s="115" t="s">
        <v>2520</v>
      </c>
      <c r="D175" s="115" t="s">
        <v>2171</v>
      </c>
      <c r="E175" s="115" t="s">
        <v>29</v>
      </c>
      <c r="F175" s="115">
        <v>3</v>
      </c>
    </row>
    <row r="176" spans="2:6">
      <c r="B176" s="115" t="s">
        <v>2521</v>
      </c>
      <c r="C176" s="115" t="s">
        <v>2522</v>
      </c>
      <c r="D176" s="115" t="s">
        <v>2171</v>
      </c>
      <c r="E176" s="115" t="s">
        <v>29</v>
      </c>
      <c r="F176" s="115">
        <v>1</v>
      </c>
    </row>
    <row r="177" spans="2:6">
      <c r="B177" s="115" t="s">
        <v>2523</v>
      </c>
      <c r="C177" s="115" t="s">
        <v>2524</v>
      </c>
      <c r="D177" s="115" t="s">
        <v>2171</v>
      </c>
      <c r="E177" s="115" t="s">
        <v>29</v>
      </c>
      <c r="F177" s="115">
        <v>1</v>
      </c>
    </row>
    <row r="178" spans="2:6">
      <c r="B178" s="115" t="s">
        <v>2525</v>
      </c>
      <c r="C178" s="115" t="s">
        <v>2526</v>
      </c>
      <c r="D178" s="115" t="s">
        <v>2171</v>
      </c>
      <c r="E178" s="115" t="s">
        <v>29</v>
      </c>
      <c r="F178" s="115">
        <v>3</v>
      </c>
    </row>
    <row r="179" spans="2:6">
      <c r="B179" s="115" t="s">
        <v>2527</v>
      </c>
      <c r="C179" s="115" t="s">
        <v>2528</v>
      </c>
      <c r="D179" s="115" t="s">
        <v>2171</v>
      </c>
      <c r="E179" s="115" t="s">
        <v>29</v>
      </c>
      <c r="F179" s="115">
        <v>1</v>
      </c>
    </row>
    <row r="180" spans="2:6">
      <c r="B180" s="115" t="s">
        <v>2529</v>
      </c>
      <c r="C180" s="115" t="s">
        <v>2530</v>
      </c>
      <c r="D180" s="115" t="s">
        <v>2171</v>
      </c>
      <c r="E180" s="115" t="s">
        <v>29</v>
      </c>
      <c r="F180" s="115">
        <v>3</v>
      </c>
    </row>
    <row r="181" spans="2:6">
      <c r="B181" s="115" t="s">
        <v>2531</v>
      </c>
      <c r="C181" s="115" t="s">
        <v>2532</v>
      </c>
      <c r="D181" s="115" t="s">
        <v>2171</v>
      </c>
      <c r="E181" s="115" t="s">
        <v>29</v>
      </c>
      <c r="F181" s="115">
        <v>3</v>
      </c>
    </row>
    <row r="182" spans="2:6">
      <c r="B182" s="115" t="s">
        <v>2533</v>
      </c>
      <c r="C182" s="115" t="s">
        <v>2534</v>
      </c>
      <c r="D182" s="115" t="s">
        <v>2171</v>
      </c>
      <c r="E182" s="115" t="s">
        <v>29</v>
      </c>
      <c r="F182" s="115">
        <v>1</v>
      </c>
    </row>
    <row r="183" spans="2:6">
      <c r="B183" s="115" t="s">
        <v>2535</v>
      </c>
      <c r="C183" s="115" t="s">
        <v>2536</v>
      </c>
      <c r="D183" s="115" t="s">
        <v>2171</v>
      </c>
      <c r="E183" s="115" t="s">
        <v>29</v>
      </c>
      <c r="F183" s="115">
        <v>3</v>
      </c>
    </row>
    <row r="184" spans="2:6">
      <c r="B184" s="115" t="s">
        <v>2537</v>
      </c>
      <c r="C184" s="115" t="s">
        <v>2538</v>
      </c>
      <c r="D184" s="115" t="s">
        <v>2171</v>
      </c>
      <c r="E184" s="115" t="s">
        <v>29</v>
      </c>
      <c r="F184" s="115">
        <v>3</v>
      </c>
    </row>
    <row r="185" spans="2:6">
      <c r="B185" s="115" t="s">
        <v>2539</v>
      </c>
      <c r="C185" s="115" t="s">
        <v>2540</v>
      </c>
      <c r="D185" s="115" t="s">
        <v>2171</v>
      </c>
      <c r="E185" s="115" t="s">
        <v>29</v>
      </c>
      <c r="F185" s="115">
        <v>3</v>
      </c>
    </row>
    <row r="186" spans="2:6">
      <c r="B186" s="115" t="s">
        <v>2541</v>
      </c>
      <c r="C186" s="115" t="s">
        <v>2542</v>
      </c>
      <c r="D186" s="115" t="s">
        <v>2171</v>
      </c>
      <c r="E186" s="115" t="s">
        <v>29</v>
      </c>
      <c r="F186" s="115">
        <v>1</v>
      </c>
    </row>
    <row r="187" spans="2:6">
      <c r="B187" s="115" t="s">
        <v>2543</v>
      </c>
      <c r="C187" s="115" t="s">
        <v>2544</v>
      </c>
      <c r="D187" s="115" t="s">
        <v>2171</v>
      </c>
      <c r="E187" s="115" t="s">
        <v>29</v>
      </c>
      <c r="F187" s="115">
        <v>3</v>
      </c>
    </row>
    <row r="188" spans="2:6">
      <c r="B188" s="115" t="s">
        <v>2545</v>
      </c>
      <c r="C188" s="115" t="s">
        <v>2546</v>
      </c>
      <c r="D188" s="115" t="s">
        <v>2171</v>
      </c>
      <c r="E188" s="115" t="s">
        <v>29</v>
      </c>
      <c r="F188" s="115">
        <v>1</v>
      </c>
    </row>
    <row r="189" spans="2:6">
      <c r="B189" s="115" t="s">
        <v>2547</v>
      </c>
      <c r="C189" s="115" t="s">
        <v>2548</v>
      </c>
      <c r="D189" s="115" t="s">
        <v>2171</v>
      </c>
      <c r="E189" s="115" t="s">
        <v>29</v>
      </c>
      <c r="F189" s="115">
        <v>3</v>
      </c>
    </row>
    <row r="190" spans="2:6">
      <c r="B190" s="115" t="s">
        <v>2549</v>
      </c>
      <c r="C190" s="115" t="s">
        <v>2550</v>
      </c>
      <c r="D190" s="115" t="s">
        <v>2171</v>
      </c>
      <c r="E190" s="115" t="s">
        <v>29</v>
      </c>
      <c r="F190" s="115">
        <v>1</v>
      </c>
    </row>
    <row r="191" spans="2:6">
      <c r="B191" s="115" t="s">
        <v>2551</v>
      </c>
      <c r="C191" s="115" t="s">
        <v>2552</v>
      </c>
      <c r="D191" s="115" t="s">
        <v>2171</v>
      </c>
      <c r="E191" s="115" t="s">
        <v>29</v>
      </c>
      <c r="F191" s="115">
        <v>1</v>
      </c>
    </row>
    <row r="192" spans="2:6">
      <c r="B192" s="115" t="s">
        <v>2553</v>
      </c>
      <c r="C192" s="115" t="s">
        <v>2554</v>
      </c>
      <c r="D192" s="115" t="s">
        <v>2171</v>
      </c>
      <c r="E192" s="115" t="s">
        <v>29</v>
      </c>
      <c r="F192" s="115">
        <v>1</v>
      </c>
    </row>
    <row r="193" spans="2:6">
      <c r="B193" s="115" t="s">
        <v>2555</v>
      </c>
      <c r="C193" s="115" t="s">
        <v>2556</v>
      </c>
      <c r="D193" s="115" t="s">
        <v>2171</v>
      </c>
      <c r="E193" s="115" t="s">
        <v>29</v>
      </c>
      <c r="F193" s="115">
        <v>3</v>
      </c>
    </row>
    <row r="194" spans="2:6">
      <c r="B194" s="115" t="s">
        <v>2557</v>
      </c>
      <c r="C194" s="115" t="s">
        <v>2558</v>
      </c>
      <c r="D194" s="115" t="s">
        <v>2171</v>
      </c>
      <c r="E194" s="115" t="s">
        <v>29</v>
      </c>
      <c r="F194" s="115">
        <v>1</v>
      </c>
    </row>
    <row r="195" spans="2:6">
      <c r="B195" s="115" t="s">
        <v>2559</v>
      </c>
      <c r="C195" s="115" t="s">
        <v>2560</v>
      </c>
      <c r="D195" s="115" t="s">
        <v>2171</v>
      </c>
      <c r="E195" s="115" t="s">
        <v>29</v>
      </c>
      <c r="F195" s="115">
        <v>2</v>
      </c>
    </row>
    <row r="196" spans="2:6">
      <c r="B196" s="115" t="s">
        <v>2561</v>
      </c>
      <c r="C196" s="115" t="s">
        <v>2562</v>
      </c>
      <c r="D196" s="115" t="s">
        <v>2171</v>
      </c>
      <c r="E196" s="115" t="s">
        <v>29</v>
      </c>
      <c r="F196" s="115">
        <v>3</v>
      </c>
    </row>
    <row r="197" spans="2:6">
      <c r="B197" s="115" t="s">
        <v>2563</v>
      </c>
      <c r="C197" s="115" t="s">
        <v>2564</v>
      </c>
      <c r="D197" s="115" t="s">
        <v>2171</v>
      </c>
      <c r="E197" s="115" t="s">
        <v>29</v>
      </c>
      <c r="F197" s="115">
        <v>3</v>
      </c>
    </row>
    <row r="198" spans="2:6">
      <c r="B198" s="115" t="s">
        <v>2565</v>
      </c>
      <c r="C198" s="115" t="s">
        <v>2566</v>
      </c>
      <c r="D198" s="115" t="s">
        <v>2171</v>
      </c>
      <c r="E198" s="115" t="s">
        <v>29</v>
      </c>
      <c r="F198" s="115">
        <v>3</v>
      </c>
    </row>
    <row r="199" spans="2:6">
      <c r="B199" s="115" t="s">
        <v>2567</v>
      </c>
      <c r="C199" s="115" t="s">
        <v>2568</v>
      </c>
      <c r="D199" s="115" t="s">
        <v>2171</v>
      </c>
      <c r="E199" s="115" t="s">
        <v>29</v>
      </c>
      <c r="F199" s="115">
        <v>3</v>
      </c>
    </row>
    <row r="200" spans="2:6">
      <c r="B200" s="115" t="s">
        <v>2569</v>
      </c>
      <c r="C200" s="115" t="s">
        <v>2570</v>
      </c>
      <c r="D200" s="115" t="s">
        <v>2171</v>
      </c>
      <c r="E200" s="115" t="s">
        <v>29</v>
      </c>
      <c r="F200" s="115">
        <v>1</v>
      </c>
    </row>
    <row r="201" spans="2:6">
      <c r="B201" s="115" t="s">
        <v>2571</v>
      </c>
      <c r="C201" s="115" t="s">
        <v>2572</v>
      </c>
      <c r="D201" s="115" t="s">
        <v>2171</v>
      </c>
      <c r="E201" s="115" t="s">
        <v>29</v>
      </c>
      <c r="F201" s="115">
        <v>1</v>
      </c>
    </row>
    <row r="202" spans="2:6">
      <c r="B202" s="115" t="s">
        <v>2573</v>
      </c>
      <c r="C202" s="115" t="s">
        <v>2574</v>
      </c>
      <c r="D202" s="115" t="s">
        <v>2171</v>
      </c>
      <c r="E202" s="115" t="s">
        <v>29</v>
      </c>
      <c r="F202" s="115">
        <v>1</v>
      </c>
    </row>
    <row r="203" spans="2:6">
      <c r="B203" s="115" t="s">
        <v>2575</v>
      </c>
      <c r="C203" s="115" t="s">
        <v>2576</v>
      </c>
      <c r="D203" s="115" t="s">
        <v>2171</v>
      </c>
      <c r="E203" s="115" t="s">
        <v>29</v>
      </c>
      <c r="F203" s="115">
        <v>1</v>
      </c>
    </row>
    <row r="204" spans="2:6">
      <c r="B204" s="115" t="s">
        <v>2577</v>
      </c>
      <c r="C204" s="115" t="s">
        <v>2578</v>
      </c>
      <c r="D204" s="115" t="s">
        <v>2171</v>
      </c>
      <c r="E204" s="115" t="s">
        <v>29</v>
      </c>
      <c r="F204" s="115">
        <v>2</v>
      </c>
    </row>
    <row r="205" spans="2:6">
      <c r="B205" s="115" t="s">
        <v>2579</v>
      </c>
      <c r="C205" s="115" t="s">
        <v>2580</v>
      </c>
      <c r="D205" s="115" t="s">
        <v>2171</v>
      </c>
      <c r="E205" s="115" t="s">
        <v>29</v>
      </c>
      <c r="F205" s="115">
        <v>3</v>
      </c>
    </row>
    <row r="206" spans="2:6">
      <c r="B206" s="115" t="s">
        <v>2581</v>
      </c>
      <c r="C206" s="115" t="s">
        <v>2582</v>
      </c>
      <c r="D206" s="115" t="s">
        <v>2171</v>
      </c>
      <c r="E206" s="115" t="s">
        <v>29</v>
      </c>
      <c r="F206" s="115">
        <v>1</v>
      </c>
    </row>
    <row r="207" spans="2:6">
      <c r="B207" s="115" t="s">
        <v>2583</v>
      </c>
      <c r="C207" s="115" t="s">
        <v>2584</v>
      </c>
      <c r="D207" s="115" t="s">
        <v>2171</v>
      </c>
      <c r="E207" s="115" t="s">
        <v>29</v>
      </c>
      <c r="F207" s="115">
        <v>3</v>
      </c>
    </row>
    <row r="208" spans="2:6">
      <c r="B208" s="115" t="s">
        <v>2585</v>
      </c>
      <c r="C208" s="115" t="s">
        <v>2586</v>
      </c>
      <c r="D208" s="115" t="s">
        <v>2171</v>
      </c>
      <c r="E208" s="115" t="s">
        <v>29</v>
      </c>
      <c r="F208" s="115">
        <v>3</v>
      </c>
    </row>
    <row r="209" spans="2:6">
      <c r="B209" s="115" t="s">
        <v>2587</v>
      </c>
      <c r="C209" s="115" t="s">
        <v>2588</v>
      </c>
      <c r="D209" s="115" t="s">
        <v>2171</v>
      </c>
      <c r="E209" s="115" t="s">
        <v>29</v>
      </c>
      <c r="F209" s="115">
        <v>3</v>
      </c>
    </row>
    <row r="210" spans="2:6">
      <c r="B210" s="115" t="s">
        <v>2589</v>
      </c>
      <c r="C210" s="115" t="s">
        <v>2590</v>
      </c>
      <c r="D210" s="115" t="s">
        <v>2171</v>
      </c>
      <c r="E210" s="115" t="s">
        <v>29</v>
      </c>
      <c r="F210" s="115">
        <v>1</v>
      </c>
    </row>
    <row r="211" spans="2:6">
      <c r="B211" s="115" t="s">
        <v>2591</v>
      </c>
      <c r="C211" s="115" t="s">
        <v>2592</v>
      </c>
      <c r="D211" s="115" t="s">
        <v>2171</v>
      </c>
      <c r="E211" s="115" t="s">
        <v>29</v>
      </c>
      <c r="F211" s="115">
        <v>3</v>
      </c>
    </row>
    <row r="212" spans="2:6">
      <c r="B212" s="115" t="s">
        <v>2593</v>
      </c>
      <c r="C212" s="115" t="s">
        <v>2594</v>
      </c>
      <c r="D212" s="115" t="s">
        <v>2171</v>
      </c>
      <c r="E212" s="115" t="s">
        <v>29</v>
      </c>
      <c r="F212" s="115">
        <v>1</v>
      </c>
    </row>
    <row r="213" spans="2:6">
      <c r="B213" s="115" t="s">
        <v>2595</v>
      </c>
      <c r="C213" s="115" t="s">
        <v>2596</v>
      </c>
      <c r="D213" s="115" t="s">
        <v>2171</v>
      </c>
      <c r="E213" s="115" t="s">
        <v>29</v>
      </c>
      <c r="F213" s="115">
        <v>2</v>
      </c>
    </row>
    <row r="214" spans="2:6">
      <c r="B214" s="115" t="s">
        <v>2597</v>
      </c>
      <c r="C214" s="115" t="s">
        <v>2598</v>
      </c>
      <c r="D214" s="115" t="s">
        <v>2171</v>
      </c>
      <c r="E214" s="115" t="s">
        <v>29</v>
      </c>
      <c r="F214" s="115">
        <v>3</v>
      </c>
    </row>
    <row r="215" spans="2:6">
      <c r="B215" s="115" t="s">
        <v>2599</v>
      </c>
      <c r="C215" s="115" t="s">
        <v>2600</v>
      </c>
      <c r="D215" s="115" t="s">
        <v>2171</v>
      </c>
      <c r="E215" s="115" t="s">
        <v>29</v>
      </c>
      <c r="F215" s="115">
        <v>2</v>
      </c>
    </row>
    <row r="216" spans="2:6">
      <c r="B216" s="115" t="s">
        <v>2601</v>
      </c>
      <c r="C216" s="115" t="s">
        <v>2602</v>
      </c>
      <c r="D216" s="115" t="s">
        <v>2171</v>
      </c>
      <c r="E216" s="115" t="s">
        <v>29</v>
      </c>
      <c r="F216" s="115">
        <v>2</v>
      </c>
    </row>
    <row r="217" spans="2:6">
      <c r="B217" s="115" t="s">
        <v>2603</v>
      </c>
      <c r="C217" s="115" t="s">
        <v>2604</v>
      </c>
      <c r="D217" s="115" t="s">
        <v>2171</v>
      </c>
      <c r="E217" s="115" t="s">
        <v>29</v>
      </c>
      <c r="F217" s="115">
        <v>2</v>
      </c>
    </row>
    <row r="218" spans="2:6">
      <c r="B218" s="115" t="s">
        <v>2605</v>
      </c>
      <c r="C218" s="115" t="s">
        <v>2606</v>
      </c>
      <c r="D218" s="115" t="s">
        <v>2171</v>
      </c>
      <c r="E218" s="115" t="s">
        <v>29</v>
      </c>
      <c r="F218" s="115">
        <v>3</v>
      </c>
    </row>
    <row r="219" spans="2:6">
      <c r="B219" s="115" t="s">
        <v>2607</v>
      </c>
      <c r="C219" s="115" t="s">
        <v>2608</v>
      </c>
      <c r="D219" s="115" t="s">
        <v>2171</v>
      </c>
      <c r="E219" s="115" t="s">
        <v>29</v>
      </c>
      <c r="F219" s="115">
        <v>1</v>
      </c>
    </row>
    <row r="220" spans="2:6">
      <c r="B220" s="115" t="s">
        <v>2609</v>
      </c>
      <c r="C220" s="115" t="s">
        <v>2610</v>
      </c>
      <c r="D220" s="115" t="s">
        <v>2171</v>
      </c>
      <c r="E220" s="115" t="s">
        <v>29</v>
      </c>
      <c r="F220" s="115">
        <v>2</v>
      </c>
    </row>
    <row r="221" spans="2:6">
      <c r="B221" s="115" t="s">
        <v>2611</v>
      </c>
      <c r="C221" s="115" t="s">
        <v>2612</v>
      </c>
      <c r="D221" s="115" t="s">
        <v>2171</v>
      </c>
      <c r="E221" s="115" t="s">
        <v>29</v>
      </c>
      <c r="F221" s="115">
        <v>1</v>
      </c>
    </row>
    <row r="222" spans="2:6">
      <c r="B222" s="115" t="s">
        <v>2613</v>
      </c>
      <c r="C222" s="115" t="s">
        <v>2614</v>
      </c>
      <c r="D222" s="115" t="s">
        <v>2171</v>
      </c>
      <c r="E222" s="115" t="s">
        <v>29</v>
      </c>
      <c r="F222" s="115">
        <v>1</v>
      </c>
    </row>
    <row r="223" spans="2:6">
      <c r="B223" s="115" t="s">
        <v>2615</v>
      </c>
      <c r="C223" s="115" t="s">
        <v>2616</v>
      </c>
      <c r="D223" s="115" t="s">
        <v>2171</v>
      </c>
      <c r="E223" s="115" t="s">
        <v>29</v>
      </c>
      <c r="F223" s="115">
        <v>2</v>
      </c>
    </row>
    <row r="224" spans="2:6">
      <c r="B224" s="115" t="s">
        <v>2617</v>
      </c>
      <c r="C224" s="115" t="s">
        <v>2618</v>
      </c>
      <c r="D224" s="115" t="s">
        <v>2171</v>
      </c>
      <c r="E224" s="115" t="s">
        <v>29</v>
      </c>
      <c r="F224" s="115">
        <v>3</v>
      </c>
    </row>
    <row r="225" spans="2:6">
      <c r="B225" s="115" t="s">
        <v>2619</v>
      </c>
      <c r="C225" s="115" t="s">
        <v>2620</v>
      </c>
      <c r="D225" s="115" t="s">
        <v>2171</v>
      </c>
      <c r="E225" s="115" t="s">
        <v>2332</v>
      </c>
      <c r="F225" s="115">
        <v>1</v>
      </c>
    </row>
    <row r="226" spans="2:6">
      <c r="B226" s="115" t="s">
        <v>2621</v>
      </c>
      <c r="C226" s="115" t="s">
        <v>2622</v>
      </c>
      <c r="D226" s="115" t="s">
        <v>2171</v>
      </c>
      <c r="E226" s="115" t="s">
        <v>2332</v>
      </c>
      <c r="F226" s="115">
        <v>3</v>
      </c>
    </row>
    <row r="227" spans="2:6">
      <c r="B227" s="115" t="s">
        <v>2623</v>
      </c>
      <c r="C227" s="115" t="s">
        <v>2624</v>
      </c>
      <c r="D227" s="115" t="s">
        <v>2171</v>
      </c>
      <c r="E227" s="115" t="s">
        <v>35</v>
      </c>
      <c r="F227" s="115">
        <v>1</v>
      </c>
    </row>
    <row r="228" spans="2:6">
      <c r="B228" s="115" t="s">
        <v>2625</v>
      </c>
      <c r="C228" s="115" t="s">
        <v>2626</v>
      </c>
      <c r="D228" s="115" t="s">
        <v>2171</v>
      </c>
      <c r="E228" s="115" t="s">
        <v>35</v>
      </c>
      <c r="F228" s="115">
        <v>1</v>
      </c>
    </row>
    <row r="229" spans="2:6">
      <c r="B229" s="115" t="s">
        <v>2627</v>
      </c>
      <c r="C229" s="115" t="s">
        <v>2628</v>
      </c>
      <c r="D229" s="115" t="s">
        <v>2171</v>
      </c>
      <c r="E229" s="115" t="s">
        <v>35</v>
      </c>
      <c r="F229" s="115">
        <v>1</v>
      </c>
    </row>
    <row r="230" spans="2:6">
      <c r="B230" s="115" t="s">
        <v>2629</v>
      </c>
      <c r="C230" s="115" t="s">
        <v>2630</v>
      </c>
      <c r="D230" s="115" t="s">
        <v>2171</v>
      </c>
      <c r="E230" s="115" t="s">
        <v>29</v>
      </c>
      <c r="F230" s="115">
        <v>3</v>
      </c>
    </row>
    <row r="231" spans="2:6">
      <c r="B231" s="115" t="s">
        <v>2631</v>
      </c>
      <c r="C231" s="115" t="s">
        <v>2632</v>
      </c>
      <c r="D231" s="115" t="s">
        <v>2171</v>
      </c>
      <c r="E231" s="115" t="s">
        <v>29</v>
      </c>
      <c r="F231" s="115">
        <v>1</v>
      </c>
    </row>
    <row r="232" spans="2:6">
      <c r="B232" s="115" t="s">
        <v>2633</v>
      </c>
      <c r="C232" s="115" t="s">
        <v>2634</v>
      </c>
      <c r="D232" s="115" t="s">
        <v>2171</v>
      </c>
      <c r="E232" s="115" t="s">
        <v>29</v>
      </c>
      <c r="F232" s="115">
        <v>3</v>
      </c>
    </row>
    <row r="233" spans="2:6">
      <c r="B233" s="115" t="s">
        <v>2635</v>
      </c>
      <c r="C233" s="115" t="s">
        <v>2636</v>
      </c>
      <c r="D233" s="115" t="s">
        <v>2171</v>
      </c>
      <c r="E233" s="115" t="s">
        <v>29</v>
      </c>
      <c r="F233" s="115">
        <v>3</v>
      </c>
    </row>
    <row r="234" spans="2:6">
      <c r="B234" s="115" t="s">
        <v>2637</v>
      </c>
      <c r="C234" s="115" t="s">
        <v>2638</v>
      </c>
      <c r="D234" s="115" t="s">
        <v>2171</v>
      </c>
      <c r="E234" s="115" t="s">
        <v>29</v>
      </c>
      <c r="F234" s="115">
        <v>1</v>
      </c>
    </row>
    <row r="235" spans="2:6">
      <c r="B235" s="115" t="s">
        <v>2639</v>
      </c>
      <c r="C235" s="115" t="s">
        <v>2640</v>
      </c>
      <c r="D235" s="115" t="s">
        <v>2171</v>
      </c>
      <c r="E235" s="115" t="s">
        <v>29</v>
      </c>
      <c r="F235" s="115">
        <v>1</v>
      </c>
    </row>
    <row r="236" spans="2:6">
      <c r="B236" s="115" t="s">
        <v>2641</v>
      </c>
      <c r="C236" s="115" t="s">
        <v>2642</v>
      </c>
      <c r="D236" s="115" t="s">
        <v>2171</v>
      </c>
      <c r="E236" s="115" t="s">
        <v>29</v>
      </c>
      <c r="F236" s="115">
        <v>1</v>
      </c>
    </row>
    <row r="237" spans="2:6">
      <c r="B237" s="115" t="s">
        <v>2643</v>
      </c>
      <c r="C237" s="115" t="s">
        <v>2644</v>
      </c>
      <c r="D237" s="115" t="s">
        <v>2171</v>
      </c>
      <c r="E237" s="115" t="s">
        <v>29</v>
      </c>
      <c r="F237" s="115">
        <v>3</v>
      </c>
    </row>
    <row r="238" spans="2:6">
      <c r="B238" s="115" t="s">
        <v>2645</v>
      </c>
      <c r="C238" s="115" t="s">
        <v>2646</v>
      </c>
      <c r="D238" s="115" t="s">
        <v>2171</v>
      </c>
      <c r="E238" s="115" t="s">
        <v>29</v>
      </c>
      <c r="F238" s="115">
        <v>2</v>
      </c>
    </row>
    <row r="239" spans="2:6">
      <c r="B239" s="115" t="s">
        <v>2647</v>
      </c>
      <c r="C239" s="115" t="s">
        <v>2648</v>
      </c>
      <c r="D239" s="115" t="s">
        <v>2171</v>
      </c>
      <c r="E239" s="115" t="s">
        <v>29</v>
      </c>
      <c r="F239" s="115">
        <v>1</v>
      </c>
    </row>
    <row r="240" spans="2:6">
      <c r="B240" s="115" t="s">
        <v>2649</v>
      </c>
      <c r="C240" s="115" t="s">
        <v>2650</v>
      </c>
      <c r="D240" s="115" t="s">
        <v>2171</v>
      </c>
      <c r="E240" s="115" t="s">
        <v>29</v>
      </c>
      <c r="F240" s="115">
        <v>3</v>
      </c>
    </row>
    <row r="241" spans="2:6">
      <c r="B241" s="115" t="s">
        <v>2651</v>
      </c>
      <c r="C241" s="115" t="s">
        <v>2652</v>
      </c>
      <c r="D241" s="115" t="s">
        <v>2171</v>
      </c>
      <c r="E241" s="115" t="s">
        <v>29</v>
      </c>
      <c r="F241" s="115">
        <v>3</v>
      </c>
    </row>
    <row r="242" spans="2:6">
      <c r="B242" s="115" t="s">
        <v>2653</v>
      </c>
      <c r="C242" s="115" t="s">
        <v>2654</v>
      </c>
      <c r="D242" s="115" t="s">
        <v>2171</v>
      </c>
      <c r="E242" s="115" t="s">
        <v>29</v>
      </c>
      <c r="F242" s="115">
        <v>1</v>
      </c>
    </row>
    <row r="243" spans="2:6">
      <c r="B243" s="115" t="s">
        <v>2655</v>
      </c>
      <c r="C243" s="115" t="s">
        <v>2656</v>
      </c>
      <c r="D243" s="115" t="s">
        <v>2171</v>
      </c>
      <c r="E243" s="115" t="s">
        <v>29</v>
      </c>
      <c r="F243" s="115">
        <v>1</v>
      </c>
    </row>
    <row r="244" spans="2:6">
      <c r="B244" s="115" t="s">
        <v>2657</v>
      </c>
      <c r="C244" s="115" t="s">
        <v>2658</v>
      </c>
      <c r="D244" s="115" t="s">
        <v>2171</v>
      </c>
      <c r="E244" s="115" t="s">
        <v>29</v>
      </c>
      <c r="F244" s="115">
        <v>1</v>
      </c>
    </row>
    <row r="245" spans="2:6">
      <c r="B245" s="115" t="s">
        <v>2659</v>
      </c>
      <c r="C245" s="115" t="s">
        <v>2660</v>
      </c>
      <c r="D245" s="115" t="s">
        <v>2171</v>
      </c>
      <c r="E245" s="115" t="s">
        <v>29</v>
      </c>
      <c r="F245" s="115">
        <v>1</v>
      </c>
    </row>
    <row r="246" spans="2:6">
      <c r="B246" s="115" t="s">
        <v>2661</v>
      </c>
      <c r="C246" s="115" t="s">
        <v>2662</v>
      </c>
      <c r="D246" s="115" t="s">
        <v>2171</v>
      </c>
      <c r="E246" s="115" t="s">
        <v>29</v>
      </c>
      <c r="F246" s="115">
        <v>1</v>
      </c>
    </row>
    <row r="247" spans="2:6">
      <c r="B247" s="115" t="s">
        <v>2663</v>
      </c>
      <c r="C247" s="115" t="s">
        <v>2664</v>
      </c>
      <c r="D247" s="115" t="s">
        <v>2171</v>
      </c>
      <c r="E247" s="115" t="s">
        <v>29</v>
      </c>
      <c r="F247" s="115">
        <v>3</v>
      </c>
    </row>
    <row r="248" spans="2:6">
      <c r="B248" s="115" t="s">
        <v>2665</v>
      </c>
      <c r="C248" s="115" t="s">
        <v>2666</v>
      </c>
      <c r="D248" s="115" t="s">
        <v>2171</v>
      </c>
      <c r="E248" s="115" t="s">
        <v>29</v>
      </c>
      <c r="F248" s="115">
        <v>3</v>
      </c>
    </row>
    <row r="249" spans="2:6">
      <c r="B249" s="115" t="s">
        <v>2667</v>
      </c>
      <c r="C249" s="115" t="s">
        <v>2668</v>
      </c>
      <c r="D249" s="115" t="s">
        <v>2171</v>
      </c>
      <c r="E249" s="115" t="s">
        <v>29</v>
      </c>
      <c r="F249" s="115">
        <v>3</v>
      </c>
    </row>
    <row r="250" spans="2:6">
      <c r="B250" s="115" t="s">
        <v>2669</v>
      </c>
      <c r="C250" s="115" t="s">
        <v>2670</v>
      </c>
      <c r="D250" s="115" t="s">
        <v>2171</v>
      </c>
      <c r="E250" s="115" t="s">
        <v>29</v>
      </c>
      <c r="F250" s="115">
        <v>3</v>
      </c>
    </row>
    <row r="251" spans="2:6">
      <c r="B251" s="115" t="s">
        <v>2671</v>
      </c>
      <c r="C251" s="115" t="s">
        <v>2672</v>
      </c>
      <c r="D251" s="115" t="s">
        <v>2171</v>
      </c>
      <c r="E251" s="115" t="s">
        <v>29</v>
      </c>
      <c r="F251" s="115">
        <v>1</v>
      </c>
    </row>
    <row r="252" spans="2:6">
      <c r="B252" s="115" t="s">
        <v>2673</v>
      </c>
      <c r="C252" s="115" t="s">
        <v>2674</v>
      </c>
      <c r="D252" s="115" t="s">
        <v>2171</v>
      </c>
      <c r="E252" s="115" t="s">
        <v>29</v>
      </c>
      <c r="F252" s="115">
        <v>1</v>
      </c>
    </row>
    <row r="253" spans="2:6">
      <c r="B253" s="115" t="s">
        <v>2675</v>
      </c>
      <c r="C253" s="115" t="s">
        <v>2676</v>
      </c>
      <c r="D253" s="115" t="s">
        <v>2171</v>
      </c>
      <c r="E253" s="115" t="s">
        <v>29</v>
      </c>
      <c r="F253" s="115">
        <v>1</v>
      </c>
    </row>
    <row r="254" spans="2:6">
      <c r="B254" s="115" t="s">
        <v>2677</v>
      </c>
      <c r="C254" s="115" t="s">
        <v>2678</v>
      </c>
      <c r="D254" s="115" t="s">
        <v>2171</v>
      </c>
      <c r="E254" s="115" t="s">
        <v>29</v>
      </c>
      <c r="F254" s="115">
        <v>1</v>
      </c>
    </row>
    <row r="255" spans="2:6">
      <c r="B255" s="115" t="s">
        <v>2679</v>
      </c>
      <c r="C255" s="115" t="s">
        <v>2680</v>
      </c>
      <c r="D255" s="115" t="s">
        <v>2171</v>
      </c>
      <c r="E255" s="115" t="s">
        <v>29</v>
      </c>
      <c r="F255" s="115">
        <v>1</v>
      </c>
    </row>
    <row r="256" spans="2:6">
      <c r="B256" s="115" t="s">
        <v>2681</v>
      </c>
      <c r="C256" s="115" t="s">
        <v>2682</v>
      </c>
      <c r="D256" s="115" t="s">
        <v>2171</v>
      </c>
      <c r="E256" s="115" t="s">
        <v>29</v>
      </c>
      <c r="F256" s="115">
        <v>1</v>
      </c>
    </row>
    <row r="257" spans="2:6">
      <c r="B257" s="115" t="s">
        <v>2683</v>
      </c>
      <c r="C257" s="115" t="s">
        <v>2684</v>
      </c>
      <c r="D257" s="115" t="s">
        <v>2171</v>
      </c>
      <c r="E257" s="115" t="s">
        <v>29</v>
      </c>
      <c r="F257" s="115">
        <v>1</v>
      </c>
    </row>
    <row r="258" spans="2:6">
      <c r="B258" s="115" t="s">
        <v>2685</v>
      </c>
      <c r="C258" s="115" t="s">
        <v>2686</v>
      </c>
      <c r="D258" s="115" t="s">
        <v>2171</v>
      </c>
      <c r="E258" s="115" t="s">
        <v>29</v>
      </c>
      <c r="F258" s="115">
        <v>1</v>
      </c>
    </row>
    <row r="259" spans="2:6">
      <c r="B259" s="115" t="s">
        <v>2687</v>
      </c>
      <c r="C259" s="115" t="s">
        <v>2688</v>
      </c>
      <c r="D259" s="115" t="s">
        <v>2171</v>
      </c>
      <c r="E259" s="115" t="s">
        <v>29</v>
      </c>
      <c r="F259" s="115">
        <v>1</v>
      </c>
    </row>
    <row r="260" spans="2:6">
      <c r="B260" s="115" t="s">
        <v>2689</v>
      </c>
      <c r="C260" s="115" t="s">
        <v>2690</v>
      </c>
      <c r="D260" s="115" t="s">
        <v>2171</v>
      </c>
      <c r="E260" s="115" t="s">
        <v>29</v>
      </c>
      <c r="F260" s="115">
        <v>2</v>
      </c>
    </row>
    <row r="261" spans="2:6">
      <c r="B261" s="115" t="s">
        <v>2691</v>
      </c>
      <c r="C261" s="115" t="s">
        <v>2692</v>
      </c>
      <c r="D261" s="115" t="s">
        <v>2171</v>
      </c>
      <c r="E261" s="115" t="s">
        <v>29</v>
      </c>
      <c r="F261" s="115">
        <v>1</v>
      </c>
    </row>
    <row r="262" spans="2:6">
      <c r="B262" s="115" t="s">
        <v>2693</v>
      </c>
      <c r="C262" s="115" t="s">
        <v>2694</v>
      </c>
      <c r="D262" s="115" t="s">
        <v>2171</v>
      </c>
      <c r="E262" s="115" t="s">
        <v>29</v>
      </c>
      <c r="F262" s="115">
        <v>3</v>
      </c>
    </row>
    <row r="263" spans="2:6">
      <c r="B263" s="115" t="s">
        <v>2695</v>
      </c>
      <c r="C263" s="115" t="s">
        <v>2696</v>
      </c>
      <c r="D263" s="115" t="s">
        <v>2171</v>
      </c>
      <c r="E263" s="115" t="s">
        <v>29</v>
      </c>
      <c r="F263" s="115">
        <v>2</v>
      </c>
    </row>
    <row r="264" spans="2:6">
      <c r="B264" s="115" t="s">
        <v>2697</v>
      </c>
      <c r="C264" s="115" t="s">
        <v>2698</v>
      </c>
      <c r="D264" s="115" t="s">
        <v>2171</v>
      </c>
      <c r="E264" s="115" t="s">
        <v>29</v>
      </c>
      <c r="F264" s="115">
        <v>3</v>
      </c>
    </row>
    <row r="265" spans="2:6">
      <c r="B265" s="115" t="s">
        <v>2699</v>
      </c>
      <c r="C265" s="115" t="s">
        <v>2700</v>
      </c>
      <c r="D265" s="115" t="s">
        <v>2171</v>
      </c>
      <c r="E265" s="115" t="s">
        <v>29</v>
      </c>
      <c r="F265" s="115">
        <v>1</v>
      </c>
    </row>
    <row r="266" spans="2:6">
      <c r="B266" s="115" t="s">
        <v>2701</v>
      </c>
      <c r="C266" s="115" t="s">
        <v>2702</v>
      </c>
      <c r="D266" s="115" t="s">
        <v>2171</v>
      </c>
      <c r="E266" s="115" t="s">
        <v>29</v>
      </c>
      <c r="F266" s="115">
        <v>1</v>
      </c>
    </row>
    <row r="267" spans="2:6">
      <c r="B267" s="115" t="s">
        <v>2703</v>
      </c>
      <c r="C267" s="115" t="s">
        <v>2704</v>
      </c>
      <c r="D267" s="115" t="s">
        <v>2171</v>
      </c>
      <c r="E267" s="115" t="s">
        <v>29</v>
      </c>
      <c r="F267" s="115">
        <v>1</v>
      </c>
    </row>
    <row r="268" spans="2:6">
      <c r="B268" s="115" t="s">
        <v>2705</v>
      </c>
      <c r="C268" s="115" t="s">
        <v>2706</v>
      </c>
      <c r="D268" s="115" t="s">
        <v>2171</v>
      </c>
      <c r="E268" s="115" t="s">
        <v>29</v>
      </c>
      <c r="F268" s="115">
        <v>1</v>
      </c>
    </row>
    <row r="269" spans="2:6">
      <c r="B269" s="115" t="s">
        <v>2707</v>
      </c>
      <c r="C269" s="115" t="s">
        <v>2708</v>
      </c>
      <c r="D269" s="115" t="s">
        <v>2171</v>
      </c>
      <c r="E269" s="115" t="s">
        <v>29</v>
      </c>
      <c r="F269" s="115">
        <v>3</v>
      </c>
    </row>
    <row r="270" spans="2:6">
      <c r="B270" s="115" t="s">
        <v>2709</v>
      </c>
      <c r="C270" s="115" t="s">
        <v>2710</v>
      </c>
      <c r="D270" s="115" t="s">
        <v>2171</v>
      </c>
      <c r="E270" s="115" t="s">
        <v>29</v>
      </c>
      <c r="F270" s="115">
        <v>1</v>
      </c>
    </row>
    <row r="271" spans="2:6">
      <c r="B271" s="115" t="s">
        <v>2711</v>
      </c>
      <c r="C271" s="115" t="s">
        <v>2712</v>
      </c>
      <c r="D271" s="115" t="s">
        <v>2171</v>
      </c>
      <c r="E271" s="115" t="s">
        <v>29</v>
      </c>
      <c r="F271" s="115">
        <v>1</v>
      </c>
    </row>
    <row r="272" spans="2:6">
      <c r="B272" s="115" t="s">
        <v>2713</v>
      </c>
      <c r="C272" s="115" t="s">
        <v>2714</v>
      </c>
      <c r="D272" s="115" t="s">
        <v>2171</v>
      </c>
      <c r="E272" s="115" t="s">
        <v>29</v>
      </c>
      <c r="F272" s="115">
        <v>3</v>
      </c>
    </row>
    <row r="273" spans="2:6">
      <c r="B273" s="115" t="s">
        <v>2715</v>
      </c>
      <c r="C273" s="115" t="s">
        <v>2716</v>
      </c>
      <c r="D273" s="115" t="s">
        <v>2171</v>
      </c>
      <c r="E273" s="115" t="s">
        <v>29</v>
      </c>
      <c r="F273" s="115">
        <v>3</v>
      </c>
    </row>
    <row r="274" spans="2:6">
      <c r="B274" s="115" t="s">
        <v>2717</v>
      </c>
      <c r="C274" s="115" t="s">
        <v>2718</v>
      </c>
      <c r="D274" s="115" t="s">
        <v>2171</v>
      </c>
      <c r="E274" s="115" t="s">
        <v>29</v>
      </c>
      <c r="F274" s="115">
        <v>3</v>
      </c>
    </row>
    <row r="275" spans="2:6">
      <c r="B275" s="115" t="s">
        <v>2719</v>
      </c>
      <c r="C275" s="115" t="s">
        <v>2720</v>
      </c>
      <c r="D275" s="115" t="s">
        <v>2171</v>
      </c>
      <c r="E275" s="115" t="s">
        <v>29</v>
      </c>
      <c r="F275" s="115">
        <v>3</v>
      </c>
    </row>
    <row r="276" spans="2:6">
      <c r="B276" s="115" t="s">
        <v>2721</v>
      </c>
      <c r="C276" s="115" t="s">
        <v>2722</v>
      </c>
      <c r="D276" s="115" t="s">
        <v>2171</v>
      </c>
      <c r="E276" s="115" t="s">
        <v>29</v>
      </c>
      <c r="F276" s="115">
        <v>2</v>
      </c>
    </row>
    <row r="277" spans="2:6">
      <c r="B277" s="115" t="s">
        <v>2723</v>
      </c>
      <c r="C277" s="115" t="s">
        <v>2724</v>
      </c>
      <c r="D277" s="115" t="s">
        <v>2171</v>
      </c>
      <c r="E277" s="115" t="s">
        <v>29</v>
      </c>
      <c r="F277" s="115">
        <v>1</v>
      </c>
    </row>
    <row r="278" spans="2:6">
      <c r="B278" s="115" t="s">
        <v>2725</v>
      </c>
      <c r="C278" s="115" t="s">
        <v>2726</v>
      </c>
      <c r="D278" s="115" t="s">
        <v>2171</v>
      </c>
      <c r="E278" s="115" t="s">
        <v>29</v>
      </c>
      <c r="F278" s="115">
        <v>2</v>
      </c>
    </row>
    <row r="279" spans="2:6">
      <c r="B279" s="115" t="s">
        <v>2727</v>
      </c>
      <c r="C279" s="115" t="s">
        <v>2728</v>
      </c>
      <c r="D279" s="115" t="s">
        <v>2171</v>
      </c>
      <c r="E279" s="115" t="s">
        <v>29</v>
      </c>
      <c r="F279" s="115">
        <v>3</v>
      </c>
    </row>
    <row r="280" spans="2:6">
      <c r="B280" s="115" t="s">
        <v>2729</v>
      </c>
      <c r="C280" s="115" t="s">
        <v>2730</v>
      </c>
      <c r="D280" s="115" t="s">
        <v>2171</v>
      </c>
      <c r="E280" s="115" t="s">
        <v>29</v>
      </c>
      <c r="F280" s="115">
        <v>1</v>
      </c>
    </row>
    <row r="281" spans="2:6">
      <c r="B281" s="115" t="s">
        <v>2731</v>
      </c>
      <c r="C281" s="115" t="s">
        <v>2732</v>
      </c>
      <c r="D281" s="115" t="s">
        <v>2171</v>
      </c>
      <c r="E281" s="115" t="s">
        <v>29</v>
      </c>
      <c r="F281" s="115">
        <v>1</v>
      </c>
    </row>
    <row r="282" spans="2:6">
      <c r="B282" s="115" t="s">
        <v>2733</v>
      </c>
      <c r="C282" s="115" t="s">
        <v>2734</v>
      </c>
      <c r="D282" s="115" t="s">
        <v>2171</v>
      </c>
      <c r="E282" s="115" t="s">
        <v>29</v>
      </c>
      <c r="F282" s="115">
        <v>1</v>
      </c>
    </row>
    <row r="283" spans="2:6">
      <c r="B283" s="115" t="s">
        <v>2735</v>
      </c>
      <c r="C283" s="115" t="s">
        <v>2736</v>
      </c>
      <c r="D283" s="115" t="s">
        <v>2171</v>
      </c>
      <c r="E283" s="115" t="s">
        <v>29</v>
      </c>
      <c r="F283" s="115">
        <v>1</v>
      </c>
    </row>
    <row r="284" spans="2:6">
      <c r="B284" s="115" t="s">
        <v>2737</v>
      </c>
      <c r="C284" s="115" t="s">
        <v>2738</v>
      </c>
      <c r="D284" s="115" t="s">
        <v>2171</v>
      </c>
      <c r="E284" s="115" t="s">
        <v>29</v>
      </c>
      <c r="F284" s="115">
        <v>2</v>
      </c>
    </row>
    <row r="285" spans="2:6">
      <c r="B285" s="115" t="s">
        <v>2739</v>
      </c>
      <c r="C285" s="115" t="s">
        <v>2740</v>
      </c>
      <c r="D285" s="115" t="s">
        <v>2171</v>
      </c>
      <c r="E285" s="115" t="s">
        <v>29</v>
      </c>
      <c r="F285" s="115">
        <v>2</v>
      </c>
    </row>
    <row r="286" spans="2:6">
      <c r="B286" s="115" t="s">
        <v>2741</v>
      </c>
      <c r="C286" s="115" t="s">
        <v>2742</v>
      </c>
      <c r="D286" s="115" t="s">
        <v>2171</v>
      </c>
      <c r="E286" s="115" t="s">
        <v>29</v>
      </c>
      <c r="F286" s="115">
        <v>3</v>
      </c>
    </row>
    <row r="287" spans="2:6">
      <c r="B287" s="115" t="s">
        <v>2743</v>
      </c>
      <c r="C287" s="115" t="s">
        <v>2744</v>
      </c>
      <c r="D287" s="115" t="s">
        <v>2171</v>
      </c>
      <c r="E287" s="115" t="s">
        <v>35</v>
      </c>
      <c r="F287" s="115">
        <v>1</v>
      </c>
    </row>
    <row r="288" spans="2:6">
      <c r="B288" s="115" t="s">
        <v>2745</v>
      </c>
      <c r="C288" s="115" t="s">
        <v>2746</v>
      </c>
      <c r="D288" s="115" t="s">
        <v>2171</v>
      </c>
      <c r="E288" s="115" t="s">
        <v>29</v>
      </c>
      <c r="F288" s="115">
        <v>1</v>
      </c>
    </row>
    <row r="289" spans="2:6">
      <c r="B289" s="115" t="s">
        <v>2747</v>
      </c>
      <c r="C289" s="115" t="s">
        <v>2748</v>
      </c>
      <c r="D289" s="115" t="s">
        <v>2171</v>
      </c>
      <c r="E289" s="115" t="s">
        <v>29</v>
      </c>
      <c r="F289" s="115">
        <v>3</v>
      </c>
    </row>
    <row r="290" spans="2:6">
      <c r="B290" s="115" t="s">
        <v>2749</v>
      </c>
      <c r="C290" s="115" t="s">
        <v>2750</v>
      </c>
      <c r="D290" s="115" t="s">
        <v>2171</v>
      </c>
      <c r="E290" s="115" t="s">
        <v>29</v>
      </c>
      <c r="F290" s="115">
        <v>1</v>
      </c>
    </row>
    <row r="291" spans="2:6">
      <c r="B291" s="115" t="s">
        <v>2751</v>
      </c>
      <c r="C291" s="115" t="s">
        <v>2752</v>
      </c>
      <c r="D291" s="115" t="s">
        <v>2171</v>
      </c>
      <c r="E291" s="115" t="s">
        <v>29</v>
      </c>
      <c r="F291" s="115">
        <v>3</v>
      </c>
    </row>
    <row r="292" spans="2:6">
      <c r="B292" s="115" t="s">
        <v>2753</v>
      </c>
      <c r="C292" s="115" t="s">
        <v>2754</v>
      </c>
      <c r="D292" s="115" t="s">
        <v>2171</v>
      </c>
      <c r="E292" s="115" t="s">
        <v>29</v>
      </c>
      <c r="F292" s="115">
        <v>3</v>
      </c>
    </row>
    <row r="293" spans="2:6">
      <c r="B293" s="115" t="s">
        <v>2755</v>
      </c>
      <c r="C293" s="115" t="s">
        <v>2756</v>
      </c>
      <c r="D293" s="115" t="s">
        <v>2171</v>
      </c>
      <c r="E293" s="115" t="s">
        <v>29</v>
      </c>
      <c r="F293" s="115">
        <v>1</v>
      </c>
    </row>
    <row r="294" spans="2:6">
      <c r="B294" s="115" t="s">
        <v>2757</v>
      </c>
      <c r="C294" s="115" t="s">
        <v>2758</v>
      </c>
      <c r="D294" s="115" t="s">
        <v>2171</v>
      </c>
      <c r="E294" s="115" t="s">
        <v>29</v>
      </c>
      <c r="F294" s="115">
        <v>1</v>
      </c>
    </row>
    <row r="295" spans="2:6">
      <c r="B295" s="115" t="s">
        <v>2759</v>
      </c>
      <c r="C295" s="115" t="s">
        <v>2760</v>
      </c>
      <c r="D295" s="115" t="s">
        <v>2171</v>
      </c>
      <c r="E295" s="115" t="s">
        <v>29</v>
      </c>
      <c r="F295" s="115">
        <v>3</v>
      </c>
    </row>
    <row r="296" spans="2:6">
      <c r="B296" s="115" t="s">
        <v>2761</v>
      </c>
      <c r="C296" s="115" t="s">
        <v>2762</v>
      </c>
      <c r="D296" s="115" t="s">
        <v>2171</v>
      </c>
      <c r="E296" s="115" t="s">
        <v>35</v>
      </c>
      <c r="F296" s="115">
        <v>1</v>
      </c>
    </row>
    <row r="297" spans="2:6">
      <c r="B297" s="115" t="s">
        <v>2763</v>
      </c>
      <c r="C297" s="115" t="s">
        <v>2764</v>
      </c>
      <c r="D297" s="115" t="s">
        <v>2171</v>
      </c>
      <c r="E297" s="115" t="s">
        <v>29</v>
      </c>
      <c r="F297" s="115">
        <v>3</v>
      </c>
    </row>
    <row r="298" spans="2:6">
      <c r="B298" s="115" t="s">
        <v>2765</v>
      </c>
      <c r="C298" s="115" t="s">
        <v>2766</v>
      </c>
      <c r="D298" s="115" t="s">
        <v>2171</v>
      </c>
      <c r="E298" s="115" t="s">
        <v>29</v>
      </c>
      <c r="F298" s="115">
        <v>3</v>
      </c>
    </row>
    <row r="299" spans="2:6">
      <c r="B299" s="115" t="s">
        <v>2767</v>
      </c>
      <c r="C299" s="115" t="s">
        <v>2768</v>
      </c>
      <c r="D299" s="115" t="s">
        <v>2171</v>
      </c>
      <c r="E299" s="115" t="s">
        <v>29</v>
      </c>
      <c r="F299" s="115">
        <v>3</v>
      </c>
    </row>
    <row r="300" spans="2:6">
      <c r="B300" s="115" t="s">
        <v>2769</v>
      </c>
      <c r="C300" s="115" t="s">
        <v>2770</v>
      </c>
      <c r="D300" s="115" t="s">
        <v>2171</v>
      </c>
      <c r="E300" s="115" t="s">
        <v>29</v>
      </c>
      <c r="F300" s="115">
        <v>3</v>
      </c>
    </row>
    <row r="301" spans="2:6">
      <c r="B301" s="115" t="s">
        <v>2771</v>
      </c>
      <c r="C301" s="115" t="s">
        <v>2772</v>
      </c>
      <c r="D301" s="115" t="s">
        <v>2171</v>
      </c>
      <c r="E301" s="115" t="s">
        <v>29</v>
      </c>
      <c r="F301" s="115">
        <v>3</v>
      </c>
    </row>
    <row r="302" spans="2:6">
      <c r="B302" s="115" t="s">
        <v>2773</v>
      </c>
      <c r="C302" s="115" t="s">
        <v>2774</v>
      </c>
      <c r="D302" s="115" t="s">
        <v>2171</v>
      </c>
      <c r="E302" s="115" t="s">
        <v>29</v>
      </c>
      <c r="F302" s="115">
        <v>3</v>
      </c>
    </row>
    <row r="303" spans="2:6">
      <c r="B303" s="115" t="s">
        <v>2775</v>
      </c>
      <c r="C303" s="115" t="s">
        <v>2776</v>
      </c>
      <c r="D303" s="115" t="s">
        <v>2171</v>
      </c>
      <c r="E303" s="115" t="s">
        <v>29</v>
      </c>
      <c r="F303" s="115">
        <v>3</v>
      </c>
    </row>
    <row r="304" spans="2:6">
      <c r="B304" s="115" t="s">
        <v>2777</v>
      </c>
      <c r="C304" s="115" t="s">
        <v>2778</v>
      </c>
      <c r="D304" s="115" t="s">
        <v>2171</v>
      </c>
      <c r="E304" s="115" t="s">
        <v>29</v>
      </c>
      <c r="F304" s="115">
        <v>3</v>
      </c>
    </row>
    <row r="305" spans="2:6">
      <c r="B305" s="115" t="s">
        <v>2779</v>
      </c>
      <c r="C305" s="115" t="s">
        <v>2780</v>
      </c>
      <c r="D305" s="115" t="s">
        <v>2171</v>
      </c>
      <c r="E305" s="115" t="s">
        <v>29</v>
      </c>
      <c r="F305" s="115">
        <v>3</v>
      </c>
    </row>
    <row r="306" spans="2:6">
      <c r="B306" s="115" t="s">
        <v>2781</v>
      </c>
      <c r="C306" s="115" t="s">
        <v>2782</v>
      </c>
      <c r="D306" s="115" t="s">
        <v>2171</v>
      </c>
      <c r="E306" s="115" t="s">
        <v>29</v>
      </c>
      <c r="F306" s="115">
        <v>3</v>
      </c>
    </row>
    <row r="307" spans="2:6">
      <c r="B307" s="115" t="s">
        <v>2783</v>
      </c>
      <c r="C307" s="115" t="s">
        <v>2784</v>
      </c>
      <c r="D307" s="115" t="s">
        <v>2171</v>
      </c>
      <c r="E307" s="115" t="s">
        <v>29</v>
      </c>
      <c r="F307" s="115">
        <v>1</v>
      </c>
    </row>
    <row r="308" spans="2:6">
      <c r="B308" s="115" t="s">
        <v>2785</v>
      </c>
      <c r="C308" s="115" t="s">
        <v>2786</v>
      </c>
      <c r="D308" s="115" t="s">
        <v>2171</v>
      </c>
      <c r="E308" s="115" t="s">
        <v>29</v>
      </c>
      <c r="F308" s="115">
        <v>3</v>
      </c>
    </row>
    <row r="309" spans="2:6">
      <c r="B309" s="115" t="s">
        <v>2787</v>
      </c>
      <c r="C309" s="115" t="s">
        <v>2788</v>
      </c>
      <c r="D309" s="115" t="s">
        <v>2171</v>
      </c>
      <c r="E309" s="115" t="s">
        <v>29</v>
      </c>
      <c r="F309" s="115">
        <v>1</v>
      </c>
    </row>
    <row r="310" spans="2:6">
      <c r="B310" s="115" t="s">
        <v>2789</v>
      </c>
      <c r="C310" s="115" t="s">
        <v>2790</v>
      </c>
      <c r="D310" s="115" t="s">
        <v>2171</v>
      </c>
      <c r="E310" s="115" t="s">
        <v>29</v>
      </c>
      <c r="F310" s="115">
        <v>1</v>
      </c>
    </row>
    <row r="311" spans="2:6">
      <c r="B311" s="115" t="s">
        <v>2791</v>
      </c>
      <c r="C311" s="115" t="s">
        <v>2792</v>
      </c>
      <c r="D311" s="115" t="s">
        <v>2171</v>
      </c>
      <c r="E311" s="115" t="s">
        <v>29</v>
      </c>
      <c r="F311" s="115">
        <v>2</v>
      </c>
    </row>
    <row r="312" spans="2:6">
      <c r="B312" s="115" t="s">
        <v>2793</v>
      </c>
      <c r="C312" s="115" t="s">
        <v>2794</v>
      </c>
      <c r="D312" s="115" t="s">
        <v>2171</v>
      </c>
      <c r="E312" s="115" t="s">
        <v>29</v>
      </c>
      <c r="F312" s="115">
        <v>3</v>
      </c>
    </row>
    <row r="313" spans="2:6">
      <c r="B313" s="115" t="s">
        <v>2795</v>
      </c>
      <c r="C313" s="115" t="s">
        <v>2796</v>
      </c>
      <c r="D313" s="115" t="s">
        <v>2171</v>
      </c>
      <c r="E313" s="115" t="s">
        <v>29</v>
      </c>
      <c r="F313" s="115">
        <v>1</v>
      </c>
    </row>
    <row r="314" spans="2:6">
      <c r="B314" s="115" t="s">
        <v>2797</v>
      </c>
      <c r="C314" s="115" t="s">
        <v>2798</v>
      </c>
      <c r="D314" s="115" t="s">
        <v>2171</v>
      </c>
      <c r="E314" s="115" t="s">
        <v>29</v>
      </c>
      <c r="F314" s="115">
        <v>1</v>
      </c>
    </row>
    <row r="315" spans="2:6">
      <c r="B315" s="115" t="s">
        <v>2799</v>
      </c>
      <c r="C315" s="115" t="s">
        <v>2800</v>
      </c>
      <c r="D315" s="115" t="s">
        <v>2171</v>
      </c>
      <c r="E315" s="115" t="s">
        <v>29</v>
      </c>
      <c r="F315" s="115">
        <v>1</v>
      </c>
    </row>
    <row r="316" spans="2:6">
      <c r="B316" s="115" t="s">
        <v>2801</v>
      </c>
      <c r="C316" s="115" t="s">
        <v>2802</v>
      </c>
      <c r="D316" s="115" t="s">
        <v>2171</v>
      </c>
      <c r="E316" s="115" t="s">
        <v>29</v>
      </c>
      <c r="F316" s="115">
        <v>3</v>
      </c>
    </row>
    <row r="317" spans="2:6">
      <c r="B317" s="115" t="s">
        <v>2803</v>
      </c>
      <c r="C317" s="115" t="s">
        <v>2804</v>
      </c>
      <c r="D317" s="115" t="s">
        <v>2171</v>
      </c>
      <c r="E317" s="115" t="s">
        <v>29</v>
      </c>
      <c r="F317" s="115">
        <v>3</v>
      </c>
    </row>
    <row r="318" spans="2:6">
      <c r="B318" s="115" t="s">
        <v>2805</v>
      </c>
      <c r="C318" s="115" t="s">
        <v>2806</v>
      </c>
      <c r="D318" s="115" t="s">
        <v>2171</v>
      </c>
      <c r="E318" s="115" t="s">
        <v>29</v>
      </c>
      <c r="F318" s="115">
        <v>1</v>
      </c>
    </row>
    <row r="319" spans="2:6">
      <c r="B319" s="115" t="s">
        <v>2807</v>
      </c>
      <c r="C319" s="115" t="s">
        <v>2808</v>
      </c>
      <c r="D319" s="115" t="s">
        <v>2171</v>
      </c>
      <c r="E319" s="115" t="s">
        <v>29</v>
      </c>
      <c r="F319" s="115">
        <v>1</v>
      </c>
    </row>
    <row r="320" spans="2:6">
      <c r="B320" s="115" t="s">
        <v>2809</v>
      </c>
      <c r="C320" s="115" t="s">
        <v>2810</v>
      </c>
      <c r="D320" s="115" t="s">
        <v>2171</v>
      </c>
      <c r="E320" s="115" t="s">
        <v>29</v>
      </c>
      <c r="F320" s="115">
        <v>3</v>
      </c>
    </row>
    <row r="321" spans="2:6">
      <c r="B321" s="115" t="s">
        <v>2811</v>
      </c>
      <c r="C321" s="115" t="s">
        <v>2812</v>
      </c>
      <c r="D321" s="115" t="s">
        <v>2171</v>
      </c>
      <c r="E321" s="115" t="s">
        <v>29</v>
      </c>
      <c r="F321" s="115">
        <v>1</v>
      </c>
    </row>
    <row r="322" spans="2:6">
      <c r="B322" s="115" t="s">
        <v>2813</v>
      </c>
      <c r="C322" s="115" t="s">
        <v>2814</v>
      </c>
      <c r="D322" s="115" t="s">
        <v>2171</v>
      </c>
      <c r="E322" s="115" t="s">
        <v>29</v>
      </c>
      <c r="F322" s="115">
        <v>1</v>
      </c>
    </row>
    <row r="323" spans="2:6">
      <c r="B323" s="115" t="s">
        <v>2815</v>
      </c>
      <c r="C323" s="115" t="s">
        <v>2816</v>
      </c>
      <c r="D323" s="115" t="s">
        <v>2171</v>
      </c>
      <c r="E323" s="115" t="s">
        <v>29</v>
      </c>
      <c r="F323" s="115">
        <v>1</v>
      </c>
    </row>
    <row r="324" spans="2:6">
      <c r="B324" s="115" t="s">
        <v>2817</v>
      </c>
      <c r="C324" s="115" t="s">
        <v>2818</v>
      </c>
      <c r="D324" s="115" t="s">
        <v>2171</v>
      </c>
      <c r="E324" s="115" t="s">
        <v>29</v>
      </c>
      <c r="F324" s="115">
        <v>1</v>
      </c>
    </row>
    <row r="325" spans="2:6">
      <c r="B325" s="115" t="s">
        <v>2819</v>
      </c>
      <c r="C325" s="115" t="s">
        <v>2820</v>
      </c>
      <c r="D325" s="115" t="s">
        <v>2171</v>
      </c>
      <c r="E325" s="115" t="s">
        <v>29</v>
      </c>
      <c r="F325" s="115">
        <v>2</v>
      </c>
    </row>
    <row r="326" spans="2:6">
      <c r="B326" s="115" t="s">
        <v>2821</v>
      </c>
      <c r="C326" s="115" t="s">
        <v>2822</v>
      </c>
      <c r="D326" s="115" t="s">
        <v>2171</v>
      </c>
      <c r="E326" s="115" t="s">
        <v>29</v>
      </c>
      <c r="F326" s="115">
        <v>2</v>
      </c>
    </row>
    <row r="327" spans="2:6">
      <c r="B327" s="115" t="s">
        <v>2823</v>
      </c>
      <c r="C327" s="115" t="s">
        <v>2824</v>
      </c>
      <c r="D327" s="115" t="s">
        <v>2171</v>
      </c>
      <c r="E327" s="115" t="s">
        <v>29</v>
      </c>
      <c r="F327" s="115">
        <v>2</v>
      </c>
    </row>
    <row r="328" spans="2:6">
      <c r="B328" s="115" t="s">
        <v>2825</v>
      </c>
      <c r="C328" s="115" t="s">
        <v>2826</v>
      </c>
      <c r="D328" s="115" t="s">
        <v>2171</v>
      </c>
      <c r="E328" s="115" t="s">
        <v>29</v>
      </c>
      <c r="F328" s="115">
        <v>2</v>
      </c>
    </row>
    <row r="329" spans="2:6">
      <c r="B329" s="115" t="s">
        <v>2827</v>
      </c>
      <c r="C329" s="115" t="s">
        <v>2828</v>
      </c>
      <c r="D329" s="115" t="s">
        <v>2171</v>
      </c>
      <c r="E329" s="115" t="s">
        <v>29</v>
      </c>
      <c r="F329" s="115">
        <v>2</v>
      </c>
    </row>
    <row r="330" spans="2:6">
      <c r="B330" s="115" t="s">
        <v>2829</v>
      </c>
      <c r="C330" s="115" t="s">
        <v>2830</v>
      </c>
      <c r="D330" s="115" t="s">
        <v>2171</v>
      </c>
      <c r="E330" s="115" t="s">
        <v>29</v>
      </c>
      <c r="F330" s="115">
        <v>3</v>
      </c>
    </row>
    <row r="331" spans="2:6">
      <c r="B331" s="115" t="s">
        <v>2831</v>
      </c>
      <c r="C331" s="115" t="s">
        <v>2832</v>
      </c>
      <c r="D331" s="115" t="s">
        <v>2171</v>
      </c>
      <c r="E331" s="115" t="s">
        <v>29</v>
      </c>
      <c r="F331" s="115">
        <v>1</v>
      </c>
    </row>
    <row r="332" spans="2:6">
      <c r="B332" s="115" t="s">
        <v>2833</v>
      </c>
      <c r="C332" s="115" t="s">
        <v>2834</v>
      </c>
      <c r="D332" s="115" t="s">
        <v>2171</v>
      </c>
      <c r="E332" s="115" t="s">
        <v>29</v>
      </c>
      <c r="F332" s="115">
        <v>1</v>
      </c>
    </row>
    <row r="333" spans="2:6">
      <c r="B333" s="115" t="s">
        <v>2835</v>
      </c>
      <c r="C333" s="115" t="s">
        <v>2836</v>
      </c>
      <c r="D333" s="115" t="s">
        <v>2171</v>
      </c>
      <c r="E333" s="115" t="s">
        <v>29</v>
      </c>
      <c r="F333" s="115">
        <v>1</v>
      </c>
    </row>
    <row r="334" spans="2:6">
      <c r="B334" s="115" t="s">
        <v>2837</v>
      </c>
      <c r="C334" s="115" t="s">
        <v>2838</v>
      </c>
      <c r="D334" s="115" t="s">
        <v>2171</v>
      </c>
      <c r="E334" s="115" t="s">
        <v>29</v>
      </c>
      <c r="F334" s="115">
        <v>3</v>
      </c>
    </row>
    <row r="335" spans="2:6">
      <c r="B335" s="115" t="s">
        <v>2839</v>
      </c>
      <c r="C335" s="115" t="s">
        <v>2840</v>
      </c>
      <c r="D335" s="115" t="s">
        <v>2171</v>
      </c>
      <c r="E335" s="115" t="s">
        <v>29</v>
      </c>
      <c r="F335" s="115">
        <v>3</v>
      </c>
    </row>
    <row r="336" spans="2:6">
      <c r="B336" s="115" t="s">
        <v>2841</v>
      </c>
      <c r="C336" s="115" t="s">
        <v>2842</v>
      </c>
      <c r="D336" s="115" t="s">
        <v>2171</v>
      </c>
      <c r="E336" s="115" t="s">
        <v>29</v>
      </c>
      <c r="F336" s="115">
        <v>3</v>
      </c>
    </row>
    <row r="337" spans="2:6">
      <c r="B337" s="115" t="s">
        <v>2843</v>
      </c>
      <c r="C337" s="115" t="s">
        <v>2844</v>
      </c>
      <c r="D337" s="115" t="s">
        <v>2171</v>
      </c>
      <c r="E337" s="115" t="s">
        <v>29</v>
      </c>
      <c r="F337" s="115">
        <v>2</v>
      </c>
    </row>
    <row r="338" spans="2:6">
      <c r="B338" s="115" t="s">
        <v>2845</v>
      </c>
      <c r="C338" s="115" t="s">
        <v>2846</v>
      </c>
      <c r="D338" s="115" t="s">
        <v>2171</v>
      </c>
      <c r="E338" s="115" t="s">
        <v>29</v>
      </c>
      <c r="F338" s="115">
        <v>2</v>
      </c>
    </row>
    <row r="339" spans="2:6">
      <c r="B339" s="115" t="s">
        <v>2847</v>
      </c>
      <c r="C339" s="115" t="s">
        <v>2848</v>
      </c>
      <c r="D339" s="115" t="s">
        <v>2171</v>
      </c>
      <c r="E339" s="115" t="s">
        <v>29</v>
      </c>
      <c r="F339" s="115">
        <v>3</v>
      </c>
    </row>
    <row r="340" spans="2:6">
      <c r="B340" s="115" t="s">
        <v>2849</v>
      </c>
      <c r="C340" s="115" t="s">
        <v>2850</v>
      </c>
      <c r="D340" s="115" t="s">
        <v>2171</v>
      </c>
      <c r="E340" s="115" t="s">
        <v>29</v>
      </c>
      <c r="F340" s="115">
        <v>3</v>
      </c>
    </row>
    <row r="341" spans="2:6">
      <c r="B341" s="115" t="s">
        <v>2851</v>
      </c>
      <c r="C341" s="115" t="s">
        <v>2852</v>
      </c>
      <c r="D341" s="115" t="s">
        <v>2171</v>
      </c>
      <c r="E341" s="115" t="s">
        <v>29</v>
      </c>
      <c r="F341" s="115">
        <v>3</v>
      </c>
    </row>
    <row r="342" spans="2:6">
      <c r="B342" s="115" t="s">
        <v>2853</v>
      </c>
      <c r="C342" s="115" t="s">
        <v>2854</v>
      </c>
      <c r="D342" s="115" t="s">
        <v>2171</v>
      </c>
      <c r="E342" s="115" t="s">
        <v>29</v>
      </c>
      <c r="F342" s="115">
        <v>1</v>
      </c>
    </row>
    <row r="343" spans="2:6">
      <c r="B343" s="115" t="s">
        <v>2855</v>
      </c>
      <c r="C343" s="115" t="s">
        <v>2856</v>
      </c>
      <c r="D343" s="115" t="s">
        <v>2171</v>
      </c>
      <c r="E343" s="115" t="s">
        <v>29</v>
      </c>
      <c r="F343" s="115">
        <v>1</v>
      </c>
    </row>
    <row r="344" spans="2:6">
      <c r="B344" s="115" t="s">
        <v>2857</v>
      </c>
      <c r="C344" s="115" t="s">
        <v>2858</v>
      </c>
      <c r="D344" s="115" t="s">
        <v>2171</v>
      </c>
      <c r="E344" s="115" t="s">
        <v>29</v>
      </c>
      <c r="F344" s="115">
        <v>1</v>
      </c>
    </row>
    <row r="345" spans="2:6">
      <c r="B345" s="115" t="s">
        <v>2859</v>
      </c>
      <c r="C345" s="115" t="s">
        <v>2860</v>
      </c>
      <c r="D345" s="115" t="s">
        <v>2171</v>
      </c>
      <c r="E345" s="115" t="s">
        <v>29</v>
      </c>
      <c r="F345" s="115">
        <v>2</v>
      </c>
    </row>
    <row r="346" spans="2:6">
      <c r="B346" s="115" t="s">
        <v>2861</v>
      </c>
      <c r="C346" s="115" t="s">
        <v>2862</v>
      </c>
      <c r="D346" s="115" t="s">
        <v>2171</v>
      </c>
      <c r="E346" s="115" t="s">
        <v>29</v>
      </c>
      <c r="F346" s="115">
        <v>1</v>
      </c>
    </row>
    <row r="347" spans="2:6">
      <c r="B347" s="115" t="s">
        <v>2863</v>
      </c>
      <c r="C347" s="115" t="s">
        <v>2864</v>
      </c>
      <c r="D347" s="115" t="s">
        <v>2171</v>
      </c>
      <c r="E347" s="115" t="s">
        <v>29</v>
      </c>
      <c r="F347" s="115">
        <v>1</v>
      </c>
    </row>
    <row r="348" spans="2:6">
      <c r="B348" s="115" t="s">
        <v>2865</v>
      </c>
      <c r="C348" s="115" t="s">
        <v>2866</v>
      </c>
      <c r="D348" s="115" t="s">
        <v>2171</v>
      </c>
      <c r="E348" s="115" t="s">
        <v>29</v>
      </c>
      <c r="F348" s="115">
        <v>1</v>
      </c>
    </row>
    <row r="349" spans="2:6">
      <c r="B349" s="115" t="s">
        <v>2867</v>
      </c>
      <c r="C349" s="115" t="s">
        <v>2868</v>
      </c>
      <c r="D349" s="115" t="s">
        <v>2171</v>
      </c>
      <c r="E349" s="115" t="s">
        <v>29</v>
      </c>
      <c r="F349" s="115">
        <v>1</v>
      </c>
    </row>
    <row r="350" spans="2:6">
      <c r="B350" s="115" t="s">
        <v>2869</v>
      </c>
      <c r="C350" s="115" t="s">
        <v>2870</v>
      </c>
      <c r="D350" s="115" t="s">
        <v>2171</v>
      </c>
      <c r="E350" s="115" t="s">
        <v>29</v>
      </c>
      <c r="F350" s="115">
        <v>1</v>
      </c>
    </row>
    <row r="351" spans="2:6">
      <c r="B351" s="115" t="s">
        <v>2871</v>
      </c>
      <c r="C351" s="115" t="s">
        <v>2872</v>
      </c>
      <c r="D351" s="115" t="s">
        <v>2171</v>
      </c>
      <c r="E351" s="115" t="s">
        <v>29</v>
      </c>
      <c r="F351" s="115">
        <v>1</v>
      </c>
    </row>
    <row r="352" spans="2:6">
      <c r="B352" s="115" t="s">
        <v>2873</v>
      </c>
      <c r="C352" s="115" t="s">
        <v>2874</v>
      </c>
      <c r="D352" s="115" t="s">
        <v>2171</v>
      </c>
      <c r="E352" s="115" t="s">
        <v>29</v>
      </c>
      <c r="F352" s="115">
        <v>1</v>
      </c>
    </row>
    <row r="353" spans="2:6">
      <c r="B353" s="115" t="s">
        <v>2875</v>
      </c>
      <c r="C353" s="115" t="s">
        <v>2876</v>
      </c>
      <c r="D353" s="115" t="s">
        <v>2171</v>
      </c>
      <c r="E353" s="115" t="s">
        <v>29</v>
      </c>
      <c r="F353" s="115">
        <v>3</v>
      </c>
    </row>
    <row r="354" spans="2:6">
      <c r="B354" s="115" t="s">
        <v>2877</v>
      </c>
      <c r="C354" s="115" t="s">
        <v>2878</v>
      </c>
      <c r="D354" s="115" t="s">
        <v>2171</v>
      </c>
      <c r="E354" s="115" t="s">
        <v>29</v>
      </c>
      <c r="F354" s="115">
        <v>1</v>
      </c>
    </row>
    <row r="355" spans="2:6">
      <c r="B355" s="115" t="s">
        <v>2879</v>
      </c>
      <c r="C355" s="115" t="s">
        <v>2880</v>
      </c>
      <c r="D355" s="115" t="s">
        <v>2171</v>
      </c>
      <c r="E355" s="115" t="s">
        <v>29</v>
      </c>
      <c r="F355" s="115">
        <v>1</v>
      </c>
    </row>
    <row r="356" spans="2:6">
      <c r="B356" s="115" t="s">
        <v>2881</v>
      </c>
      <c r="C356" s="115" t="s">
        <v>2882</v>
      </c>
      <c r="D356" s="115" t="s">
        <v>2171</v>
      </c>
      <c r="E356" s="115" t="s">
        <v>29</v>
      </c>
      <c r="F356" s="115">
        <v>1</v>
      </c>
    </row>
    <row r="357" spans="2:6">
      <c r="B357" s="115" t="s">
        <v>2883</v>
      </c>
      <c r="C357" s="115" t="s">
        <v>2884</v>
      </c>
      <c r="D357" s="115" t="s">
        <v>2171</v>
      </c>
      <c r="E357" s="115" t="s">
        <v>29</v>
      </c>
      <c r="F357" s="115">
        <v>2</v>
      </c>
    </row>
    <row r="358" spans="2:6">
      <c r="B358" s="115" t="s">
        <v>2885</v>
      </c>
      <c r="C358" s="115" t="s">
        <v>2886</v>
      </c>
      <c r="D358" s="115" t="s">
        <v>2171</v>
      </c>
      <c r="E358" s="115" t="s">
        <v>29</v>
      </c>
      <c r="F358" s="115">
        <v>3</v>
      </c>
    </row>
    <row r="359" spans="2:6">
      <c r="B359" s="115" t="s">
        <v>2887</v>
      </c>
      <c r="C359" s="115" t="s">
        <v>2888</v>
      </c>
      <c r="D359" s="115" t="s">
        <v>2171</v>
      </c>
      <c r="E359" s="115" t="s">
        <v>29</v>
      </c>
      <c r="F359" s="115">
        <v>2</v>
      </c>
    </row>
    <row r="360" spans="2:6">
      <c r="B360" s="115" t="s">
        <v>2889</v>
      </c>
      <c r="C360" s="115" t="s">
        <v>2890</v>
      </c>
      <c r="D360" s="115" t="s">
        <v>2171</v>
      </c>
      <c r="E360" s="115" t="s">
        <v>29</v>
      </c>
      <c r="F360" s="115">
        <v>2</v>
      </c>
    </row>
    <row r="361" spans="2:6">
      <c r="B361" s="115" t="s">
        <v>2891</v>
      </c>
      <c r="C361" s="115" t="s">
        <v>2892</v>
      </c>
      <c r="D361" s="115" t="s">
        <v>2171</v>
      </c>
      <c r="E361" s="115" t="s">
        <v>29</v>
      </c>
      <c r="F361" s="115">
        <v>2</v>
      </c>
    </row>
    <row r="362" spans="2:6">
      <c r="B362" s="115" t="s">
        <v>2893</v>
      </c>
      <c r="C362" s="115" t="s">
        <v>2894</v>
      </c>
      <c r="D362" s="115" t="s">
        <v>2171</v>
      </c>
      <c r="E362" s="115" t="s">
        <v>29</v>
      </c>
      <c r="F362" s="115">
        <v>3</v>
      </c>
    </row>
    <row r="363" spans="2:6">
      <c r="B363" s="115" t="s">
        <v>2895</v>
      </c>
      <c r="C363" s="115" t="s">
        <v>2896</v>
      </c>
      <c r="D363" s="115" t="s">
        <v>2171</v>
      </c>
      <c r="E363" s="115" t="s">
        <v>29</v>
      </c>
      <c r="F363" s="115">
        <v>3</v>
      </c>
    </row>
    <row r="364" spans="2:6">
      <c r="B364" s="115" t="s">
        <v>2897</v>
      </c>
      <c r="C364" s="115" t="s">
        <v>2898</v>
      </c>
      <c r="D364" s="115" t="s">
        <v>2171</v>
      </c>
      <c r="E364" s="115" t="s">
        <v>29</v>
      </c>
      <c r="F364" s="115">
        <v>3</v>
      </c>
    </row>
    <row r="365" spans="2:6">
      <c r="B365" s="115" t="s">
        <v>2899</v>
      </c>
      <c r="C365" s="115" t="s">
        <v>2900</v>
      </c>
      <c r="D365" s="115" t="s">
        <v>2171</v>
      </c>
      <c r="E365" s="115" t="s">
        <v>29</v>
      </c>
      <c r="F365" s="115">
        <v>3</v>
      </c>
    </row>
    <row r="366" spans="2:6">
      <c r="B366" s="115" t="s">
        <v>2901</v>
      </c>
      <c r="C366" s="115" t="s">
        <v>2902</v>
      </c>
      <c r="D366" s="115" t="s">
        <v>2171</v>
      </c>
      <c r="E366" s="115" t="s">
        <v>29</v>
      </c>
      <c r="F366" s="115">
        <v>3</v>
      </c>
    </row>
    <row r="367" spans="2:6">
      <c r="B367" s="115" t="s">
        <v>2903</v>
      </c>
      <c r="C367" s="115" t="s">
        <v>2904</v>
      </c>
      <c r="D367" s="115" t="s">
        <v>2171</v>
      </c>
      <c r="E367" s="115" t="s">
        <v>29</v>
      </c>
      <c r="F367" s="115">
        <v>2</v>
      </c>
    </row>
    <row r="368" spans="2:6">
      <c r="B368" s="115" t="s">
        <v>2905</v>
      </c>
      <c r="C368" s="115" t="s">
        <v>2906</v>
      </c>
      <c r="D368" s="115" t="s">
        <v>2171</v>
      </c>
      <c r="E368" s="115" t="s">
        <v>29</v>
      </c>
      <c r="F368" s="115">
        <v>3</v>
      </c>
    </row>
    <row r="369" spans="2:6">
      <c r="B369" s="115" t="s">
        <v>2907</v>
      </c>
      <c r="C369" s="115" t="s">
        <v>2908</v>
      </c>
      <c r="D369" s="115" t="s">
        <v>2171</v>
      </c>
      <c r="E369" s="115" t="s">
        <v>29</v>
      </c>
      <c r="F369" s="115">
        <v>3</v>
      </c>
    </row>
    <row r="370" spans="2:6">
      <c r="B370" s="115" t="s">
        <v>2909</v>
      </c>
      <c r="C370" s="115" t="s">
        <v>2910</v>
      </c>
      <c r="D370" s="115" t="s">
        <v>2171</v>
      </c>
      <c r="E370" s="115" t="s">
        <v>29</v>
      </c>
      <c r="F370" s="115">
        <v>3</v>
      </c>
    </row>
    <row r="371" spans="2:6">
      <c r="B371" s="115" t="s">
        <v>2911</v>
      </c>
      <c r="C371" s="115" t="s">
        <v>2912</v>
      </c>
      <c r="D371" s="115" t="s">
        <v>2171</v>
      </c>
      <c r="E371" s="115" t="s">
        <v>29</v>
      </c>
      <c r="F371" s="115">
        <v>3</v>
      </c>
    </row>
    <row r="372" spans="2:6">
      <c r="B372" s="115" t="s">
        <v>2913</v>
      </c>
      <c r="C372" s="115" t="s">
        <v>2914</v>
      </c>
      <c r="D372" s="115" t="s">
        <v>2171</v>
      </c>
      <c r="E372" s="115" t="s">
        <v>29</v>
      </c>
      <c r="F372" s="115">
        <v>1</v>
      </c>
    </row>
    <row r="373" spans="2:6">
      <c r="B373" s="115" t="s">
        <v>2915</v>
      </c>
      <c r="C373" s="115" t="s">
        <v>2916</v>
      </c>
      <c r="D373" s="115" t="s">
        <v>2171</v>
      </c>
      <c r="E373" s="115" t="s">
        <v>29</v>
      </c>
      <c r="F373" s="115">
        <v>1</v>
      </c>
    </row>
    <row r="374" spans="2:6">
      <c r="B374" s="115" t="s">
        <v>2917</v>
      </c>
      <c r="C374" s="115" t="s">
        <v>2918</v>
      </c>
      <c r="D374" s="115" t="s">
        <v>2171</v>
      </c>
      <c r="E374" s="115" t="s">
        <v>29</v>
      </c>
      <c r="F374" s="115">
        <v>3</v>
      </c>
    </row>
    <row r="375" spans="2:6">
      <c r="B375" s="115" t="s">
        <v>2919</v>
      </c>
      <c r="C375" s="115" t="s">
        <v>2920</v>
      </c>
      <c r="D375" s="115" t="s">
        <v>2171</v>
      </c>
      <c r="E375" s="115" t="s">
        <v>29</v>
      </c>
      <c r="F375" s="115">
        <v>3</v>
      </c>
    </row>
    <row r="376" spans="2:6">
      <c r="B376" s="115" t="s">
        <v>2921</v>
      </c>
      <c r="C376" s="115" t="s">
        <v>2922</v>
      </c>
      <c r="D376" s="115" t="s">
        <v>2171</v>
      </c>
      <c r="E376" s="115" t="s">
        <v>29</v>
      </c>
      <c r="F376" s="115">
        <v>3</v>
      </c>
    </row>
    <row r="377" spans="2:6">
      <c r="B377" s="115" t="s">
        <v>2923</v>
      </c>
      <c r="C377" s="115" t="s">
        <v>2924</v>
      </c>
      <c r="D377" s="115" t="s">
        <v>2171</v>
      </c>
      <c r="E377" s="115" t="s">
        <v>29</v>
      </c>
      <c r="F377" s="115">
        <v>2</v>
      </c>
    </row>
    <row r="378" spans="2:6">
      <c r="B378" s="115" t="s">
        <v>2925</v>
      </c>
      <c r="C378" s="115" t="s">
        <v>2926</v>
      </c>
      <c r="D378" s="115" t="s">
        <v>2171</v>
      </c>
      <c r="E378" s="115" t="s">
        <v>29</v>
      </c>
      <c r="F378" s="115">
        <v>1</v>
      </c>
    </row>
    <row r="379" spans="2:6">
      <c r="B379" s="115" t="s">
        <v>2927</v>
      </c>
      <c r="C379" s="115" t="s">
        <v>2928</v>
      </c>
      <c r="D379" s="115" t="s">
        <v>2171</v>
      </c>
      <c r="E379" s="115" t="s">
        <v>29</v>
      </c>
      <c r="F379" s="115">
        <v>3</v>
      </c>
    </row>
    <row r="380" spans="2:6">
      <c r="B380" s="115" t="s">
        <v>2929</v>
      </c>
      <c r="C380" s="115" t="s">
        <v>2930</v>
      </c>
      <c r="D380" s="115" t="s">
        <v>2171</v>
      </c>
      <c r="E380" s="115" t="s">
        <v>29</v>
      </c>
      <c r="F380" s="115">
        <v>2</v>
      </c>
    </row>
    <row r="381" spans="2:6">
      <c r="B381" s="115" t="s">
        <v>2931</v>
      </c>
      <c r="C381" s="115" t="s">
        <v>2932</v>
      </c>
      <c r="D381" s="115" t="s">
        <v>2171</v>
      </c>
      <c r="E381" s="115" t="s">
        <v>29</v>
      </c>
      <c r="F381" s="115">
        <v>1</v>
      </c>
    </row>
    <row r="382" spans="2:6">
      <c r="B382" s="115" t="s">
        <v>2933</v>
      </c>
      <c r="C382" s="115" t="s">
        <v>2934</v>
      </c>
      <c r="D382" s="115" t="s">
        <v>2171</v>
      </c>
      <c r="E382" s="115" t="s">
        <v>29</v>
      </c>
      <c r="F382" s="115">
        <v>3</v>
      </c>
    </row>
    <row r="383" spans="2:6">
      <c r="B383" s="115" t="s">
        <v>2935</v>
      </c>
      <c r="C383" s="115" t="s">
        <v>2936</v>
      </c>
      <c r="D383" s="115" t="s">
        <v>2171</v>
      </c>
      <c r="E383" s="115" t="s">
        <v>29</v>
      </c>
      <c r="F383" s="115">
        <v>2</v>
      </c>
    </row>
    <row r="384" spans="2:6">
      <c r="B384" s="115" t="s">
        <v>2937</v>
      </c>
      <c r="C384" s="115" t="s">
        <v>2938</v>
      </c>
      <c r="D384" s="115" t="s">
        <v>2171</v>
      </c>
      <c r="E384" s="115" t="s">
        <v>29</v>
      </c>
      <c r="F384" s="115">
        <v>1</v>
      </c>
    </row>
    <row r="385" spans="2:6">
      <c r="B385" s="115" t="s">
        <v>2939</v>
      </c>
      <c r="C385" s="115" t="s">
        <v>2940</v>
      </c>
      <c r="D385" s="115" t="s">
        <v>2171</v>
      </c>
      <c r="E385" s="115" t="s">
        <v>29</v>
      </c>
      <c r="F385" s="115">
        <v>1</v>
      </c>
    </row>
    <row r="386" spans="2:6">
      <c r="B386" s="115" t="s">
        <v>2941</v>
      </c>
      <c r="C386" s="115" t="s">
        <v>2942</v>
      </c>
      <c r="D386" s="115" t="s">
        <v>2171</v>
      </c>
      <c r="E386" s="115" t="s">
        <v>29</v>
      </c>
      <c r="F386" s="115">
        <v>1</v>
      </c>
    </row>
    <row r="387" spans="2:6">
      <c r="B387" s="115" t="s">
        <v>2943</v>
      </c>
      <c r="C387" s="115" t="s">
        <v>2944</v>
      </c>
      <c r="D387" s="115" t="s">
        <v>2171</v>
      </c>
      <c r="E387" s="115" t="s">
        <v>29</v>
      </c>
      <c r="F387" s="115">
        <v>3</v>
      </c>
    </row>
    <row r="388" spans="2:6">
      <c r="B388" s="115" t="s">
        <v>2945</v>
      </c>
      <c r="C388" s="115" t="s">
        <v>2946</v>
      </c>
      <c r="D388" s="115" t="s">
        <v>2171</v>
      </c>
      <c r="E388" s="115" t="s">
        <v>29</v>
      </c>
      <c r="F388" s="115">
        <v>1</v>
      </c>
    </row>
    <row r="389" spans="2:6">
      <c r="B389" s="115" t="s">
        <v>2947</v>
      </c>
      <c r="C389" s="115" t="s">
        <v>2948</v>
      </c>
      <c r="D389" s="115" t="s">
        <v>2171</v>
      </c>
      <c r="E389" s="115" t="s">
        <v>29</v>
      </c>
      <c r="F389" s="115">
        <v>3</v>
      </c>
    </row>
    <row r="390" spans="2:6">
      <c r="B390" s="115" t="s">
        <v>2949</v>
      </c>
      <c r="C390" s="115" t="s">
        <v>2950</v>
      </c>
      <c r="D390" s="115" t="s">
        <v>2171</v>
      </c>
      <c r="E390" s="115" t="s">
        <v>29</v>
      </c>
      <c r="F390" s="115">
        <v>3</v>
      </c>
    </row>
    <row r="391" spans="2:6">
      <c r="B391" s="115" t="s">
        <v>2951</v>
      </c>
      <c r="C391" s="115" t="s">
        <v>2952</v>
      </c>
      <c r="D391" s="115" t="s">
        <v>2171</v>
      </c>
      <c r="E391" s="115" t="s">
        <v>29</v>
      </c>
      <c r="F391" s="115">
        <v>3</v>
      </c>
    </row>
    <row r="392" spans="2:6">
      <c r="B392" s="115" t="s">
        <v>2953</v>
      </c>
      <c r="C392" s="115" t="s">
        <v>2954</v>
      </c>
      <c r="D392" s="115" t="s">
        <v>2171</v>
      </c>
      <c r="E392" s="115" t="s">
        <v>29</v>
      </c>
      <c r="F392" s="115">
        <v>2</v>
      </c>
    </row>
    <row r="393" spans="2:6">
      <c r="B393" s="115" t="s">
        <v>2955</v>
      </c>
      <c r="C393" s="115" t="s">
        <v>2956</v>
      </c>
      <c r="D393" s="115" t="s">
        <v>2171</v>
      </c>
      <c r="E393" s="115" t="s">
        <v>29</v>
      </c>
      <c r="F393" s="115">
        <v>1</v>
      </c>
    </row>
    <row r="394" spans="2:6">
      <c r="B394" s="115" t="s">
        <v>2957</v>
      </c>
      <c r="C394" s="115" t="s">
        <v>2958</v>
      </c>
      <c r="D394" s="115" t="s">
        <v>2171</v>
      </c>
      <c r="E394" s="115" t="s">
        <v>29</v>
      </c>
      <c r="F394" s="115">
        <v>1</v>
      </c>
    </row>
    <row r="395" spans="2:6">
      <c r="B395" s="115" t="s">
        <v>2959</v>
      </c>
      <c r="C395" s="115" t="s">
        <v>2960</v>
      </c>
      <c r="D395" s="115" t="s">
        <v>2171</v>
      </c>
      <c r="E395" s="115" t="s">
        <v>29</v>
      </c>
      <c r="F395" s="115">
        <v>1</v>
      </c>
    </row>
    <row r="396" spans="2:6">
      <c r="B396" s="115" t="s">
        <v>2961</v>
      </c>
      <c r="C396" s="115" t="s">
        <v>2962</v>
      </c>
      <c r="D396" s="115" t="s">
        <v>2171</v>
      </c>
      <c r="E396" s="115" t="s">
        <v>29</v>
      </c>
      <c r="F396" s="115">
        <v>3</v>
      </c>
    </row>
    <row r="397" spans="2:6">
      <c r="B397" s="115" t="s">
        <v>2963</v>
      </c>
      <c r="C397" s="115" t="s">
        <v>2964</v>
      </c>
      <c r="D397" s="115" t="s">
        <v>2171</v>
      </c>
      <c r="E397" s="115" t="s">
        <v>29</v>
      </c>
      <c r="F397" s="115">
        <v>3</v>
      </c>
    </row>
    <row r="398" spans="2:6">
      <c r="B398" s="115" t="s">
        <v>2965</v>
      </c>
      <c r="C398" s="115" t="s">
        <v>2966</v>
      </c>
      <c r="D398" s="115" t="s">
        <v>2171</v>
      </c>
      <c r="E398" s="115" t="s">
        <v>29</v>
      </c>
      <c r="F398" s="115">
        <v>2</v>
      </c>
    </row>
    <row r="399" spans="2:6">
      <c r="B399" s="115" t="s">
        <v>2967</v>
      </c>
      <c r="C399" s="115" t="s">
        <v>2968</v>
      </c>
      <c r="D399" s="115" t="s">
        <v>2171</v>
      </c>
      <c r="E399" s="115" t="s">
        <v>29</v>
      </c>
      <c r="F399" s="115">
        <v>1</v>
      </c>
    </row>
    <row r="400" spans="2:6">
      <c r="B400" s="115" t="s">
        <v>2969</v>
      </c>
      <c r="C400" s="115" t="s">
        <v>2970</v>
      </c>
      <c r="D400" s="115" t="s">
        <v>2171</v>
      </c>
      <c r="E400" s="115" t="s">
        <v>29</v>
      </c>
      <c r="F400" s="115">
        <v>3</v>
      </c>
    </row>
    <row r="401" spans="2:6">
      <c r="B401" s="115" t="s">
        <v>2971</v>
      </c>
      <c r="C401" s="115" t="s">
        <v>2972</v>
      </c>
      <c r="D401" s="115" t="s">
        <v>2171</v>
      </c>
      <c r="E401" s="115" t="s">
        <v>29</v>
      </c>
      <c r="F401" s="115">
        <v>3</v>
      </c>
    </row>
    <row r="402" spans="2:6">
      <c r="B402" s="115" t="s">
        <v>2973</v>
      </c>
      <c r="C402" s="115" t="s">
        <v>2974</v>
      </c>
      <c r="D402" s="115" t="s">
        <v>2171</v>
      </c>
      <c r="E402" s="115" t="s">
        <v>29</v>
      </c>
      <c r="F402" s="115">
        <v>3</v>
      </c>
    </row>
    <row r="403" spans="2:6">
      <c r="B403" s="115" t="s">
        <v>2975</v>
      </c>
      <c r="C403" s="115" t="s">
        <v>2976</v>
      </c>
      <c r="D403" s="115" t="s">
        <v>2171</v>
      </c>
      <c r="E403" s="115" t="s">
        <v>29</v>
      </c>
      <c r="F403" s="115">
        <v>1</v>
      </c>
    </row>
    <row r="404" spans="2:6">
      <c r="B404" s="115" t="s">
        <v>2977</v>
      </c>
      <c r="C404" s="115" t="s">
        <v>2978</v>
      </c>
      <c r="D404" s="115" t="s">
        <v>2171</v>
      </c>
      <c r="E404" s="115" t="s">
        <v>29</v>
      </c>
      <c r="F404" s="115">
        <v>3</v>
      </c>
    </row>
    <row r="405" spans="2:6">
      <c r="B405" s="115" t="s">
        <v>2979</v>
      </c>
      <c r="C405" s="115" t="s">
        <v>2980</v>
      </c>
      <c r="D405" s="115" t="s">
        <v>2171</v>
      </c>
      <c r="E405" s="115" t="s">
        <v>29</v>
      </c>
      <c r="F405" s="115">
        <v>1</v>
      </c>
    </row>
    <row r="406" spans="2:6">
      <c r="B406" s="115" t="s">
        <v>2981</v>
      </c>
      <c r="C406" s="115" t="s">
        <v>2982</v>
      </c>
      <c r="D406" s="115" t="s">
        <v>2171</v>
      </c>
      <c r="E406" s="115" t="s">
        <v>29</v>
      </c>
      <c r="F406" s="115">
        <v>2</v>
      </c>
    </row>
    <row r="407" spans="2:6">
      <c r="B407" s="115" t="s">
        <v>2983</v>
      </c>
      <c r="C407" s="115" t="s">
        <v>2984</v>
      </c>
      <c r="D407" s="115" t="s">
        <v>2171</v>
      </c>
      <c r="E407" s="115" t="s">
        <v>29</v>
      </c>
      <c r="F407" s="115">
        <v>3</v>
      </c>
    </row>
    <row r="408" spans="2:6">
      <c r="B408" s="115" t="s">
        <v>2985</v>
      </c>
      <c r="C408" s="115" t="s">
        <v>2986</v>
      </c>
      <c r="D408" s="115" t="s">
        <v>2171</v>
      </c>
      <c r="E408" s="115" t="s">
        <v>29</v>
      </c>
      <c r="F408" s="115">
        <v>3</v>
      </c>
    </row>
    <row r="409" spans="2:6">
      <c r="B409" s="115" t="s">
        <v>2987</v>
      </c>
      <c r="C409" s="115" t="s">
        <v>2988</v>
      </c>
      <c r="D409" s="115" t="s">
        <v>2171</v>
      </c>
      <c r="E409" s="115" t="s">
        <v>29</v>
      </c>
      <c r="F409" s="115">
        <v>3</v>
      </c>
    </row>
    <row r="410" spans="2:6">
      <c r="B410" s="115" t="s">
        <v>2989</v>
      </c>
      <c r="C410" s="115" t="s">
        <v>2990</v>
      </c>
      <c r="D410" s="115" t="s">
        <v>2171</v>
      </c>
      <c r="E410" s="115" t="s">
        <v>29</v>
      </c>
      <c r="F410" s="115">
        <v>3</v>
      </c>
    </row>
    <row r="411" spans="2:6">
      <c r="B411" s="115" t="s">
        <v>2991</v>
      </c>
      <c r="C411" s="115" t="s">
        <v>2992</v>
      </c>
      <c r="D411" s="115" t="s">
        <v>2171</v>
      </c>
      <c r="E411" s="115" t="s">
        <v>29</v>
      </c>
      <c r="F411" s="115">
        <v>3</v>
      </c>
    </row>
    <row r="412" spans="2:6">
      <c r="B412" s="115" t="s">
        <v>2993</v>
      </c>
      <c r="C412" s="115" t="s">
        <v>2994</v>
      </c>
      <c r="D412" s="115" t="s">
        <v>2171</v>
      </c>
      <c r="E412" s="115" t="s">
        <v>29</v>
      </c>
      <c r="F412" s="115">
        <v>3</v>
      </c>
    </row>
    <row r="413" spans="2:6">
      <c r="B413" s="115" t="s">
        <v>2995</v>
      </c>
      <c r="C413" s="115" t="s">
        <v>2996</v>
      </c>
      <c r="D413" s="115" t="s">
        <v>2171</v>
      </c>
      <c r="E413" s="115" t="s">
        <v>29</v>
      </c>
      <c r="F413" s="115">
        <v>1</v>
      </c>
    </row>
    <row r="414" spans="2:6">
      <c r="B414" s="115" t="s">
        <v>2997</v>
      </c>
      <c r="C414" s="115" t="s">
        <v>2998</v>
      </c>
      <c r="D414" s="115" t="s">
        <v>2171</v>
      </c>
      <c r="E414" s="115" t="s">
        <v>29</v>
      </c>
      <c r="F414" s="115">
        <v>3</v>
      </c>
    </row>
    <row r="415" spans="2:6">
      <c r="B415" s="115" t="s">
        <v>2999</v>
      </c>
      <c r="C415" s="115" t="s">
        <v>3000</v>
      </c>
      <c r="D415" s="115" t="s">
        <v>2171</v>
      </c>
      <c r="E415" s="115" t="s">
        <v>29</v>
      </c>
      <c r="F415" s="115">
        <v>3</v>
      </c>
    </row>
    <row r="416" spans="2:6">
      <c r="B416" s="115" t="s">
        <v>3001</v>
      </c>
      <c r="C416" s="115" t="s">
        <v>3002</v>
      </c>
      <c r="D416" s="115" t="s">
        <v>2171</v>
      </c>
      <c r="E416" s="115" t="s">
        <v>29</v>
      </c>
      <c r="F416" s="115">
        <v>2</v>
      </c>
    </row>
    <row r="417" spans="2:6">
      <c r="B417" s="115" t="s">
        <v>3003</v>
      </c>
      <c r="C417" s="115" t="s">
        <v>3004</v>
      </c>
      <c r="D417" s="115" t="s">
        <v>2171</v>
      </c>
      <c r="E417" s="115" t="s">
        <v>29</v>
      </c>
      <c r="F417" s="115">
        <v>2</v>
      </c>
    </row>
    <row r="418" spans="2:6">
      <c r="B418" s="115" t="s">
        <v>3005</v>
      </c>
      <c r="C418" s="115" t="s">
        <v>3006</v>
      </c>
      <c r="D418" s="115" t="s">
        <v>2171</v>
      </c>
      <c r="E418" s="115" t="s">
        <v>29</v>
      </c>
      <c r="F418" s="115">
        <v>3</v>
      </c>
    </row>
    <row r="419" spans="2:6">
      <c r="B419" s="115" t="s">
        <v>3007</v>
      </c>
      <c r="C419" s="115" t="s">
        <v>3008</v>
      </c>
      <c r="D419" s="115" t="s">
        <v>2171</v>
      </c>
      <c r="E419" s="115" t="s">
        <v>29</v>
      </c>
      <c r="F419" s="115">
        <v>3</v>
      </c>
    </row>
    <row r="420" spans="2:6">
      <c r="B420" s="115" t="s">
        <v>3009</v>
      </c>
      <c r="C420" s="115" t="s">
        <v>3010</v>
      </c>
      <c r="D420" s="115" t="s">
        <v>2171</v>
      </c>
      <c r="E420" s="115" t="s">
        <v>29</v>
      </c>
      <c r="F420" s="115">
        <v>3</v>
      </c>
    </row>
    <row r="421" spans="2:6">
      <c r="B421" s="115" t="s">
        <v>3011</v>
      </c>
      <c r="C421" s="115" t="s">
        <v>3012</v>
      </c>
      <c r="D421" s="115" t="s">
        <v>2171</v>
      </c>
      <c r="E421" s="115" t="s">
        <v>29</v>
      </c>
      <c r="F421" s="115">
        <v>2</v>
      </c>
    </row>
    <row r="422" spans="2:6">
      <c r="B422" s="115" t="s">
        <v>3013</v>
      </c>
      <c r="C422" s="115" t="s">
        <v>3014</v>
      </c>
      <c r="D422" s="115" t="s">
        <v>2171</v>
      </c>
      <c r="E422" s="115" t="s">
        <v>29</v>
      </c>
      <c r="F422" s="115">
        <v>3</v>
      </c>
    </row>
    <row r="423" spans="2:6">
      <c r="B423" s="115" t="s">
        <v>3015</v>
      </c>
      <c r="C423" s="115" t="s">
        <v>3016</v>
      </c>
      <c r="D423" s="115" t="s">
        <v>2171</v>
      </c>
      <c r="E423" s="115" t="s">
        <v>29</v>
      </c>
      <c r="F423" s="115">
        <v>3</v>
      </c>
    </row>
    <row r="424" spans="2:6">
      <c r="B424" s="115" t="s">
        <v>3017</v>
      </c>
      <c r="C424" s="115" t="s">
        <v>3018</v>
      </c>
      <c r="D424" s="115" t="s">
        <v>2171</v>
      </c>
      <c r="E424" s="115" t="s">
        <v>29</v>
      </c>
      <c r="F424" s="115">
        <v>2</v>
      </c>
    </row>
    <row r="425" spans="2:6">
      <c r="B425" s="115" t="s">
        <v>3019</v>
      </c>
      <c r="C425" s="115" t="s">
        <v>3020</v>
      </c>
      <c r="D425" s="115" t="s">
        <v>2171</v>
      </c>
      <c r="E425" s="115" t="s">
        <v>29</v>
      </c>
      <c r="F425" s="115">
        <v>1</v>
      </c>
    </row>
    <row r="426" spans="2:6">
      <c r="B426" s="115" t="s">
        <v>3021</v>
      </c>
      <c r="C426" s="115" t="s">
        <v>3022</v>
      </c>
      <c r="D426" s="115" t="s">
        <v>2171</v>
      </c>
      <c r="E426" s="115" t="s">
        <v>29</v>
      </c>
      <c r="F426" s="115">
        <v>3</v>
      </c>
    </row>
    <row r="427" spans="2:6">
      <c r="B427" s="115" t="s">
        <v>3023</v>
      </c>
      <c r="C427" s="115" t="s">
        <v>3024</v>
      </c>
      <c r="D427" s="115" t="s">
        <v>2171</v>
      </c>
      <c r="E427" s="115" t="s">
        <v>29</v>
      </c>
      <c r="F427" s="115">
        <v>1</v>
      </c>
    </row>
    <row r="428" spans="2:6">
      <c r="B428" s="115" t="s">
        <v>3025</v>
      </c>
      <c r="C428" s="115" t="s">
        <v>3026</v>
      </c>
      <c r="D428" s="115" t="s">
        <v>2171</v>
      </c>
      <c r="E428" s="115" t="s">
        <v>29</v>
      </c>
      <c r="F428" s="115">
        <v>3</v>
      </c>
    </row>
    <row r="429" spans="2:6">
      <c r="B429" s="115" t="s">
        <v>3027</v>
      </c>
      <c r="C429" s="115" t="s">
        <v>3028</v>
      </c>
      <c r="D429" s="115" t="s">
        <v>2171</v>
      </c>
      <c r="E429" s="115" t="s">
        <v>29</v>
      </c>
      <c r="F429" s="115">
        <v>1</v>
      </c>
    </row>
    <row r="430" spans="2:6">
      <c r="B430" s="115" t="s">
        <v>3029</v>
      </c>
      <c r="C430" s="115" t="s">
        <v>3030</v>
      </c>
      <c r="D430" s="115" t="s">
        <v>2171</v>
      </c>
      <c r="E430" s="115" t="s">
        <v>29</v>
      </c>
      <c r="F430" s="115">
        <v>1</v>
      </c>
    </row>
    <row r="431" spans="2:6">
      <c r="B431" s="115" t="s">
        <v>3031</v>
      </c>
      <c r="C431" s="115" t="s">
        <v>3032</v>
      </c>
      <c r="D431" s="115" t="s">
        <v>2171</v>
      </c>
      <c r="E431" s="115" t="s">
        <v>29</v>
      </c>
      <c r="F431" s="115">
        <v>3</v>
      </c>
    </row>
    <row r="432" spans="2:6">
      <c r="B432" s="115" t="s">
        <v>3033</v>
      </c>
      <c r="C432" s="115" t="s">
        <v>3034</v>
      </c>
      <c r="D432" s="115" t="s">
        <v>2171</v>
      </c>
      <c r="E432" s="115" t="s">
        <v>29</v>
      </c>
      <c r="F432" s="115">
        <v>3</v>
      </c>
    </row>
    <row r="433" spans="2:6">
      <c r="B433" s="115" t="s">
        <v>3035</v>
      </c>
      <c r="C433" s="115" t="s">
        <v>3036</v>
      </c>
      <c r="D433" s="115" t="s">
        <v>2171</v>
      </c>
      <c r="E433" s="115" t="s">
        <v>29</v>
      </c>
      <c r="F433" s="115">
        <v>3</v>
      </c>
    </row>
    <row r="434" spans="2:6">
      <c r="B434" s="115" t="s">
        <v>3037</v>
      </c>
      <c r="C434" s="115" t="s">
        <v>3038</v>
      </c>
      <c r="D434" s="115" t="s">
        <v>2171</v>
      </c>
      <c r="E434" s="115" t="s">
        <v>29</v>
      </c>
      <c r="F434" s="115">
        <v>2</v>
      </c>
    </row>
    <row r="435" spans="2:6">
      <c r="B435" s="115" t="s">
        <v>3039</v>
      </c>
      <c r="C435" s="115" t="s">
        <v>3040</v>
      </c>
      <c r="D435" s="115" t="s">
        <v>2171</v>
      </c>
      <c r="E435" s="115" t="s">
        <v>29</v>
      </c>
      <c r="F435" s="115">
        <v>2</v>
      </c>
    </row>
    <row r="436" spans="2:6">
      <c r="B436" s="115" t="s">
        <v>3041</v>
      </c>
      <c r="C436" s="115" t="s">
        <v>3042</v>
      </c>
      <c r="D436" s="115" t="s">
        <v>2171</v>
      </c>
      <c r="E436" s="115" t="s">
        <v>29</v>
      </c>
      <c r="F436" s="115">
        <v>3</v>
      </c>
    </row>
    <row r="437" spans="2:6">
      <c r="B437" s="115" t="s">
        <v>3043</v>
      </c>
      <c r="C437" s="115" t="s">
        <v>3044</v>
      </c>
      <c r="D437" s="115" t="s">
        <v>2171</v>
      </c>
      <c r="E437" s="115" t="s">
        <v>29</v>
      </c>
      <c r="F437" s="115">
        <v>3</v>
      </c>
    </row>
    <row r="438" spans="2:6">
      <c r="B438" s="115" t="s">
        <v>3045</v>
      </c>
      <c r="C438" s="115" t="s">
        <v>3046</v>
      </c>
      <c r="D438" s="115" t="s">
        <v>2171</v>
      </c>
      <c r="E438" s="115" t="s">
        <v>29</v>
      </c>
      <c r="F438" s="115">
        <v>2</v>
      </c>
    </row>
    <row r="439" spans="2:6">
      <c r="B439" s="115" t="s">
        <v>3047</v>
      </c>
      <c r="C439" s="115" t="s">
        <v>3048</v>
      </c>
      <c r="D439" s="115" t="s">
        <v>2171</v>
      </c>
      <c r="E439" s="115" t="s">
        <v>29</v>
      </c>
      <c r="F439" s="115">
        <v>2</v>
      </c>
    </row>
    <row r="440" spans="2:6">
      <c r="B440" s="115" t="s">
        <v>3049</v>
      </c>
      <c r="C440" s="115" t="s">
        <v>3050</v>
      </c>
      <c r="D440" s="115" t="s">
        <v>2171</v>
      </c>
      <c r="E440" s="115" t="s">
        <v>2332</v>
      </c>
      <c r="F440" s="115">
        <v>3</v>
      </c>
    </row>
    <row r="441" spans="2:6">
      <c r="B441" s="115" t="s">
        <v>3051</v>
      </c>
      <c r="C441" s="115" t="s">
        <v>3052</v>
      </c>
      <c r="D441" s="115" t="s">
        <v>2171</v>
      </c>
      <c r="E441" s="115" t="s">
        <v>29</v>
      </c>
      <c r="F441" s="115">
        <v>3</v>
      </c>
    </row>
    <row r="442" spans="2:6">
      <c r="B442" s="115" t="s">
        <v>3053</v>
      </c>
      <c r="C442" s="115" t="s">
        <v>3054</v>
      </c>
      <c r="D442" s="115" t="s">
        <v>2171</v>
      </c>
      <c r="E442" s="115" t="s">
        <v>29</v>
      </c>
      <c r="F442" s="115">
        <v>3</v>
      </c>
    </row>
    <row r="443" spans="2:6">
      <c r="B443" s="115" t="s">
        <v>3055</v>
      </c>
      <c r="C443" s="115" t="s">
        <v>3056</v>
      </c>
      <c r="D443" s="115" t="s">
        <v>2171</v>
      </c>
      <c r="E443" s="115" t="s">
        <v>29</v>
      </c>
      <c r="F443" s="115">
        <v>3</v>
      </c>
    </row>
    <row r="444" spans="2:6">
      <c r="B444" s="115" t="s">
        <v>3057</v>
      </c>
      <c r="C444" s="115" t="s">
        <v>3058</v>
      </c>
      <c r="D444" s="115" t="s">
        <v>2171</v>
      </c>
      <c r="E444" s="115" t="s">
        <v>29</v>
      </c>
      <c r="F444" s="115">
        <v>3</v>
      </c>
    </row>
    <row r="445" spans="2:6">
      <c r="B445" s="115" t="s">
        <v>3059</v>
      </c>
      <c r="C445" s="115" t="s">
        <v>3060</v>
      </c>
      <c r="D445" s="115" t="s">
        <v>2171</v>
      </c>
      <c r="E445" s="115" t="s">
        <v>29</v>
      </c>
      <c r="F445" s="115">
        <v>3</v>
      </c>
    </row>
    <row r="446" spans="2:6">
      <c r="B446" s="115" t="s">
        <v>3061</v>
      </c>
      <c r="C446" s="115" t="s">
        <v>3062</v>
      </c>
      <c r="D446" s="115" t="s">
        <v>2171</v>
      </c>
      <c r="E446" s="115" t="s">
        <v>2332</v>
      </c>
      <c r="F446" s="115">
        <v>1</v>
      </c>
    </row>
    <row r="447" spans="2:6">
      <c r="B447" s="115" t="s">
        <v>3063</v>
      </c>
      <c r="C447" s="115" t="s">
        <v>3064</v>
      </c>
      <c r="D447" s="115" t="s">
        <v>2171</v>
      </c>
      <c r="E447" s="115" t="s">
        <v>2332</v>
      </c>
      <c r="F447" s="115">
        <v>3</v>
      </c>
    </row>
    <row r="448" spans="2:6">
      <c r="B448" s="115" t="s">
        <v>3065</v>
      </c>
      <c r="C448" s="115" t="s">
        <v>3066</v>
      </c>
      <c r="D448" s="115" t="s">
        <v>2171</v>
      </c>
      <c r="E448" s="115" t="s">
        <v>29</v>
      </c>
      <c r="F448" s="115">
        <v>2</v>
      </c>
    </row>
    <row r="449" spans="2:6">
      <c r="B449" s="115" t="s">
        <v>3067</v>
      </c>
      <c r="C449" s="115" t="s">
        <v>3068</v>
      </c>
      <c r="D449" s="115" t="s">
        <v>2171</v>
      </c>
      <c r="E449" s="115" t="s">
        <v>29</v>
      </c>
      <c r="F449" s="115">
        <v>1</v>
      </c>
    </row>
    <row r="450" spans="2:6">
      <c r="B450" s="115" t="s">
        <v>3069</v>
      </c>
      <c r="C450" s="115" t="s">
        <v>3070</v>
      </c>
      <c r="D450" s="115" t="s">
        <v>2171</v>
      </c>
      <c r="E450" s="115" t="s">
        <v>29</v>
      </c>
      <c r="F450" s="115">
        <v>2</v>
      </c>
    </row>
    <row r="451" spans="2:6">
      <c r="B451" s="115" t="s">
        <v>3071</v>
      </c>
      <c r="C451" s="115" t="s">
        <v>3072</v>
      </c>
      <c r="D451" s="115" t="s">
        <v>2171</v>
      </c>
      <c r="E451" s="115" t="s">
        <v>29</v>
      </c>
      <c r="F451" s="115">
        <v>1</v>
      </c>
    </row>
    <row r="452" spans="2:6">
      <c r="B452" s="115" t="s">
        <v>3073</v>
      </c>
      <c r="C452" s="115" t="s">
        <v>3074</v>
      </c>
      <c r="D452" s="115" t="s">
        <v>2171</v>
      </c>
      <c r="E452" s="115" t="s">
        <v>29</v>
      </c>
      <c r="F452" s="115">
        <v>1</v>
      </c>
    </row>
    <row r="453" spans="2:6">
      <c r="B453" s="115" t="s">
        <v>3075</v>
      </c>
      <c r="C453" s="115" t="s">
        <v>3076</v>
      </c>
      <c r="D453" s="115" t="s">
        <v>2171</v>
      </c>
      <c r="E453" s="115" t="s">
        <v>29</v>
      </c>
      <c r="F453" s="115">
        <v>3</v>
      </c>
    </row>
    <row r="454" spans="2:6">
      <c r="B454" s="115" t="s">
        <v>3077</v>
      </c>
      <c r="C454" s="115" t="s">
        <v>3078</v>
      </c>
      <c r="D454" s="115" t="s">
        <v>2171</v>
      </c>
      <c r="E454" s="115" t="s">
        <v>29</v>
      </c>
      <c r="F454" s="115">
        <v>1</v>
      </c>
    </row>
    <row r="455" spans="2:6">
      <c r="B455" s="115" t="s">
        <v>3079</v>
      </c>
      <c r="C455" s="115" t="s">
        <v>3080</v>
      </c>
      <c r="D455" s="115" t="s">
        <v>2171</v>
      </c>
      <c r="E455" s="115" t="s">
        <v>29</v>
      </c>
      <c r="F455" s="115">
        <v>3</v>
      </c>
    </row>
    <row r="456" spans="2:6">
      <c r="B456" s="115" t="s">
        <v>3081</v>
      </c>
      <c r="C456" s="115" t="s">
        <v>3082</v>
      </c>
      <c r="D456" s="115" t="s">
        <v>2171</v>
      </c>
      <c r="E456" s="115" t="s">
        <v>29</v>
      </c>
      <c r="F456" s="115">
        <v>3</v>
      </c>
    </row>
    <row r="457" spans="2:6">
      <c r="B457" s="115" t="s">
        <v>3083</v>
      </c>
      <c r="C457" s="115" t="s">
        <v>3084</v>
      </c>
      <c r="D457" s="115" t="s">
        <v>2171</v>
      </c>
      <c r="E457" s="115" t="s">
        <v>29</v>
      </c>
      <c r="F457" s="115">
        <v>3</v>
      </c>
    </row>
    <row r="458" spans="2:6">
      <c r="B458" s="115" t="s">
        <v>3085</v>
      </c>
      <c r="C458" s="115" t="s">
        <v>3086</v>
      </c>
      <c r="D458" s="115" t="s">
        <v>2171</v>
      </c>
      <c r="E458" s="115" t="s">
        <v>29</v>
      </c>
      <c r="F458" s="115">
        <v>3</v>
      </c>
    </row>
    <row r="459" spans="2:6">
      <c r="B459" s="115" t="s">
        <v>3087</v>
      </c>
      <c r="C459" s="115" t="s">
        <v>3088</v>
      </c>
      <c r="D459" s="115" t="s">
        <v>2171</v>
      </c>
      <c r="E459" s="115" t="s">
        <v>29</v>
      </c>
      <c r="F459" s="115">
        <v>3</v>
      </c>
    </row>
    <row r="460" spans="2:6">
      <c r="B460" s="115" t="s">
        <v>3089</v>
      </c>
      <c r="C460" s="115" t="s">
        <v>3090</v>
      </c>
      <c r="D460" s="115" t="s">
        <v>2171</v>
      </c>
      <c r="E460" s="115" t="s">
        <v>29</v>
      </c>
      <c r="F460" s="115">
        <v>3</v>
      </c>
    </row>
    <row r="461" spans="2:6">
      <c r="B461" s="115" t="s">
        <v>3091</v>
      </c>
      <c r="C461" s="115" t="s">
        <v>3092</v>
      </c>
      <c r="D461" s="115" t="s">
        <v>2171</v>
      </c>
      <c r="E461" s="115" t="s">
        <v>29</v>
      </c>
      <c r="F461" s="115">
        <v>3</v>
      </c>
    </row>
    <row r="462" spans="2:6">
      <c r="B462" s="115" t="s">
        <v>3093</v>
      </c>
      <c r="C462" s="115" t="s">
        <v>3094</v>
      </c>
      <c r="D462" s="115" t="s">
        <v>2171</v>
      </c>
      <c r="E462" s="115" t="s">
        <v>29</v>
      </c>
      <c r="F462" s="115">
        <v>1</v>
      </c>
    </row>
    <row r="463" spans="2:6">
      <c r="B463" s="115" t="s">
        <v>3095</v>
      </c>
      <c r="C463" s="115" t="s">
        <v>3096</v>
      </c>
      <c r="D463" s="115" t="s">
        <v>2171</v>
      </c>
      <c r="E463" s="115" t="s">
        <v>29</v>
      </c>
      <c r="F463" s="115">
        <v>3</v>
      </c>
    </row>
    <row r="464" spans="2:6">
      <c r="B464" s="115" t="s">
        <v>3097</v>
      </c>
      <c r="C464" s="115" t="s">
        <v>3098</v>
      </c>
      <c r="D464" s="115" t="s">
        <v>2171</v>
      </c>
      <c r="E464" s="115" t="s">
        <v>29</v>
      </c>
      <c r="F464" s="115">
        <v>3</v>
      </c>
    </row>
    <row r="465" spans="2:6">
      <c r="B465" s="115" t="s">
        <v>3099</v>
      </c>
      <c r="C465" s="115" t="s">
        <v>3100</v>
      </c>
      <c r="D465" s="115" t="s">
        <v>2171</v>
      </c>
      <c r="E465" s="115" t="s">
        <v>29</v>
      </c>
      <c r="F465" s="115">
        <v>3</v>
      </c>
    </row>
    <row r="466" spans="2:6">
      <c r="B466" s="115" t="s">
        <v>3101</v>
      </c>
      <c r="C466" s="115" t="s">
        <v>3102</v>
      </c>
      <c r="D466" s="115" t="s">
        <v>2171</v>
      </c>
      <c r="E466" s="115" t="s">
        <v>29</v>
      </c>
      <c r="F466" s="115">
        <v>3</v>
      </c>
    </row>
    <row r="467" spans="2:6">
      <c r="B467" s="115" t="s">
        <v>3103</v>
      </c>
      <c r="C467" s="115" t="s">
        <v>3104</v>
      </c>
      <c r="D467" s="115" t="s">
        <v>2171</v>
      </c>
      <c r="E467" s="115" t="s">
        <v>29</v>
      </c>
      <c r="F467" s="115">
        <v>3</v>
      </c>
    </row>
    <row r="468" spans="2:6">
      <c r="B468" s="115" t="s">
        <v>3105</v>
      </c>
      <c r="C468" s="115" t="s">
        <v>3106</v>
      </c>
      <c r="D468" s="115" t="s">
        <v>2171</v>
      </c>
      <c r="E468" s="115" t="s">
        <v>2332</v>
      </c>
      <c r="F468" s="115">
        <v>3</v>
      </c>
    </row>
    <row r="469" spans="2:6">
      <c r="B469" s="115" t="s">
        <v>3107</v>
      </c>
      <c r="C469" s="115" t="s">
        <v>3108</v>
      </c>
      <c r="D469" s="115" t="s">
        <v>2171</v>
      </c>
      <c r="E469" s="115" t="s">
        <v>29</v>
      </c>
      <c r="F469" s="115">
        <v>3</v>
      </c>
    </row>
    <row r="470" spans="2:6">
      <c r="B470" s="115" t="s">
        <v>3109</v>
      </c>
      <c r="C470" s="115" t="s">
        <v>3110</v>
      </c>
      <c r="D470" s="115" t="s">
        <v>2171</v>
      </c>
      <c r="E470" s="115" t="s">
        <v>29</v>
      </c>
      <c r="F470" s="115">
        <v>3</v>
      </c>
    </row>
    <row r="471" spans="2:6">
      <c r="B471" s="115" t="s">
        <v>3111</v>
      </c>
      <c r="C471" s="115" t="s">
        <v>3112</v>
      </c>
      <c r="D471" s="115" t="s">
        <v>2171</v>
      </c>
      <c r="E471" s="115" t="s">
        <v>29</v>
      </c>
      <c r="F471" s="115">
        <v>3</v>
      </c>
    </row>
    <row r="472" spans="2:6">
      <c r="B472" s="115" t="s">
        <v>3113</v>
      </c>
      <c r="C472" s="115" t="s">
        <v>3114</v>
      </c>
      <c r="D472" s="115" t="s">
        <v>2171</v>
      </c>
      <c r="E472" s="115" t="s">
        <v>29</v>
      </c>
      <c r="F472" s="115">
        <v>3</v>
      </c>
    </row>
    <row r="473" spans="2:6">
      <c r="B473" s="115" t="s">
        <v>3115</v>
      </c>
      <c r="C473" s="115" t="s">
        <v>3116</v>
      </c>
      <c r="D473" s="115" t="s">
        <v>2171</v>
      </c>
      <c r="E473" s="115" t="s">
        <v>29</v>
      </c>
      <c r="F473" s="115">
        <v>1</v>
      </c>
    </row>
    <row r="474" spans="2:6">
      <c r="B474" s="115" t="s">
        <v>3117</v>
      </c>
      <c r="C474" s="115" t="s">
        <v>3118</v>
      </c>
      <c r="D474" s="115" t="s">
        <v>2171</v>
      </c>
      <c r="E474" s="115" t="s">
        <v>29</v>
      </c>
      <c r="F474" s="115">
        <v>2</v>
      </c>
    </row>
    <row r="475" spans="2:6">
      <c r="B475" s="115" t="s">
        <v>3119</v>
      </c>
      <c r="C475" s="115" t="s">
        <v>3120</v>
      </c>
      <c r="D475" s="115" t="s">
        <v>2171</v>
      </c>
      <c r="E475" s="115" t="s">
        <v>29</v>
      </c>
      <c r="F475" s="115">
        <v>3</v>
      </c>
    </row>
    <row r="476" spans="2:6">
      <c r="B476" s="115" t="s">
        <v>3121</v>
      </c>
      <c r="C476" s="115" t="s">
        <v>3122</v>
      </c>
      <c r="D476" s="115" t="s">
        <v>2171</v>
      </c>
      <c r="E476" s="115" t="s">
        <v>29</v>
      </c>
      <c r="F476" s="115">
        <v>1</v>
      </c>
    </row>
    <row r="477" spans="2:6">
      <c r="B477" s="115" t="s">
        <v>3123</v>
      </c>
      <c r="C477" s="115" t="s">
        <v>3124</v>
      </c>
      <c r="D477" s="115" t="s">
        <v>2171</v>
      </c>
      <c r="E477" s="115" t="s">
        <v>29</v>
      </c>
      <c r="F477" s="115">
        <v>3</v>
      </c>
    </row>
    <row r="478" spans="2:6">
      <c r="B478" s="115" t="s">
        <v>3125</v>
      </c>
      <c r="C478" s="115" t="s">
        <v>3126</v>
      </c>
      <c r="D478" s="115" t="s">
        <v>2171</v>
      </c>
      <c r="E478" s="115" t="s">
        <v>29</v>
      </c>
      <c r="F478" s="115">
        <v>3</v>
      </c>
    </row>
    <row r="479" spans="2:6">
      <c r="B479" s="115" t="s">
        <v>3127</v>
      </c>
      <c r="C479" s="115" t="s">
        <v>3128</v>
      </c>
      <c r="D479" s="115" t="s">
        <v>2171</v>
      </c>
      <c r="E479" s="115" t="s">
        <v>29</v>
      </c>
      <c r="F479" s="115">
        <v>2</v>
      </c>
    </row>
    <row r="480" spans="2:6">
      <c r="B480" s="115" t="s">
        <v>3129</v>
      </c>
      <c r="C480" s="115" t="s">
        <v>3130</v>
      </c>
      <c r="D480" s="115" t="s">
        <v>2171</v>
      </c>
      <c r="E480" s="115" t="s">
        <v>29</v>
      </c>
      <c r="F480" s="115">
        <v>3</v>
      </c>
    </row>
    <row r="481" spans="2:6">
      <c r="B481" s="115" t="s">
        <v>3131</v>
      </c>
      <c r="C481" s="115" t="s">
        <v>3132</v>
      </c>
      <c r="D481" s="115" t="s">
        <v>2171</v>
      </c>
      <c r="E481" s="115" t="s">
        <v>29</v>
      </c>
      <c r="F481" s="115">
        <v>2</v>
      </c>
    </row>
    <row r="482" spans="2:6">
      <c r="B482" s="115" t="s">
        <v>3133</v>
      </c>
      <c r="C482" s="115" t="s">
        <v>3134</v>
      </c>
      <c r="D482" s="115" t="s">
        <v>2171</v>
      </c>
      <c r="E482" s="115" t="s">
        <v>29</v>
      </c>
      <c r="F482" s="115">
        <v>2</v>
      </c>
    </row>
    <row r="483" spans="2:6">
      <c r="B483" s="115" t="s">
        <v>3135</v>
      </c>
      <c r="C483" s="115" t="s">
        <v>3136</v>
      </c>
      <c r="D483" s="115" t="s">
        <v>2171</v>
      </c>
      <c r="E483" s="115" t="s">
        <v>29</v>
      </c>
      <c r="F483" s="115">
        <v>2</v>
      </c>
    </row>
    <row r="484" spans="2:6">
      <c r="B484" s="115" t="s">
        <v>3137</v>
      </c>
      <c r="C484" s="115" t="s">
        <v>3138</v>
      </c>
      <c r="D484" s="115" t="s">
        <v>2171</v>
      </c>
      <c r="E484" s="115" t="s">
        <v>29</v>
      </c>
      <c r="F484" s="115">
        <v>3</v>
      </c>
    </row>
    <row r="485" spans="2:6">
      <c r="B485" s="115" t="s">
        <v>3139</v>
      </c>
      <c r="C485" s="115" t="s">
        <v>3140</v>
      </c>
      <c r="D485" s="115" t="s">
        <v>2171</v>
      </c>
      <c r="E485" s="115" t="s">
        <v>29</v>
      </c>
      <c r="F485" s="115">
        <v>3</v>
      </c>
    </row>
    <row r="486" spans="2:6">
      <c r="B486" s="115" t="s">
        <v>3141</v>
      </c>
      <c r="C486" s="115" t="s">
        <v>3142</v>
      </c>
      <c r="D486" s="115" t="s">
        <v>2171</v>
      </c>
      <c r="E486" s="115" t="s">
        <v>29</v>
      </c>
      <c r="F486" s="115">
        <v>3</v>
      </c>
    </row>
    <row r="487" spans="2:6">
      <c r="B487" s="115" t="s">
        <v>3143</v>
      </c>
      <c r="C487" s="115" t="s">
        <v>3144</v>
      </c>
      <c r="D487" s="115" t="s">
        <v>2171</v>
      </c>
      <c r="E487" s="115" t="s">
        <v>29</v>
      </c>
      <c r="F487" s="115">
        <v>3</v>
      </c>
    </row>
    <row r="488" spans="2:6">
      <c r="B488" s="115" t="s">
        <v>3145</v>
      </c>
      <c r="C488" s="115" t="s">
        <v>3146</v>
      </c>
      <c r="D488" s="115" t="s">
        <v>2171</v>
      </c>
      <c r="E488" s="115" t="s">
        <v>29</v>
      </c>
      <c r="F488" s="115">
        <v>1</v>
      </c>
    </row>
    <row r="489" spans="2:6">
      <c r="B489" s="115" t="s">
        <v>3147</v>
      </c>
      <c r="C489" s="115" t="s">
        <v>3148</v>
      </c>
      <c r="D489" s="115" t="s">
        <v>2171</v>
      </c>
      <c r="E489" s="115" t="s">
        <v>29</v>
      </c>
      <c r="F489" s="115">
        <v>2</v>
      </c>
    </row>
    <row r="490" spans="2:6">
      <c r="B490" s="115" t="s">
        <v>3149</v>
      </c>
      <c r="C490" s="115" t="s">
        <v>3150</v>
      </c>
      <c r="D490" s="115" t="s">
        <v>2171</v>
      </c>
      <c r="E490" s="115" t="s">
        <v>29</v>
      </c>
      <c r="F490" s="115">
        <v>3</v>
      </c>
    </row>
    <row r="491" spans="2:6">
      <c r="B491" s="115" t="s">
        <v>3151</v>
      </c>
      <c r="C491" s="115" t="s">
        <v>3152</v>
      </c>
      <c r="D491" s="115" t="s">
        <v>2171</v>
      </c>
      <c r="E491" s="115" t="s">
        <v>29</v>
      </c>
      <c r="F491" s="115">
        <v>1</v>
      </c>
    </row>
    <row r="492" spans="2:6">
      <c r="B492" s="115" t="s">
        <v>3153</v>
      </c>
      <c r="C492" s="115" t="s">
        <v>3154</v>
      </c>
      <c r="D492" s="115" t="s">
        <v>2171</v>
      </c>
      <c r="E492" s="115" t="s">
        <v>29</v>
      </c>
      <c r="F492" s="115">
        <v>3</v>
      </c>
    </row>
    <row r="493" spans="2:6">
      <c r="B493" s="115" t="s">
        <v>3155</v>
      </c>
      <c r="C493" s="115" t="s">
        <v>3156</v>
      </c>
      <c r="D493" s="115" t="s">
        <v>2171</v>
      </c>
      <c r="E493" s="115" t="s">
        <v>29</v>
      </c>
      <c r="F493" s="115">
        <v>3</v>
      </c>
    </row>
    <row r="494" spans="2:6">
      <c r="B494" s="115" t="s">
        <v>3157</v>
      </c>
      <c r="C494" s="115" t="s">
        <v>3158</v>
      </c>
      <c r="D494" s="115" t="s">
        <v>2171</v>
      </c>
      <c r="E494" s="115" t="s">
        <v>29</v>
      </c>
      <c r="F494" s="115">
        <v>3</v>
      </c>
    </row>
    <row r="495" spans="2:6">
      <c r="B495" s="115" t="s">
        <v>3159</v>
      </c>
      <c r="C495" s="115" t="s">
        <v>3160</v>
      </c>
      <c r="D495" s="115" t="s">
        <v>2171</v>
      </c>
      <c r="E495" s="115" t="s">
        <v>29</v>
      </c>
      <c r="F495" s="115">
        <v>1</v>
      </c>
    </row>
    <row r="496" spans="2:6">
      <c r="B496" s="115" t="s">
        <v>3161</v>
      </c>
      <c r="C496" s="115" t="s">
        <v>3162</v>
      </c>
      <c r="D496" s="115" t="s">
        <v>2171</v>
      </c>
      <c r="E496" s="115" t="s">
        <v>29</v>
      </c>
      <c r="F496" s="115">
        <v>1</v>
      </c>
    </row>
    <row r="497" spans="2:6">
      <c r="B497" s="115" t="s">
        <v>3163</v>
      </c>
      <c r="C497" s="115" t="s">
        <v>3164</v>
      </c>
      <c r="D497" s="115" t="s">
        <v>2171</v>
      </c>
      <c r="E497" s="115" t="s">
        <v>29</v>
      </c>
      <c r="F497" s="115">
        <v>3</v>
      </c>
    </row>
    <row r="498" spans="2:6">
      <c r="B498" s="115" t="s">
        <v>3165</v>
      </c>
      <c r="C498" s="115" t="s">
        <v>3166</v>
      </c>
      <c r="D498" s="115" t="s">
        <v>2171</v>
      </c>
      <c r="E498" s="115" t="s">
        <v>29</v>
      </c>
      <c r="F498" s="115">
        <v>3</v>
      </c>
    </row>
    <row r="499" spans="2:6">
      <c r="B499" s="115" t="s">
        <v>3167</v>
      </c>
      <c r="C499" s="115" t="s">
        <v>3168</v>
      </c>
      <c r="D499" s="115" t="s">
        <v>2171</v>
      </c>
      <c r="E499" s="115" t="s">
        <v>29</v>
      </c>
      <c r="F499" s="115">
        <v>3</v>
      </c>
    </row>
    <row r="500" spans="2:6">
      <c r="B500" s="115" t="s">
        <v>3169</v>
      </c>
      <c r="C500" s="115" t="s">
        <v>3170</v>
      </c>
      <c r="D500" s="115" t="s">
        <v>2171</v>
      </c>
      <c r="E500" s="115" t="s">
        <v>29</v>
      </c>
      <c r="F500" s="115">
        <v>2</v>
      </c>
    </row>
    <row r="501" spans="2:6">
      <c r="B501" s="115" t="s">
        <v>3171</v>
      </c>
      <c r="C501" s="115" t="s">
        <v>3172</v>
      </c>
      <c r="D501" s="115" t="s">
        <v>2171</v>
      </c>
      <c r="E501" s="115" t="s">
        <v>29</v>
      </c>
      <c r="F501" s="115">
        <v>3</v>
      </c>
    </row>
    <row r="502" spans="2:6">
      <c r="B502" s="115" t="s">
        <v>3173</v>
      </c>
      <c r="C502" s="115" t="s">
        <v>3174</v>
      </c>
      <c r="D502" s="115" t="s">
        <v>2171</v>
      </c>
      <c r="E502" s="115" t="s">
        <v>29</v>
      </c>
      <c r="F502" s="115">
        <v>3</v>
      </c>
    </row>
    <row r="503" spans="2:6">
      <c r="B503" s="115" t="s">
        <v>3175</v>
      </c>
      <c r="C503" s="115" t="s">
        <v>3176</v>
      </c>
      <c r="D503" s="115" t="s">
        <v>2171</v>
      </c>
      <c r="E503" s="115" t="s">
        <v>29</v>
      </c>
      <c r="F503" s="115">
        <v>2</v>
      </c>
    </row>
    <row r="504" spans="2:6">
      <c r="B504" s="115" t="s">
        <v>3177</v>
      </c>
      <c r="C504" s="115" t="s">
        <v>3178</v>
      </c>
      <c r="D504" s="115" t="s">
        <v>2171</v>
      </c>
      <c r="E504" s="115" t="s">
        <v>29</v>
      </c>
      <c r="F504" s="115">
        <v>3</v>
      </c>
    </row>
    <row r="505" spans="2:6">
      <c r="B505" s="115" t="s">
        <v>3179</v>
      </c>
      <c r="C505" s="115" t="s">
        <v>3180</v>
      </c>
      <c r="D505" s="115" t="s">
        <v>2171</v>
      </c>
      <c r="E505" s="115" t="s">
        <v>29</v>
      </c>
      <c r="F505" s="115">
        <v>3</v>
      </c>
    </row>
    <row r="506" spans="2:6">
      <c r="B506" s="115" t="s">
        <v>3181</v>
      </c>
      <c r="C506" s="115" t="s">
        <v>3182</v>
      </c>
      <c r="D506" s="115" t="s">
        <v>2171</v>
      </c>
      <c r="E506" s="115" t="s">
        <v>29</v>
      </c>
      <c r="F506" s="115">
        <v>2</v>
      </c>
    </row>
    <row r="507" spans="2:6">
      <c r="B507" s="115" t="s">
        <v>3183</v>
      </c>
      <c r="C507" s="115" t="s">
        <v>3184</v>
      </c>
      <c r="D507" s="115" t="s">
        <v>2171</v>
      </c>
      <c r="E507" s="115" t="s">
        <v>29</v>
      </c>
      <c r="F507" s="115">
        <v>1</v>
      </c>
    </row>
    <row r="508" spans="2:6">
      <c r="B508" s="115" t="s">
        <v>3185</v>
      </c>
      <c r="C508" s="115" t="s">
        <v>3186</v>
      </c>
      <c r="D508" s="115" t="s">
        <v>2171</v>
      </c>
      <c r="E508" s="115" t="s">
        <v>29</v>
      </c>
      <c r="F508" s="115">
        <v>3</v>
      </c>
    </row>
    <row r="509" spans="2:6">
      <c r="B509" s="115" t="s">
        <v>3187</v>
      </c>
      <c r="C509" s="115" t="s">
        <v>3188</v>
      </c>
      <c r="D509" s="115" t="s">
        <v>2171</v>
      </c>
      <c r="E509" s="115" t="s">
        <v>29</v>
      </c>
      <c r="F509" s="115">
        <v>2</v>
      </c>
    </row>
    <row r="510" spans="2:6">
      <c r="B510" s="115" t="s">
        <v>3189</v>
      </c>
      <c r="C510" s="115" t="s">
        <v>3190</v>
      </c>
      <c r="D510" s="115" t="s">
        <v>2171</v>
      </c>
      <c r="E510" s="115" t="s">
        <v>29</v>
      </c>
      <c r="F510" s="115">
        <v>1</v>
      </c>
    </row>
    <row r="511" spans="2:6">
      <c r="B511" s="115" t="s">
        <v>3191</v>
      </c>
      <c r="C511" s="115" t="s">
        <v>3192</v>
      </c>
      <c r="D511" s="115" t="s">
        <v>2171</v>
      </c>
      <c r="E511" s="115" t="s">
        <v>29</v>
      </c>
      <c r="F511" s="115">
        <v>2</v>
      </c>
    </row>
    <row r="512" spans="2:6">
      <c r="B512" s="115" t="s">
        <v>3193</v>
      </c>
      <c r="C512" s="115" t="s">
        <v>3194</v>
      </c>
      <c r="D512" s="115" t="s">
        <v>2171</v>
      </c>
      <c r="E512" s="115" t="s">
        <v>29</v>
      </c>
      <c r="F512" s="115">
        <v>1</v>
      </c>
    </row>
    <row r="513" spans="2:6">
      <c r="B513" s="115" t="s">
        <v>3195</v>
      </c>
      <c r="C513" s="115" t="s">
        <v>3196</v>
      </c>
      <c r="D513" s="115" t="s">
        <v>2171</v>
      </c>
      <c r="E513" s="115" t="s">
        <v>29</v>
      </c>
      <c r="F513" s="115">
        <v>1</v>
      </c>
    </row>
    <row r="514" spans="2:6">
      <c r="B514" s="115" t="s">
        <v>3197</v>
      </c>
      <c r="C514" s="115" t="s">
        <v>3198</v>
      </c>
      <c r="D514" s="115" t="s">
        <v>2171</v>
      </c>
      <c r="E514" s="115" t="s">
        <v>29</v>
      </c>
      <c r="F514" s="115">
        <v>1</v>
      </c>
    </row>
    <row r="515" spans="2:6">
      <c r="B515" s="115" t="s">
        <v>3199</v>
      </c>
      <c r="C515" s="115" t="s">
        <v>3200</v>
      </c>
      <c r="D515" s="115" t="s">
        <v>2171</v>
      </c>
      <c r="E515" s="115" t="s">
        <v>29</v>
      </c>
      <c r="F515" s="115">
        <v>1</v>
      </c>
    </row>
    <row r="516" spans="2:6">
      <c r="B516" s="115" t="s">
        <v>3201</v>
      </c>
      <c r="C516" s="115" t="s">
        <v>3202</v>
      </c>
      <c r="D516" s="115" t="s">
        <v>2171</v>
      </c>
      <c r="E516" s="115" t="s">
        <v>29</v>
      </c>
      <c r="F516" s="115">
        <v>3</v>
      </c>
    </row>
    <row r="517" spans="2:6">
      <c r="B517" s="115" t="s">
        <v>3203</v>
      </c>
      <c r="C517" s="115" t="s">
        <v>3204</v>
      </c>
      <c r="D517" s="115" t="s">
        <v>2171</v>
      </c>
      <c r="E517" s="115" t="s">
        <v>29</v>
      </c>
      <c r="F517" s="115">
        <v>1</v>
      </c>
    </row>
    <row r="518" spans="2:6">
      <c r="B518" s="115" t="s">
        <v>3205</v>
      </c>
      <c r="C518" s="115" t="s">
        <v>3206</v>
      </c>
      <c r="D518" s="115" t="s">
        <v>2171</v>
      </c>
      <c r="E518" s="115" t="s">
        <v>29</v>
      </c>
      <c r="F518" s="115">
        <v>1</v>
      </c>
    </row>
    <row r="519" spans="2:6">
      <c r="B519" s="115" t="s">
        <v>3207</v>
      </c>
      <c r="C519" s="115" t="s">
        <v>3208</v>
      </c>
      <c r="D519" s="115" t="s">
        <v>2171</v>
      </c>
      <c r="E519" s="115" t="s">
        <v>29</v>
      </c>
      <c r="F519" s="115">
        <v>1</v>
      </c>
    </row>
    <row r="520" spans="2:6">
      <c r="B520" s="115" t="s">
        <v>3209</v>
      </c>
      <c r="C520" s="115" t="s">
        <v>3210</v>
      </c>
      <c r="D520" s="115" t="s">
        <v>2171</v>
      </c>
      <c r="E520" s="115" t="s">
        <v>29</v>
      </c>
      <c r="F520" s="115">
        <v>2</v>
      </c>
    </row>
    <row r="521" spans="2:6">
      <c r="B521" s="115" t="s">
        <v>3211</v>
      </c>
      <c r="C521" s="115" t="s">
        <v>3212</v>
      </c>
      <c r="D521" s="115" t="s">
        <v>2171</v>
      </c>
      <c r="E521" s="115" t="s">
        <v>29</v>
      </c>
      <c r="F521" s="115">
        <v>3</v>
      </c>
    </row>
    <row r="522" spans="2:6">
      <c r="B522" s="115" t="s">
        <v>3213</v>
      </c>
      <c r="C522" s="115" t="s">
        <v>3214</v>
      </c>
      <c r="D522" s="115" t="s">
        <v>2171</v>
      </c>
      <c r="E522" s="115" t="s">
        <v>29</v>
      </c>
      <c r="F522" s="115">
        <v>3</v>
      </c>
    </row>
    <row r="523" spans="2:6">
      <c r="B523" s="115" t="s">
        <v>3215</v>
      </c>
      <c r="C523" s="115" t="s">
        <v>3216</v>
      </c>
      <c r="D523" s="115" t="s">
        <v>2171</v>
      </c>
      <c r="E523" s="115" t="s">
        <v>29</v>
      </c>
      <c r="F523" s="115">
        <v>1</v>
      </c>
    </row>
    <row r="524" spans="2:6">
      <c r="B524" s="115" t="s">
        <v>3217</v>
      </c>
      <c r="C524" s="115" t="s">
        <v>3218</v>
      </c>
      <c r="D524" s="115" t="s">
        <v>2171</v>
      </c>
      <c r="E524" s="115" t="s">
        <v>29</v>
      </c>
      <c r="F524" s="115">
        <v>1</v>
      </c>
    </row>
    <row r="525" spans="2:6">
      <c r="B525" s="115" t="s">
        <v>3219</v>
      </c>
      <c r="C525" s="115" t="s">
        <v>3220</v>
      </c>
      <c r="D525" s="115" t="s">
        <v>2171</v>
      </c>
      <c r="E525" s="115" t="s">
        <v>29</v>
      </c>
      <c r="F525" s="115">
        <v>3</v>
      </c>
    </row>
    <row r="526" spans="2:6">
      <c r="B526" s="115" t="s">
        <v>3221</v>
      </c>
      <c r="C526" s="115" t="s">
        <v>3222</v>
      </c>
      <c r="D526" s="115" t="s">
        <v>2171</v>
      </c>
      <c r="E526" s="115" t="s">
        <v>29</v>
      </c>
      <c r="F526" s="115">
        <v>2</v>
      </c>
    </row>
    <row r="527" spans="2:6">
      <c r="B527" s="115" t="s">
        <v>3223</v>
      </c>
      <c r="C527" s="115" t="s">
        <v>3224</v>
      </c>
      <c r="D527" s="115" t="s">
        <v>2171</v>
      </c>
      <c r="E527" s="115" t="s">
        <v>29</v>
      </c>
      <c r="F527" s="115">
        <v>1</v>
      </c>
    </row>
    <row r="528" spans="2:6">
      <c r="B528" s="115" t="s">
        <v>3225</v>
      </c>
      <c r="C528" s="115" t="s">
        <v>3226</v>
      </c>
      <c r="D528" s="115" t="s">
        <v>2171</v>
      </c>
      <c r="E528" s="115" t="s">
        <v>29</v>
      </c>
      <c r="F528" s="115">
        <v>1</v>
      </c>
    </row>
    <row r="529" spans="2:6">
      <c r="B529" s="115" t="s">
        <v>3227</v>
      </c>
      <c r="C529" s="115" t="s">
        <v>3228</v>
      </c>
      <c r="D529" s="115" t="s">
        <v>2171</v>
      </c>
      <c r="E529" s="115" t="s">
        <v>29</v>
      </c>
      <c r="F529" s="115">
        <v>2</v>
      </c>
    </row>
    <row r="530" spans="2:6">
      <c r="B530" s="115" t="s">
        <v>3229</v>
      </c>
      <c r="C530" s="115" t="s">
        <v>3230</v>
      </c>
      <c r="D530" s="115" t="s">
        <v>2171</v>
      </c>
      <c r="E530" s="115" t="s">
        <v>29</v>
      </c>
      <c r="F530" s="115">
        <v>3</v>
      </c>
    </row>
    <row r="531" spans="2:6">
      <c r="B531" s="115" t="s">
        <v>3231</v>
      </c>
      <c r="C531" s="115" t="s">
        <v>3232</v>
      </c>
      <c r="D531" s="115" t="s">
        <v>2171</v>
      </c>
      <c r="E531" s="115" t="s">
        <v>29</v>
      </c>
      <c r="F531" s="115">
        <v>3</v>
      </c>
    </row>
    <row r="532" spans="2:6">
      <c r="B532" s="115" t="s">
        <v>3233</v>
      </c>
      <c r="C532" s="115" t="s">
        <v>3234</v>
      </c>
      <c r="D532" s="115" t="s">
        <v>2171</v>
      </c>
      <c r="E532" s="115" t="s">
        <v>29</v>
      </c>
      <c r="F532" s="115">
        <v>1</v>
      </c>
    </row>
    <row r="533" spans="2:6">
      <c r="B533" s="115" t="s">
        <v>3235</v>
      </c>
      <c r="C533" s="115" t="s">
        <v>3236</v>
      </c>
      <c r="D533" s="115" t="s">
        <v>2171</v>
      </c>
      <c r="E533" s="115" t="s">
        <v>29</v>
      </c>
      <c r="F533" s="115">
        <v>3</v>
      </c>
    </row>
    <row r="534" spans="2:6">
      <c r="B534" s="115" t="s">
        <v>3237</v>
      </c>
      <c r="C534" s="115" t="s">
        <v>3238</v>
      </c>
      <c r="D534" s="115" t="s">
        <v>2171</v>
      </c>
      <c r="E534" s="115" t="s">
        <v>2332</v>
      </c>
      <c r="F534" s="115">
        <v>1</v>
      </c>
    </row>
    <row r="535" spans="2:6">
      <c r="B535" s="115" t="s">
        <v>3239</v>
      </c>
      <c r="C535" s="115" t="s">
        <v>3240</v>
      </c>
      <c r="D535" s="115" t="s">
        <v>2171</v>
      </c>
      <c r="E535" s="115" t="s">
        <v>29</v>
      </c>
      <c r="F535" s="115">
        <v>2</v>
      </c>
    </row>
    <row r="536" spans="2:6">
      <c r="B536" s="115" t="s">
        <v>3241</v>
      </c>
      <c r="C536" s="115" t="s">
        <v>3242</v>
      </c>
      <c r="D536" s="115" t="s">
        <v>2171</v>
      </c>
      <c r="E536" s="115" t="s">
        <v>29</v>
      </c>
      <c r="F536" s="115">
        <v>3</v>
      </c>
    </row>
    <row r="537" spans="2:6">
      <c r="B537" s="115" t="s">
        <v>3243</v>
      </c>
      <c r="C537" s="115" t="s">
        <v>3244</v>
      </c>
      <c r="D537" s="115" t="s">
        <v>2171</v>
      </c>
      <c r="E537" s="115" t="s">
        <v>29</v>
      </c>
      <c r="F537" s="115">
        <v>1</v>
      </c>
    </row>
    <row r="538" spans="2:6">
      <c r="B538" s="115" t="s">
        <v>3245</v>
      </c>
      <c r="C538" s="115" t="s">
        <v>3246</v>
      </c>
      <c r="D538" s="115" t="s">
        <v>2171</v>
      </c>
      <c r="E538" s="115" t="s">
        <v>29</v>
      </c>
      <c r="F538" s="115">
        <v>3</v>
      </c>
    </row>
    <row r="539" spans="2:6">
      <c r="B539" s="115" t="s">
        <v>3247</v>
      </c>
      <c r="C539" s="115" t="s">
        <v>3248</v>
      </c>
      <c r="D539" s="115" t="s">
        <v>2171</v>
      </c>
      <c r="E539" s="115" t="s">
        <v>29</v>
      </c>
      <c r="F539" s="115">
        <v>3</v>
      </c>
    </row>
    <row r="540" spans="2:6">
      <c r="B540" s="115" t="s">
        <v>3249</v>
      </c>
      <c r="C540" s="115" t="s">
        <v>3250</v>
      </c>
      <c r="D540" s="115" t="s">
        <v>2171</v>
      </c>
      <c r="E540" s="115" t="s">
        <v>29</v>
      </c>
      <c r="F540" s="115">
        <v>1</v>
      </c>
    </row>
    <row r="541" spans="2:6">
      <c r="B541" s="115" t="s">
        <v>3251</v>
      </c>
      <c r="C541" s="115" t="s">
        <v>3252</v>
      </c>
      <c r="D541" s="115" t="s">
        <v>2171</v>
      </c>
      <c r="E541" s="115" t="s">
        <v>29</v>
      </c>
      <c r="F541" s="115">
        <v>1</v>
      </c>
    </row>
    <row r="542" spans="2:6">
      <c r="B542" s="115" t="s">
        <v>3253</v>
      </c>
      <c r="C542" s="115" t="s">
        <v>3254</v>
      </c>
      <c r="D542" s="115" t="s">
        <v>2171</v>
      </c>
      <c r="E542" s="115" t="s">
        <v>29</v>
      </c>
      <c r="F542" s="115">
        <v>1</v>
      </c>
    </row>
    <row r="543" spans="2:6">
      <c r="B543" s="115" t="s">
        <v>3255</v>
      </c>
      <c r="C543" s="115" t="s">
        <v>3256</v>
      </c>
      <c r="D543" s="115" t="s">
        <v>2171</v>
      </c>
      <c r="E543" s="115" t="s">
        <v>29</v>
      </c>
      <c r="F543" s="115">
        <v>1</v>
      </c>
    </row>
    <row r="544" spans="2:6">
      <c r="B544" s="115" t="s">
        <v>3257</v>
      </c>
      <c r="C544" s="115" t="s">
        <v>3258</v>
      </c>
      <c r="D544" s="115" t="s">
        <v>2171</v>
      </c>
      <c r="E544" s="115" t="s">
        <v>2332</v>
      </c>
      <c r="F544" s="115">
        <v>3</v>
      </c>
    </row>
    <row r="545" spans="2:6">
      <c r="B545" s="115" t="s">
        <v>3259</v>
      </c>
      <c r="C545" s="115" t="s">
        <v>3260</v>
      </c>
      <c r="D545" s="115" t="s">
        <v>2171</v>
      </c>
      <c r="E545" s="115" t="s">
        <v>29</v>
      </c>
      <c r="F545" s="115">
        <v>3</v>
      </c>
    </row>
    <row r="546" spans="2:6">
      <c r="B546" s="115" t="s">
        <v>3261</v>
      </c>
      <c r="C546" s="115" t="s">
        <v>3262</v>
      </c>
      <c r="D546" s="115" t="s">
        <v>2171</v>
      </c>
      <c r="E546" s="115" t="s">
        <v>29</v>
      </c>
      <c r="F546" s="115">
        <v>3</v>
      </c>
    </row>
    <row r="547" spans="2:6">
      <c r="B547" s="115" t="s">
        <v>3263</v>
      </c>
      <c r="C547" s="115" t="s">
        <v>3264</v>
      </c>
      <c r="D547" s="115" t="s">
        <v>2171</v>
      </c>
      <c r="E547" s="115" t="s">
        <v>29</v>
      </c>
      <c r="F547" s="115">
        <v>3</v>
      </c>
    </row>
    <row r="548" spans="2:6">
      <c r="B548" s="115" t="s">
        <v>3265</v>
      </c>
      <c r="C548" s="115" t="s">
        <v>3266</v>
      </c>
      <c r="D548" s="115" t="s">
        <v>2171</v>
      </c>
      <c r="E548" s="115" t="s">
        <v>29</v>
      </c>
      <c r="F548" s="115">
        <v>3</v>
      </c>
    </row>
    <row r="549" spans="2:6">
      <c r="B549" s="115" t="s">
        <v>3267</v>
      </c>
      <c r="C549" s="115" t="s">
        <v>3268</v>
      </c>
      <c r="D549" s="115" t="s">
        <v>2171</v>
      </c>
      <c r="E549" s="115" t="s">
        <v>29</v>
      </c>
      <c r="F549" s="115">
        <v>3</v>
      </c>
    </row>
    <row r="550" spans="2:6">
      <c r="B550" s="115" t="s">
        <v>3269</v>
      </c>
      <c r="C550" s="115" t="s">
        <v>3270</v>
      </c>
      <c r="D550" s="115" t="s">
        <v>2171</v>
      </c>
      <c r="E550" s="115" t="s">
        <v>29</v>
      </c>
      <c r="F550" s="115">
        <v>3</v>
      </c>
    </row>
    <row r="551" spans="2:6">
      <c r="B551" s="115" t="s">
        <v>3271</v>
      </c>
      <c r="C551" s="115" t="s">
        <v>3272</v>
      </c>
      <c r="D551" s="115" t="s">
        <v>2171</v>
      </c>
      <c r="E551" s="115" t="s">
        <v>29</v>
      </c>
      <c r="F551" s="115">
        <v>3</v>
      </c>
    </row>
    <row r="552" spans="2:6">
      <c r="B552" s="115" t="s">
        <v>3273</v>
      </c>
      <c r="C552" s="115" t="s">
        <v>3274</v>
      </c>
      <c r="D552" s="115" t="s">
        <v>2171</v>
      </c>
      <c r="E552" s="115" t="s">
        <v>29</v>
      </c>
      <c r="F552" s="115">
        <v>3</v>
      </c>
    </row>
    <row r="553" spans="2:6">
      <c r="B553" s="115" t="s">
        <v>3275</v>
      </c>
      <c r="C553" s="115" t="s">
        <v>3276</v>
      </c>
      <c r="D553" s="115" t="s">
        <v>2171</v>
      </c>
      <c r="E553" s="115" t="s">
        <v>29</v>
      </c>
      <c r="F553" s="115">
        <v>3</v>
      </c>
    </row>
    <row r="554" spans="2:6">
      <c r="B554" s="115" t="s">
        <v>3277</v>
      </c>
      <c r="C554" s="115" t="s">
        <v>3278</v>
      </c>
      <c r="D554" s="115" t="s">
        <v>2171</v>
      </c>
      <c r="E554" s="115" t="s">
        <v>29</v>
      </c>
      <c r="F554" s="115">
        <v>1</v>
      </c>
    </row>
    <row r="555" spans="2:6">
      <c r="B555" s="115" t="s">
        <v>3279</v>
      </c>
      <c r="C555" s="115" t="s">
        <v>3280</v>
      </c>
      <c r="D555" s="115" t="s">
        <v>2171</v>
      </c>
      <c r="E555" s="115" t="s">
        <v>29</v>
      </c>
      <c r="F555" s="115">
        <v>1</v>
      </c>
    </row>
    <row r="556" spans="2:6">
      <c r="B556" s="115" t="s">
        <v>3281</v>
      </c>
      <c r="C556" s="115" t="s">
        <v>3282</v>
      </c>
      <c r="D556" s="115" t="s">
        <v>2171</v>
      </c>
      <c r="E556" s="115" t="s">
        <v>29</v>
      </c>
      <c r="F556" s="115">
        <v>3</v>
      </c>
    </row>
    <row r="557" spans="2:6">
      <c r="B557" s="115" t="s">
        <v>3283</v>
      </c>
      <c r="C557" s="115" t="s">
        <v>3284</v>
      </c>
      <c r="D557" s="115" t="s">
        <v>2171</v>
      </c>
      <c r="E557" s="115" t="s">
        <v>29</v>
      </c>
      <c r="F557" s="115">
        <v>2</v>
      </c>
    </row>
    <row r="558" spans="2:6">
      <c r="B558" s="115" t="s">
        <v>3285</v>
      </c>
      <c r="C558" s="115" t="s">
        <v>3286</v>
      </c>
      <c r="D558" s="115" t="s">
        <v>2171</v>
      </c>
      <c r="E558" s="115" t="s">
        <v>29</v>
      </c>
      <c r="F558" s="115">
        <v>2</v>
      </c>
    </row>
    <row r="559" spans="2:6">
      <c r="B559" s="115" t="s">
        <v>3287</v>
      </c>
      <c r="C559" s="115" t="s">
        <v>3288</v>
      </c>
      <c r="D559" s="115" t="s">
        <v>2171</v>
      </c>
      <c r="E559" s="115" t="s">
        <v>29</v>
      </c>
      <c r="F559" s="115">
        <v>3</v>
      </c>
    </row>
    <row r="560" spans="2:6">
      <c r="B560" s="115" t="s">
        <v>3289</v>
      </c>
      <c r="C560" s="115" t="s">
        <v>3290</v>
      </c>
      <c r="D560" s="115" t="s">
        <v>2171</v>
      </c>
      <c r="E560" s="115" t="s">
        <v>29</v>
      </c>
      <c r="F560" s="115">
        <v>3</v>
      </c>
    </row>
    <row r="561" spans="2:6">
      <c r="B561" s="115" t="s">
        <v>3291</v>
      </c>
      <c r="C561" s="115" t="s">
        <v>3292</v>
      </c>
      <c r="D561" s="115" t="s">
        <v>2171</v>
      </c>
      <c r="E561" s="115" t="s">
        <v>29</v>
      </c>
      <c r="F561" s="115">
        <v>2</v>
      </c>
    </row>
    <row r="562" spans="2:6">
      <c r="B562" s="115" t="s">
        <v>3293</v>
      </c>
      <c r="C562" s="115" t="s">
        <v>3294</v>
      </c>
      <c r="D562" s="115" t="s">
        <v>2171</v>
      </c>
      <c r="E562" s="115" t="s">
        <v>29</v>
      </c>
      <c r="F562" s="115">
        <v>1</v>
      </c>
    </row>
    <row r="563" spans="2:6">
      <c r="B563" s="115" t="s">
        <v>3295</v>
      </c>
      <c r="C563" s="115" t="s">
        <v>3296</v>
      </c>
      <c r="D563" s="115" t="s">
        <v>2171</v>
      </c>
      <c r="E563" s="115" t="s">
        <v>29</v>
      </c>
      <c r="F563" s="115">
        <v>3</v>
      </c>
    </row>
    <row r="564" spans="2:6">
      <c r="B564" s="115" t="s">
        <v>3297</v>
      </c>
      <c r="C564" s="115" t="s">
        <v>3298</v>
      </c>
      <c r="D564" s="115" t="s">
        <v>2171</v>
      </c>
      <c r="E564" s="115" t="s">
        <v>29</v>
      </c>
      <c r="F564" s="115">
        <v>2</v>
      </c>
    </row>
    <row r="565" spans="2:6">
      <c r="B565" s="115" t="s">
        <v>3299</v>
      </c>
      <c r="C565" s="115" t="s">
        <v>3300</v>
      </c>
      <c r="D565" s="115" t="s">
        <v>2171</v>
      </c>
      <c r="E565" s="115" t="s">
        <v>29</v>
      </c>
      <c r="F565" s="115">
        <v>2</v>
      </c>
    </row>
    <row r="566" spans="2:6">
      <c r="B566" s="115" t="s">
        <v>3301</v>
      </c>
      <c r="C566" s="115" t="s">
        <v>3302</v>
      </c>
      <c r="D566" s="115" t="s">
        <v>2171</v>
      </c>
      <c r="E566" s="115" t="s">
        <v>29</v>
      </c>
      <c r="F566" s="115">
        <v>2</v>
      </c>
    </row>
    <row r="567" spans="2:6">
      <c r="B567" s="115" t="s">
        <v>3303</v>
      </c>
      <c r="C567" s="115" t="s">
        <v>3304</v>
      </c>
      <c r="D567" s="115" t="s">
        <v>2171</v>
      </c>
      <c r="E567" s="115" t="s">
        <v>29</v>
      </c>
      <c r="F567" s="115">
        <v>3</v>
      </c>
    </row>
    <row r="568" spans="2:6">
      <c r="B568" s="115" t="s">
        <v>3305</v>
      </c>
      <c r="C568" s="115" t="s">
        <v>3306</v>
      </c>
      <c r="D568" s="115" t="s">
        <v>2171</v>
      </c>
      <c r="E568" s="115" t="s">
        <v>29</v>
      </c>
      <c r="F568" s="115">
        <v>3</v>
      </c>
    </row>
    <row r="569" spans="2:6">
      <c r="B569" s="115" t="s">
        <v>3307</v>
      </c>
      <c r="C569" s="115" t="s">
        <v>3308</v>
      </c>
      <c r="D569" s="115" t="s">
        <v>2171</v>
      </c>
      <c r="E569" s="115" t="s">
        <v>29</v>
      </c>
      <c r="F569" s="115">
        <v>3</v>
      </c>
    </row>
    <row r="570" spans="2:6">
      <c r="B570" s="115" t="s">
        <v>3309</v>
      </c>
      <c r="C570" s="115" t="s">
        <v>3310</v>
      </c>
      <c r="D570" s="115" t="s">
        <v>2171</v>
      </c>
      <c r="E570" s="115" t="s">
        <v>29</v>
      </c>
      <c r="F570" s="115">
        <v>1</v>
      </c>
    </row>
    <row r="571" spans="2:6">
      <c r="B571" s="115" t="s">
        <v>3311</v>
      </c>
      <c r="C571" s="115" t="s">
        <v>3312</v>
      </c>
      <c r="D571" s="115" t="s">
        <v>2171</v>
      </c>
      <c r="E571" s="115" t="s">
        <v>29</v>
      </c>
      <c r="F571" s="115">
        <v>1</v>
      </c>
    </row>
    <row r="572" spans="2:6">
      <c r="B572" s="115" t="s">
        <v>3313</v>
      </c>
      <c r="C572" s="115" t="s">
        <v>3314</v>
      </c>
      <c r="D572" s="115" t="s">
        <v>2171</v>
      </c>
      <c r="E572" s="115" t="s">
        <v>29</v>
      </c>
      <c r="F572" s="115">
        <v>1</v>
      </c>
    </row>
    <row r="573" spans="2:6">
      <c r="B573" s="115" t="s">
        <v>3315</v>
      </c>
      <c r="C573" s="115" t="s">
        <v>3316</v>
      </c>
      <c r="D573" s="115" t="s">
        <v>2171</v>
      </c>
      <c r="E573" s="115" t="s">
        <v>29</v>
      </c>
      <c r="F573" s="115">
        <v>2</v>
      </c>
    </row>
    <row r="574" spans="2:6">
      <c r="B574" s="115" t="s">
        <v>3317</v>
      </c>
      <c r="C574" s="115" t="s">
        <v>3318</v>
      </c>
      <c r="D574" s="115" t="s">
        <v>2171</v>
      </c>
      <c r="E574" s="115" t="s">
        <v>29</v>
      </c>
      <c r="F574" s="115">
        <v>1</v>
      </c>
    </row>
    <row r="575" spans="2:6">
      <c r="B575" s="115" t="s">
        <v>3319</v>
      </c>
      <c r="C575" s="115" t="s">
        <v>3320</v>
      </c>
      <c r="D575" s="115" t="s">
        <v>2171</v>
      </c>
      <c r="E575" s="115" t="s">
        <v>29</v>
      </c>
      <c r="F575" s="115">
        <v>2</v>
      </c>
    </row>
    <row r="576" spans="2:6">
      <c r="B576" s="115" t="s">
        <v>3321</v>
      </c>
      <c r="C576" s="115" t="s">
        <v>3322</v>
      </c>
      <c r="D576" s="115" t="s">
        <v>2171</v>
      </c>
      <c r="E576" s="115" t="s">
        <v>29</v>
      </c>
      <c r="F576" s="115">
        <v>2</v>
      </c>
    </row>
    <row r="577" spans="2:6">
      <c r="B577" s="115" t="s">
        <v>3323</v>
      </c>
      <c r="C577" s="115" t="s">
        <v>3324</v>
      </c>
      <c r="D577" s="115" t="s">
        <v>2171</v>
      </c>
      <c r="E577" s="115" t="s">
        <v>29</v>
      </c>
      <c r="F577" s="115">
        <v>3</v>
      </c>
    </row>
    <row r="578" spans="2:6">
      <c r="B578" s="115" t="s">
        <v>3325</v>
      </c>
      <c r="C578" s="115" t="s">
        <v>3326</v>
      </c>
      <c r="D578" s="115" t="s">
        <v>2171</v>
      </c>
      <c r="E578" s="115" t="s">
        <v>29</v>
      </c>
      <c r="F578" s="115">
        <v>1</v>
      </c>
    </row>
    <row r="579" spans="2:6">
      <c r="B579" s="115" t="s">
        <v>3327</v>
      </c>
      <c r="C579" s="115" t="s">
        <v>3328</v>
      </c>
      <c r="D579" s="115" t="s">
        <v>2171</v>
      </c>
      <c r="E579" s="115" t="s">
        <v>29</v>
      </c>
      <c r="F579" s="115">
        <v>3</v>
      </c>
    </row>
    <row r="580" spans="2:6">
      <c r="B580" s="115" t="s">
        <v>3329</v>
      </c>
      <c r="C580" s="115" t="s">
        <v>3330</v>
      </c>
      <c r="D580" s="115" t="s">
        <v>2171</v>
      </c>
      <c r="E580" s="115" t="s">
        <v>29</v>
      </c>
      <c r="F580" s="115">
        <v>2</v>
      </c>
    </row>
    <row r="581" spans="2:6">
      <c r="B581" s="115" t="s">
        <v>3331</v>
      </c>
      <c r="C581" s="115" t="s">
        <v>3332</v>
      </c>
      <c r="D581" s="115" t="s">
        <v>2171</v>
      </c>
      <c r="E581" s="115" t="s">
        <v>29</v>
      </c>
      <c r="F581" s="115">
        <v>2</v>
      </c>
    </row>
    <row r="582" spans="2:6">
      <c r="B582" s="115" t="s">
        <v>3333</v>
      </c>
      <c r="C582" s="115" t="s">
        <v>3334</v>
      </c>
      <c r="D582" s="115" t="s">
        <v>2171</v>
      </c>
      <c r="E582" s="115" t="s">
        <v>29</v>
      </c>
      <c r="F582" s="115">
        <v>3</v>
      </c>
    </row>
    <row r="583" spans="2:6">
      <c r="B583" s="115" t="s">
        <v>3335</v>
      </c>
      <c r="C583" s="115" t="s">
        <v>3336</v>
      </c>
      <c r="D583" s="115" t="s">
        <v>2171</v>
      </c>
      <c r="E583" s="115" t="s">
        <v>29</v>
      </c>
      <c r="F583" s="115">
        <v>2</v>
      </c>
    </row>
    <row r="584" spans="2:6">
      <c r="B584" s="115" t="s">
        <v>3337</v>
      </c>
      <c r="C584" s="115" t="s">
        <v>3338</v>
      </c>
      <c r="D584" s="115" t="s">
        <v>2171</v>
      </c>
      <c r="E584" s="115" t="s">
        <v>29</v>
      </c>
      <c r="F584" s="115">
        <v>1</v>
      </c>
    </row>
    <row r="585" spans="2:6">
      <c r="B585" s="115" t="s">
        <v>3339</v>
      </c>
      <c r="C585" s="115" t="s">
        <v>3340</v>
      </c>
      <c r="D585" s="115" t="s">
        <v>2171</v>
      </c>
      <c r="E585" s="115" t="s">
        <v>29</v>
      </c>
      <c r="F585" s="115">
        <v>3</v>
      </c>
    </row>
    <row r="586" spans="2:6">
      <c r="B586" s="115" t="s">
        <v>3341</v>
      </c>
      <c r="C586" s="115" t="s">
        <v>3342</v>
      </c>
      <c r="D586" s="115" t="s">
        <v>2171</v>
      </c>
      <c r="E586" s="115" t="s">
        <v>29</v>
      </c>
      <c r="F586" s="115">
        <v>3</v>
      </c>
    </row>
    <row r="587" spans="2:6">
      <c r="B587" s="115" t="s">
        <v>3343</v>
      </c>
      <c r="C587" s="115" t="s">
        <v>3344</v>
      </c>
      <c r="D587" s="115" t="s">
        <v>2171</v>
      </c>
      <c r="E587" s="115" t="s">
        <v>29</v>
      </c>
      <c r="F587" s="115">
        <v>3</v>
      </c>
    </row>
    <row r="588" spans="2:6">
      <c r="B588" s="115" t="s">
        <v>3345</v>
      </c>
      <c r="C588" s="115" t="s">
        <v>3346</v>
      </c>
      <c r="D588" s="115" t="s">
        <v>2171</v>
      </c>
      <c r="E588" s="115" t="s">
        <v>29</v>
      </c>
      <c r="F588" s="115">
        <v>3</v>
      </c>
    </row>
    <row r="589" spans="2:6">
      <c r="B589" s="115" t="s">
        <v>3347</v>
      </c>
      <c r="C589" s="115" t="s">
        <v>3348</v>
      </c>
      <c r="D589" s="115" t="s">
        <v>2171</v>
      </c>
      <c r="E589" s="115" t="s">
        <v>29</v>
      </c>
      <c r="F589" s="115">
        <v>1</v>
      </c>
    </row>
    <row r="590" spans="2:6">
      <c r="B590" s="115" t="s">
        <v>3349</v>
      </c>
      <c r="C590" s="115" t="s">
        <v>3350</v>
      </c>
      <c r="D590" s="115" t="s">
        <v>2171</v>
      </c>
      <c r="E590" s="115" t="s">
        <v>29</v>
      </c>
      <c r="F590" s="115">
        <v>1</v>
      </c>
    </row>
    <row r="591" spans="2:6">
      <c r="B591" s="115" t="s">
        <v>3351</v>
      </c>
      <c r="C591" s="115" t="s">
        <v>3352</v>
      </c>
      <c r="D591" s="115" t="s">
        <v>2171</v>
      </c>
      <c r="E591" s="115" t="s">
        <v>29</v>
      </c>
      <c r="F591" s="115">
        <v>3</v>
      </c>
    </row>
    <row r="592" spans="2:6">
      <c r="B592" s="115" t="s">
        <v>3353</v>
      </c>
      <c r="C592" s="115" t="s">
        <v>3354</v>
      </c>
      <c r="D592" s="115" t="s">
        <v>2171</v>
      </c>
      <c r="E592" s="115" t="s">
        <v>29</v>
      </c>
      <c r="F592" s="115">
        <v>1</v>
      </c>
    </row>
    <row r="593" spans="2:6">
      <c r="B593" s="115" t="s">
        <v>3355</v>
      </c>
      <c r="C593" s="115" t="s">
        <v>3356</v>
      </c>
      <c r="D593" s="115" t="s">
        <v>2171</v>
      </c>
      <c r="E593" s="115" t="s">
        <v>29</v>
      </c>
      <c r="F593" s="115">
        <v>3</v>
      </c>
    </row>
    <row r="594" spans="2:6">
      <c r="B594" s="115" t="s">
        <v>3357</v>
      </c>
      <c r="C594" s="115" t="s">
        <v>3358</v>
      </c>
      <c r="D594" s="115" t="s">
        <v>2171</v>
      </c>
      <c r="E594" s="115" t="s">
        <v>29</v>
      </c>
      <c r="F594" s="115">
        <v>3</v>
      </c>
    </row>
    <row r="595" spans="2:6">
      <c r="B595" s="115" t="s">
        <v>3359</v>
      </c>
      <c r="C595" s="115" t="s">
        <v>3360</v>
      </c>
      <c r="D595" s="115" t="s">
        <v>2171</v>
      </c>
      <c r="E595" s="115" t="s">
        <v>29</v>
      </c>
      <c r="F595" s="115">
        <v>1</v>
      </c>
    </row>
    <row r="596" spans="2:6">
      <c r="B596" s="115" t="s">
        <v>3361</v>
      </c>
      <c r="C596" s="115" t="s">
        <v>3362</v>
      </c>
      <c r="D596" s="115" t="s">
        <v>2171</v>
      </c>
      <c r="E596" s="115" t="s">
        <v>29</v>
      </c>
      <c r="F596" s="115">
        <v>1</v>
      </c>
    </row>
    <row r="597" spans="2:6">
      <c r="B597" s="115" t="s">
        <v>3363</v>
      </c>
      <c r="C597" s="115" t="s">
        <v>3364</v>
      </c>
      <c r="D597" s="115" t="s">
        <v>2171</v>
      </c>
      <c r="E597" s="115" t="s">
        <v>29</v>
      </c>
      <c r="F597" s="115">
        <v>3</v>
      </c>
    </row>
    <row r="598" spans="2:6">
      <c r="B598" s="115" t="s">
        <v>3365</v>
      </c>
      <c r="C598" s="115" t="s">
        <v>3366</v>
      </c>
      <c r="D598" s="115" t="s">
        <v>2171</v>
      </c>
      <c r="E598" s="115" t="s">
        <v>29</v>
      </c>
      <c r="F598" s="115">
        <v>2</v>
      </c>
    </row>
    <row r="599" spans="2:6">
      <c r="B599" s="115" t="s">
        <v>3367</v>
      </c>
      <c r="C599" s="115" t="s">
        <v>3368</v>
      </c>
      <c r="D599" s="115" t="s">
        <v>2171</v>
      </c>
      <c r="E599" s="115" t="s">
        <v>29</v>
      </c>
      <c r="F599" s="115">
        <v>1</v>
      </c>
    </row>
    <row r="600" spans="2:6">
      <c r="B600" s="115" t="s">
        <v>3369</v>
      </c>
      <c r="C600" s="115" t="s">
        <v>3370</v>
      </c>
      <c r="D600" s="115" t="s">
        <v>2171</v>
      </c>
      <c r="E600" s="115" t="s">
        <v>29</v>
      </c>
      <c r="F600" s="115">
        <v>1</v>
      </c>
    </row>
    <row r="601" spans="2:6">
      <c r="B601" s="115" t="s">
        <v>3371</v>
      </c>
      <c r="C601" s="115" t="s">
        <v>3372</v>
      </c>
      <c r="D601" s="115" t="s">
        <v>2171</v>
      </c>
      <c r="E601" s="115" t="s">
        <v>2332</v>
      </c>
      <c r="F601" s="115">
        <v>3</v>
      </c>
    </row>
    <row r="602" spans="2:6">
      <c r="B602" s="115" t="s">
        <v>3373</v>
      </c>
      <c r="C602" s="115" t="s">
        <v>3374</v>
      </c>
      <c r="D602" s="115" t="s">
        <v>2171</v>
      </c>
      <c r="E602" s="115" t="s">
        <v>29</v>
      </c>
      <c r="F602" s="115">
        <v>3</v>
      </c>
    </row>
    <row r="603" spans="2:6">
      <c r="B603" s="115" t="s">
        <v>3375</v>
      </c>
      <c r="C603" s="115" t="s">
        <v>3376</v>
      </c>
      <c r="D603" s="115" t="s">
        <v>2171</v>
      </c>
      <c r="E603" s="115" t="s">
        <v>29</v>
      </c>
      <c r="F603" s="115">
        <v>1</v>
      </c>
    </row>
    <row r="604" spans="2:6">
      <c r="B604" s="115" t="s">
        <v>3377</v>
      </c>
      <c r="C604" s="115" t="s">
        <v>3378</v>
      </c>
      <c r="D604" s="115" t="s">
        <v>2171</v>
      </c>
      <c r="E604" s="115" t="s">
        <v>29</v>
      </c>
      <c r="F604" s="115">
        <v>2</v>
      </c>
    </row>
    <row r="605" spans="2:6">
      <c r="B605" s="115" t="s">
        <v>3379</v>
      </c>
      <c r="C605" s="115" t="s">
        <v>3380</v>
      </c>
      <c r="D605" s="115" t="s">
        <v>2171</v>
      </c>
      <c r="E605" s="115" t="s">
        <v>29</v>
      </c>
      <c r="F605" s="115">
        <v>1</v>
      </c>
    </row>
    <row r="606" spans="2:6">
      <c r="B606" s="115" t="s">
        <v>3381</v>
      </c>
      <c r="C606" s="115" t="s">
        <v>3382</v>
      </c>
      <c r="D606" s="115" t="s">
        <v>2171</v>
      </c>
      <c r="E606" s="115" t="s">
        <v>29</v>
      </c>
      <c r="F606" s="115">
        <v>3</v>
      </c>
    </row>
    <row r="607" spans="2:6">
      <c r="B607" s="115" t="s">
        <v>3383</v>
      </c>
      <c r="C607" s="115" t="s">
        <v>3384</v>
      </c>
      <c r="D607" s="115" t="s">
        <v>2171</v>
      </c>
      <c r="E607" s="115" t="s">
        <v>29</v>
      </c>
      <c r="F607" s="115">
        <v>3</v>
      </c>
    </row>
    <row r="608" spans="2:6">
      <c r="B608" s="115" t="s">
        <v>3385</v>
      </c>
      <c r="C608" s="115" t="s">
        <v>3386</v>
      </c>
      <c r="D608" s="115" t="s">
        <v>2171</v>
      </c>
      <c r="E608" s="115" t="s">
        <v>29</v>
      </c>
      <c r="F608" s="115">
        <v>3</v>
      </c>
    </row>
    <row r="609" spans="2:6">
      <c r="B609" s="115" t="s">
        <v>3387</v>
      </c>
      <c r="C609" s="115" t="s">
        <v>3388</v>
      </c>
      <c r="D609" s="115" t="s">
        <v>2171</v>
      </c>
      <c r="E609" s="115" t="s">
        <v>29</v>
      </c>
      <c r="F609" s="115">
        <v>3</v>
      </c>
    </row>
    <row r="610" spans="2:6">
      <c r="B610" s="115" t="s">
        <v>3389</v>
      </c>
      <c r="C610" s="115" t="s">
        <v>3390</v>
      </c>
      <c r="D610" s="115" t="s">
        <v>2171</v>
      </c>
      <c r="E610" s="115" t="s">
        <v>29</v>
      </c>
      <c r="F610" s="115">
        <v>3</v>
      </c>
    </row>
    <row r="611" spans="2:6">
      <c r="B611" s="115" t="s">
        <v>3391</v>
      </c>
      <c r="C611" s="115" t="s">
        <v>3392</v>
      </c>
      <c r="D611" s="115" t="s">
        <v>2171</v>
      </c>
      <c r="E611" s="115" t="s">
        <v>29</v>
      </c>
      <c r="F611" s="115">
        <v>2</v>
      </c>
    </row>
    <row r="612" spans="2:6">
      <c r="B612" s="115" t="s">
        <v>3393</v>
      </c>
      <c r="C612" s="115" t="s">
        <v>3394</v>
      </c>
      <c r="D612" s="115" t="s">
        <v>2171</v>
      </c>
      <c r="E612" s="115" t="s">
        <v>29</v>
      </c>
      <c r="F612" s="115">
        <v>3</v>
      </c>
    </row>
    <row r="613" spans="2:6">
      <c r="B613" s="115" t="s">
        <v>3395</v>
      </c>
      <c r="C613" s="115" t="s">
        <v>3396</v>
      </c>
      <c r="D613" s="115" t="s">
        <v>2171</v>
      </c>
      <c r="E613" s="115" t="s">
        <v>29</v>
      </c>
      <c r="F613" s="115">
        <v>1</v>
      </c>
    </row>
    <row r="614" spans="2:6">
      <c r="B614" s="115" t="s">
        <v>3397</v>
      </c>
      <c r="C614" s="115" t="s">
        <v>3398</v>
      </c>
      <c r="D614" s="115" t="s">
        <v>2171</v>
      </c>
      <c r="E614" s="115" t="s">
        <v>29</v>
      </c>
      <c r="F614" s="115">
        <v>2</v>
      </c>
    </row>
    <row r="615" spans="2:6">
      <c r="B615" s="115" t="s">
        <v>3399</v>
      </c>
      <c r="C615" s="115" t="s">
        <v>3400</v>
      </c>
      <c r="D615" s="115" t="s">
        <v>2171</v>
      </c>
      <c r="E615" s="115" t="s">
        <v>29</v>
      </c>
      <c r="F615" s="115">
        <v>1</v>
      </c>
    </row>
    <row r="616" spans="2:6">
      <c r="B616" s="115" t="s">
        <v>3401</v>
      </c>
      <c r="C616" s="115" t="s">
        <v>3402</v>
      </c>
      <c r="D616" s="115" t="s">
        <v>2171</v>
      </c>
      <c r="E616" s="115" t="s">
        <v>2332</v>
      </c>
      <c r="F616" s="115">
        <v>1</v>
      </c>
    </row>
    <row r="617" spans="2:6">
      <c r="B617" s="115" t="s">
        <v>3403</v>
      </c>
      <c r="C617" s="115" t="s">
        <v>3404</v>
      </c>
      <c r="D617" s="115" t="s">
        <v>2171</v>
      </c>
      <c r="E617" s="115" t="s">
        <v>29</v>
      </c>
      <c r="F617" s="115">
        <v>1</v>
      </c>
    </row>
    <row r="618" spans="2:6">
      <c r="B618" s="115" t="s">
        <v>3405</v>
      </c>
      <c r="C618" s="115" t="s">
        <v>3406</v>
      </c>
      <c r="D618" s="115" t="s">
        <v>2171</v>
      </c>
      <c r="E618" s="115" t="s">
        <v>29</v>
      </c>
      <c r="F618" s="115">
        <v>1</v>
      </c>
    </row>
    <row r="619" spans="2:6">
      <c r="B619" s="115" t="s">
        <v>3407</v>
      </c>
      <c r="C619" s="115" t="s">
        <v>3408</v>
      </c>
      <c r="D619" s="115" t="s">
        <v>2171</v>
      </c>
      <c r="E619" s="115" t="s">
        <v>29</v>
      </c>
      <c r="F619" s="115">
        <v>1</v>
      </c>
    </row>
    <row r="620" spans="2:6">
      <c r="B620" s="115" t="s">
        <v>3409</v>
      </c>
      <c r="C620" s="115" t="s">
        <v>3410</v>
      </c>
      <c r="D620" s="115" t="s">
        <v>2171</v>
      </c>
      <c r="E620" s="115" t="s">
        <v>29</v>
      </c>
      <c r="F620" s="115">
        <v>1</v>
      </c>
    </row>
    <row r="621" spans="2:6">
      <c r="B621" s="115" t="s">
        <v>3411</v>
      </c>
      <c r="C621" s="115" t="s">
        <v>3412</v>
      </c>
      <c r="D621" s="115" t="s">
        <v>2171</v>
      </c>
      <c r="E621" s="115" t="s">
        <v>29</v>
      </c>
      <c r="F621" s="115">
        <v>1</v>
      </c>
    </row>
    <row r="622" spans="2:6">
      <c r="B622" s="115" t="s">
        <v>3413</v>
      </c>
      <c r="C622" s="115" t="s">
        <v>3414</v>
      </c>
      <c r="D622" s="115" t="s">
        <v>2171</v>
      </c>
      <c r="E622" s="115" t="s">
        <v>29</v>
      </c>
      <c r="F622" s="115">
        <v>1</v>
      </c>
    </row>
    <row r="623" spans="2:6">
      <c r="B623" s="115" t="s">
        <v>3415</v>
      </c>
      <c r="C623" s="115" t="s">
        <v>3416</v>
      </c>
      <c r="D623" s="115" t="s">
        <v>2171</v>
      </c>
      <c r="E623" s="115" t="s">
        <v>29</v>
      </c>
      <c r="F623" s="115">
        <v>3</v>
      </c>
    </row>
    <row r="624" spans="2:6">
      <c r="B624" s="115" t="s">
        <v>3417</v>
      </c>
      <c r="C624" s="115" t="s">
        <v>3418</v>
      </c>
      <c r="D624" s="115" t="s">
        <v>2171</v>
      </c>
      <c r="E624" s="115" t="s">
        <v>29</v>
      </c>
      <c r="F624" s="115">
        <v>1</v>
      </c>
    </row>
    <row r="625" spans="2:6">
      <c r="B625" s="115" t="s">
        <v>3419</v>
      </c>
      <c r="C625" s="115" t="s">
        <v>3420</v>
      </c>
      <c r="D625" s="115" t="s">
        <v>2171</v>
      </c>
      <c r="E625" s="115" t="s">
        <v>29</v>
      </c>
      <c r="F625" s="115">
        <v>2</v>
      </c>
    </row>
    <row r="626" spans="2:6">
      <c r="B626" s="115" t="s">
        <v>3421</v>
      </c>
      <c r="C626" s="115" t="s">
        <v>3422</v>
      </c>
      <c r="D626" s="115" t="s">
        <v>2171</v>
      </c>
      <c r="E626" s="115" t="s">
        <v>29</v>
      </c>
      <c r="F626" s="115">
        <v>3</v>
      </c>
    </row>
    <row r="627" spans="2:6">
      <c r="B627" s="115" t="s">
        <v>3423</v>
      </c>
      <c r="C627" s="115" t="s">
        <v>3424</v>
      </c>
      <c r="D627" s="115" t="s">
        <v>2171</v>
      </c>
      <c r="E627" s="115" t="s">
        <v>29</v>
      </c>
      <c r="F627" s="115">
        <v>1</v>
      </c>
    </row>
    <row r="628" spans="2:6">
      <c r="B628" s="115" t="s">
        <v>3425</v>
      </c>
      <c r="C628" s="115" t="s">
        <v>3426</v>
      </c>
      <c r="D628" s="115" t="s">
        <v>2171</v>
      </c>
      <c r="E628" s="115" t="s">
        <v>29</v>
      </c>
      <c r="F628" s="115">
        <v>1</v>
      </c>
    </row>
    <row r="629" spans="2:6">
      <c r="B629" s="115" t="s">
        <v>3427</v>
      </c>
      <c r="C629" s="115" t="s">
        <v>3428</v>
      </c>
      <c r="D629" s="115" t="s">
        <v>2171</v>
      </c>
      <c r="E629" s="115" t="s">
        <v>29</v>
      </c>
      <c r="F629" s="115">
        <v>1</v>
      </c>
    </row>
    <row r="630" spans="2:6">
      <c r="B630" s="115" t="s">
        <v>3429</v>
      </c>
      <c r="C630" s="115" t="s">
        <v>3430</v>
      </c>
      <c r="D630" s="115" t="s">
        <v>2171</v>
      </c>
      <c r="E630" s="115" t="s">
        <v>29</v>
      </c>
      <c r="F630" s="115">
        <v>2</v>
      </c>
    </row>
    <row r="631" spans="2:6">
      <c r="B631" s="115" t="s">
        <v>3431</v>
      </c>
      <c r="C631" s="115" t="s">
        <v>3432</v>
      </c>
      <c r="D631" s="115" t="s">
        <v>2171</v>
      </c>
      <c r="E631" s="115" t="s">
        <v>29</v>
      </c>
      <c r="F631" s="115">
        <v>2</v>
      </c>
    </row>
    <row r="632" spans="2:6">
      <c r="B632" s="115" t="s">
        <v>3433</v>
      </c>
      <c r="C632" s="115" t="s">
        <v>3434</v>
      </c>
      <c r="D632" s="115" t="s">
        <v>2171</v>
      </c>
      <c r="E632" s="115" t="s">
        <v>29</v>
      </c>
      <c r="F632" s="115">
        <v>1</v>
      </c>
    </row>
    <row r="633" spans="2:6">
      <c r="B633" s="115" t="s">
        <v>3435</v>
      </c>
      <c r="C633" s="115" t="s">
        <v>3436</v>
      </c>
      <c r="D633" s="115" t="s">
        <v>2171</v>
      </c>
      <c r="E633" s="115" t="s">
        <v>2332</v>
      </c>
      <c r="F633" s="115">
        <v>3</v>
      </c>
    </row>
    <row r="634" spans="2:6">
      <c r="B634" s="115" t="s">
        <v>3437</v>
      </c>
      <c r="C634" s="115" t="s">
        <v>3438</v>
      </c>
      <c r="D634" s="115" t="s">
        <v>2171</v>
      </c>
      <c r="E634" s="115" t="s">
        <v>29</v>
      </c>
      <c r="F634" s="115">
        <v>1</v>
      </c>
    </row>
    <row r="635" spans="2:6">
      <c r="B635" s="115" t="s">
        <v>3439</v>
      </c>
      <c r="C635" s="115" t="s">
        <v>3440</v>
      </c>
      <c r="D635" s="115" t="s">
        <v>2171</v>
      </c>
      <c r="E635" s="115" t="s">
        <v>29</v>
      </c>
      <c r="F635" s="115">
        <v>3</v>
      </c>
    </row>
    <row r="636" spans="2:6">
      <c r="B636" s="115" t="s">
        <v>3441</v>
      </c>
      <c r="C636" s="115" t="s">
        <v>3442</v>
      </c>
      <c r="D636" s="115" t="s">
        <v>2171</v>
      </c>
      <c r="E636" s="115" t="s">
        <v>29</v>
      </c>
      <c r="F636" s="115">
        <v>2</v>
      </c>
    </row>
    <row r="637" spans="2:6">
      <c r="B637" s="115" t="s">
        <v>3443</v>
      </c>
      <c r="C637" s="115" t="s">
        <v>3444</v>
      </c>
      <c r="D637" s="115" t="s">
        <v>2171</v>
      </c>
      <c r="E637" s="115" t="s">
        <v>29</v>
      </c>
      <c r="F637" s="115">
        <v>2</v>
      </c>
    </row>
    <row r="638" spans="2:6">
      <c r="B638" s="115" t="s">
        <v>3445</v>
      </c>
      <c r="C638" s="115" t="s">
        <v>3446</v>
      </c>
      <c r="D638" s="115" t="s">
        <v>2171</v>
      </c>
      <c r="E638" s="115" t="s">
        <v>2332</v>
      </c>
      <c r="F638" s="115">
        <v>3</v>
      </c>
    </row>
    <row r="639" spans="2:6">
      <c r="B639" s="115" t="s">
        <v>3447</v>
      </c>
      <c r="C639" s="115" t="s">
        <v>3448</v>
      </c>
      <c r="D639" s="115" t="s">
        <v>2171</v>
      </c>
      <c r="E639" s="115" t="s">
        <v>29</v>
      </c>
      <c r="F639" s="115">
        <v>3</v>
      </c>
    </row>
    <row r="640" spans="2:6">
      <c r="B640" s="115" t="s">
        <v>3449</v>
      </c>
      <c r="C640" s="115" t="s">
        <v>3450</v>
      </c>
      <c r="D640" s="115" t="s">
        <v>2171</v>
      </c>
      <c r="E640" s="115" t="s">
        <v>29</v>
      </c>
      <c r="F640" s="115">
        <v>3</v>
      </c>
    </row>
    <row r="641" spans="2:6">
      <c r="B641" s="115" t="s">
        <v>3451</v>
      </c>
      <c r="C641" s="115" t="s">
        <v>3452</v>
      </c>
      <c r="D641" s="115" t="s">
        <v>2171</v>
      </c>
      <c r="E641" s="115" t="s">
        <v>29</v>
      </c>
      <c r="F641" s="115">
        <v>3</v>
      </c>
    </row>
    <row r="642" spans="2:6">
      <c r="B642" s="115" t="s">
        <v>3453</v>
      </c>
      <c r="C642" s="115" t="s">
        <v>3454</v>
      </c>
      <c r="D642" s="115" t="s">
        <v>2171</v>
      </c>
      <c r="E642" s="115" t="s">
        <v>2332</v>
      </c>
      <c r="F642" s="115">
        <v>3</v>
      </c>
    </row>
    <row r="643" spans="2:6">
      <c r="B643" s="115" t="s">
        <v>3455</v>
      </c>
      <c r="C643" s="115" t="s">
        <v>3456</v>
      </c>
      <c r="D643" s="115" t="s">
        <v>2171</v>
      </c>
      <c r="E643" s="115" t="s">
        <v>29</v>
      </c>
      <c r="F643" s="115">
        <v>2</v>
      </c>
    </row>
    <row r="644" spans="2:6">
      <c r="B644" s="115" t="s">
        <v>3457</v>
      </c>
      <c r="C644" s="115" t="s">
        <v>3458</v>
      </c>
      <c r="D644" s="115" t="s">
        <v>2171</v>
      </c>
      <c r="E644" s="115" t="s">
        <v>29</v>
      </c>
      <c r="F644" s="115">
        <v>2</v>
      </c>
    </row>
    <row r="645" spans="2:6">
      <c r="B645" s="115" t="s">
        <v>3459</v>
      </c>
      <c r="C645" s="115" t="s">
        <v>3460</v>
      </c>
      <c r="D645" s="115" t="s">
        <v>2171</v>
      </c>
      <c r="E645" s="115" t="s">
        <v>29</v>
      </c>
      <c r="F645" s="115">
        <v>3</v>
      </c>
    </row>
    <row r="646" spans="2:6">
      <c r="B646" s="115" t="s">
        <v>3461</v>
      </c>
      <c r="C646" s="115" t="s">
        <v>3462</v>
      </c>
      <c r="D646" s="115" t="s">
        <v>2171</v>
      </c>
      <c r="E646" s="115" t="s">
        <v>29</v>
      </c>
      <c r="F646" s="115">
        <v>3</v>
      </c>
    </row>
    <row r="647" spans="2:6">
      <c r="B647" s="115" t="s">
        <v>3463</v>
      </c>
      <c r="C647" s="115" t="s">
        <v>3464</v>
      </c>
      <c r="D647" s="115" t="s">
        <v>2171</v>
      </c>
      <c r="E647" s="115" t="s">
        <v>2332</v>
      </c>
      <c r="F647" s="115">
        <v>3</v>
      </c>
    </row>
    <row r="648" spans="2:6">
      <c r="B648" s="115" t="s">
        <v>3465</v>
      </c>
      <c r="C648" s="115" t="s">
        <v>3466</v>
      </c>
      <c r="D648" s="115" t="s">
        <v>2171</v>
      </c>
      <c r="E648" s="115" t="s">
        <v>2332</v>
      </c>
      <c r="F648" s="115">
        <v>1</v>
      </c>
    </row>
    <row r="649" spans="2:6">
      <c r="B649" s="115" t="s">
        <v>3467</v>
      </c>
      <c r="C649" s="115" t="s">
        <v>3468</v>
      </c>
      <c r="D649" s="115" t="s">
        <v>2171</v>
      </c>
      <c r="E649" s="115" t="s">
        <v>29</v>
      </c>
      <c r="F649" s="115">
        <v>3</v>
      </c>
    </row>
    <row r="650" spans="2:6">
      <c r="B650" s="115" t="s">
        <v>3469</v>
      </c>
      <c r="C650" s="115" t="s">
        <v>3470</v>
      </c>
      <c r="D650" s="115" t="s">
        <v>2171</v>
      </c>
      <c r="E650" s="115" t="s">
        <v>29</v>
      </c>
      <c r="F650" s="115">
        <v>3</v>
      </c>
    </row>
    <row r="651" spans="2:6">
      <c r="B651" s="115" t="s">
        <v>3471</v>
      </c>
      <c r="C651" s="115" t="s">
        <v>3472</v>
      </c>
      <c r="D651" s="115" t="s">
        <v>2171</v>
      </c>
      <c r="E651" s="115" t="s">
        <v>29</v>
      </c>
      <c r="F651" s="115">
        <v>2</v>
      </c>
    </row>
    <row r="652" spans="2:6">
      <c r="B652" s="115" t="s">
        <v>3473</v>
      </c>
      <c r="C652" s="115" t="s">
        <v>3474</v>
      </c>
      <c r="D652" s="115" t="s">
        <v>2171</v>
      </c>
      <c r="E652" s="115" t="s">
        <v>29</v>
      </c>
      <c r="F652" s="115">
        <v>3</v>
      </c>
    </row>
    <row r="653" spans="2:6">
      <c r="B653" s="115" t="s">
        <v>3475</v>
      </c>
      <c r="C653" s="115" t="s">
        <v>3476</v>
      </c>
      <c r="D653" s="115" t="s">
        <v>2171</v>
      </c>
      <c r="E653" s="115" t="s">
        <v>29</v>
      </c>
      <c r="F653" s="115">
        <v>3</v>
      </c>
    </row>
    <row r="654" spans="2:6">
      <c r="B654" s="115" t="s">
        <v>3477</v>
      </c>
      <c r="C654" s="115" t="s">
        <v>3478</v>
      </c>
      <c r="D654" s="115" t="s">
        <v>2171</v>
      </c>
      <c r="E654" s="115" t="s">
        <v>29</v>
      </c>
      <c r="F654" s="115">
        <v>3</v>
      </c>
    </row>
    <row r="655" spans="2:6">
      <c r="B655" s="115" t="s">
        <v>3479</v>
      </c>
      <c r="C655" s="115" t="s">
        <v>3480</v>
      </c>
      <c r="D655" s="115" t="s">
        <v>2171</v>
      </c>
      <c r="E655" s="115" t="s">
        <v>29</v>
      </c>
      <c r="F655" s="115">
        <v>3</v>
      </c>
    </row>
    <row r="656" spans="2:6">
      <c r="B656" s="115" t="s">
        <v>3481</v>
      </c>
      <c r="C656" s="115" t="s">
        <v>3482</v>
      </c>
      <c r="D656" s="115" t="s">
        <v>2171</v>
      </c>
      <c r="E656" s="115" t="s">
        <v>2332</v>
      </c>
      <c r="F656" s="115">
        <v>3</v>
      </c>
    </row>
    <row r="657" spans="2:6">
      <c r="B657" s="115" t="s">
        <v>3483</v>
      </c>
      <c r="C657" s="115" t="s">
        <v>3484</v>
      </c>
      <c r="D657" s="115" t="s">
        <v>2171</v>
      </c>
      <c r="E657" s="115" t="s">
        <v>29</v>
      </c>
      <c r="F657" s="115">
        <v>1</v>
      </c>
    </row>
    <row r="658" spans="2:6">
      <c r="B658" s="115" t="s">
        <v>3485</v>
      </c>
      <c r="C658" s="115" t="s">
        <v>3486</v>
      </c>
      <c r="D658" s="115" t="s">
        <v>2171</v>
      </c>
      <c r="E658" s="115" t="s">
        <v>29</v>
      </c>
      <c r="F658" s="115">
        <v>2</v>
      </c>
    </row>
    <row r="659" spans="2:6">
      <c r="B659" s="115" t="s">
        <v>3487</v>
      </c>
      <c r="C659" s="115" t="s">
        <v>3488</v>
      </c>
      <c r="D659" s="115" t="s">
        <v>2171</v>
      </c>
      <c r="E659" s="115" t="s">
        <v>29</v>
      </c>
      <c r="F659" s="115">
        <v>2</v>
      </c>
    </row>
    <row r="660" spans="2:6">
      <c r="B660" s="115" t="s">
        <v>3489</v>
      </c>
      <c r="C660" s="115" t="s">
        <v>3490</v>
      </c>
      <c r="D660" s="115" t="s">
        <v>2171</v>
      </c>
      <c r="E660" s="115" t="s">
        <v>29</v>
      </c>
      <c r="F660" s="115">
        <v>3</v>
      </c>
    </row>
    <row r="661" spans="2:6">
      <c r="B661" s="115" t="s">
        <v>3491</v>
      </c>
      <c r="C661" s="115" t="s">
        <v>3492</v>
      </c>
      <c r="D661" s="115" t="s">
        <v>2171</v>
      </c>
      <c r="E661" s="115" t="s">
        <v>29</v>
      </c>
      <c r="F661" s="115">
        <v>2</v>
      </c>
    </row>
    <row r="662" spans="2:6">
      <c r="B662" s="115" t="s">
        <v>3493</v>
      </c>
      <c r="C662" s="115" t="s">
        <v>3494</v>
      </c>
      <c r="D662" s="115" t="s">
        <v>2171</v>
      </c>
      <c r="E662" s="115" t="s">
        <v>29</v>
      </c>
      <c r="F662" s="115">
        <v>3</v>
      </c>
    </row>
    <row r="663" spans="2:6">
      <c r="B663" s="115" t="s">
        <v>3495</v>
      </c>
      <c r="C663" s="115" t="s">
        <v>3496</v>
      </c>
      <c r="D663" s="115" t="s">
        <v>2171</v>
      </c>
      <c r="E663" s="115" t="s">
        <v>29</v>
      </c>
      <c r="F663" s="115">
        <v>3</v>
      </c>
    </row>
    <row r="664" spans="2:6">
      <c r="B664" s="115" t="s">
        <v>3497</v>
      </c>
      <c r="C664" s="115" t="s">
        <v>3498</v>
      </c>
      <c r="D664" s="115" t="s">
        <v>2171</v>
      </c>
      <c r="E664" s="115" t="s">
        <v>29</v>
      </c>
      <c r="F664" s="115">
        <v>1</v>
      </c>
    </row>
    <row r="665" spans="2:6">
      <c r="B665" s="115" t="s">
        <v>3499</v>
      </c>
      <c r="C665" s="115" t="s">
        <v>3500</v>
      </c>
      <c r="D665" s="115" t="s">
        <v>2171</v>
      </c>
      <c r="E665" s="115" t="s">
        <v>29</v>
      </c>
      <c r="F665" s="115">
        <v>3</v>
      </c>
    </row>
    <row r="666" spans="2:6">
      <c r="B666" s="115" t="s">
        <v>3501</v>
      </c>
      <c r="C666" s="115" t="s">
        <v>3502</v>
      </c>
      <c r="D666" s="115" t="s">
        <v>2171</v>
      </c>
      <c r="E666" s="115" t="s">
        <v>29</v>
      </c>
      <c r="F666" s="115">
        <v>3</v>
      </c>
    </row>
    <row r="667" spans="2:6">
      <c r="B667" s="115" t="s">
        <v>3503</v>
      </c>
      <c r="C667" s="115" t="s">
        <v>3504</v>
      </c>
      <c r="D667" s="115" t="s">
        <v>2171</v>
      </c>
      <c r="E667" s="115" t="s">
        <v>29</v>
      </c>
      <c r="F667" s="115">
        <v>1</v>
      </c>
    </row>
    <row r="668" spans="2:6">
      <c r="B668" s="115" t="s">
        <v>3505</v>
      </c>
      <c r="C668" s="115" t="s">
        <v>3506</v>
      </c>
      <c r="D668" s="115" t="s">
        <v>2171</v>
      </c>
      <c r="E668" s="115" t="s">
        <v>29</v>
      </c>
      <c r="F668" s="115">
        <v>3</v>
      </c>
    </row>
    <row r="669" spans="2:6">
      <c r="B669" s="115" t="s">
        <v>3507</v>
      </c>
      <c r="C669" s="115" t="s">
        <v>3508</v>
      </c>
      <c r="D669" s="115" t="s">
        <v>2171</v>
      </c>
      <c r="E669" s="115" t="s">
        <v>29</v>
      </c>
      <c r="F669" s="115">
        <v>3</v>
      </c>
    </row>
    <row r="670" spans="2:6">
      <c r="B670" s="115" t="s">
        <v>3509</v>
      </c>
      <c r="C670" s="115" t="s">
        <v>3510</v>
      </c>
      <c r="D670" s="115" t="s">
        <v>2171</v>
      </c>
      <c r="E670" s="115" t="s">
        <v>29</v>
      </c>
      <c r="F670" s="115">
        <v>3</v>
      </c>
    </row>
    <row r="671" spans="2:6">
      <c r="B671" s="115" t="s">
        <v>3511</v>
      </c>
      <c r="C671" s="115" t="s">
        <v>3512</v>
      </c>
      <c r="D671" s="115" t="s">
        <v>2171</v>
      </c>
      <c r="E671" s="115" t="s">
        <v>29</v>
      </c>
      <c r="F671" s="115">
        <v>1</v>
      </c>
    </row>
    <row r="672" spans="2:6">
      <c r="B672" s="115" t="s">
        <v>3513</v>
      </c>
      <c r="C672" s="115" t="s">
        <v>3514</v>
      </c>
      <c r="D672" s="115" t="s">
        <v>2171</v>
      </c>
      <c r="E672" s="115" t="s">
        <v>29</v>
      </c>
      <c r="F672" s="115">
        <v>3</v>
      </c>
    </row>
    <row r="673" spans="2:6">
      <c r="B673" s="115" t="s">
        <v>3515</v>
      </c>
      <c r="C673" s="115" t="s">
        <v>3516</v>
      </c>
      <c r="D673" s="115" t="s">
        <v>2171</v>
      </c>
      <c r="E673" s="115" t="s">
        <v>29</v>
      </c>
      <c r="F673" s="115">
        <v>1</v>
      </c>
    </row>
    <row r="674" spans="2:6">
      <c r="B674" s="115" t="s">
        <v>3517</v>
      </c>
      <c r="C674" s="115" t="s">
        <v>3518</v>
      </c>
      <c r="D674" s="115" t="s">
        <v>2171</v>
      </c>
      <c r="E674" s="115" t="s">
        <v>29</v>
      </c>
      <c r="F674" s="115">
        <v>1</v>
      </c>
    </row>
    <row r="675" spans="2:6">
      <c r="B675" s="115" t="s">
        <v>3519</v>
      </c>
      <c r="C675" s="115" t="s">
        <v>3520</v>
      </c>
      <c r="D675" s="115" t="s">
        <v>2171</v>
      </c>
      <c r="E675" s="115" t="s">
        <v>29</v>
      </c>
      <c r="F675" s="115">
        <v>3</v>
      </c>
    </row>
    <row r="676" spans="2:6">
      <c r="B676" s="115" t="s">
        <v>3521</v>
      </c>
      <c r="C676" s="115" t="s">
        <v>3522</v>
      </c>
      <c r="D676" s="115" t="s">
        <v>2171</v>
      </c>
      <c r="E676" s="115" t="s">
        <v>29</v>
      </c>
      <c r="F676" s="115">
        <v>1</v>
      </c>
    </row>
    <row r="677" spans="2:6">
      <c r="B677" s="115" t="s">
        <v>3523</v>
      </c>
      <c r="C677" s="115" t="s">
        <v>3524</v>
      </c>
      <c r="D677" s="115" t="s">
        <v>2171</v>
      </c>
      <c r="E677" s="115" t="s">
        <v>29</v>
      </c>
      <c r="F677" s="115">
        <v>3</v>
      </c>
    </row>
    <row r="678" spans="2:6">
      <c r="B678" s="115" t="s">
        <v>3525</v>
      </c>
      <c r="C678" s="115" t="s">
        <v>3526</v>
      </c>
      <c r="D678" s="115" t="s">
        <v>2171</v>
      </c>
      <c r="E678" s="115" t="s">
        <v>29</v>
      </c>
      <c r="F678" s="115">
        <v>3</v>
      </c>
    </row>
    <row r="679" spans="2:6">
      <c r="B679" s="115" t="s">
        <v>3527</v>
      </c>
      <c r="C679" s="115" t="s">
        <v>3528</v>
      </c>
      <c r="D679" s="115" t="s">
        <v>2171</v>
      </c>
      <c r="E679" s="115" t="s">
        <v>29</v>
      </c>
      <c r="F679" s="115">
        <v>3</v>
      </c>
    </row>
    <row r="680" spans="2:6">
      <c r="B680" s="115" t="s">
        <v>3529</v>
      </c>
      <c r="C680" s="115" t="s">
        <v>3530</v>
      </c>
      <c r="D680" s="115" t="s">
        <v>2171</v>
      </c>
      <c r="E680" s="115" t="s">
        <v>29</v>
      </c>
      <c r="F680" s="115">
        <v>1</v>
      </c>
    </row>
    <row r="681" spans="2:6">
      <c r="B681" s="115" t="s">
        <v>3531</v>
      </c>
      <c r="C681" s="115" t="s">
        <v>3532</v>
      </c>
      <c r="D681" s="115" t="s">
        <v>2171</v>
      </c>
      <c r="E681" s="115" t="s">
        <v>29</v>
      </c>
      <c r="F681" s="115">
        <v>3</v>
      </c>
    </row>
    <row r="682" spans="2:6">
      <c r="B682" s="115" t="s">
        <v>3533</v>
      </c>
      <c r="C682" s="115" t="s">
        <v>3534</v>
      </c>
      <c r="D682" s="115" t="s">
        <v>2171</v>
      </c>
      <c r="E682" s="115" t="s">
        <v>29</v>
      </c>
      <c r="F682" s="115">
        <v>3</v>
      </c>
    </row>
    <row r="683" spans="2:6">
      <c r="B683" s="115" t="s">
        <v>3535</v>
      </c>
      <c r="C683" s="115" t="s">
        <v>3536</v>
      </c>
      <c r="D683" s="115" t="s">
        <v>2171</v>
      </c>
      <c r="E683" s="115" t="s">
        <v>29</v>
      </c>
      <c r="F683" s="115">
        <v>3</v>
      </c>
    </row>
    <row r="684" spans="2:6">
      <c r="B684" s="115" t="s">
        <v>3537</v>
      </c>
      <c r="C684" s="115" t="s">
        <v>3538</v>
      </c>
      <c r="D684" s="115" t="s">
        <v>2171</v>
      </c>
      <c r="E684" s="115" t="s">
        <v>29</v>
      </c>
      <c r="F684" s="115">
        <v>3</v>
      </c>
    </row>
    <row r="685" spans="2:6">
      <c r="B685" s="115" t="s">
        <v>3539</v>
      </c>
      <c r="C685" s="115" t="s">
        <v>3540</v>
      </c>
      <c r="D685" s="115" t="s">
        <v>2171</v>
      </c>
      <c r="E685" s="115" t="s">
        <v>29</v>
      </c>
      <c r="F685" s="115">
        <v>3</v>
      </c>
    </row>
    <row r="686" spans="2:6">
      <c r="B686" s="115" t="s">
        <v>3541</v>
      </c>
      <c r="C686" s="115" t="s">
        <v>3542</v>
      </c>
      <c r="D686" s="115" t="s">
        <v>2171</v>
      </c>
      <c r="E686" s="115" t="s">
        <v>29</v>
      </c>
      <c r="F686" s="115">
        <v>3</v>
      </c>
    </row>
    <row r="687" spans="2:6">
      <c r="B687" s="115" t="s">
        <v>3543</v>
      </c>
      <c r="C687" s="115" t="s">
        <v>3544</v>
      </c>
      <c r="D687" s="115" t="s">
        <v>2171</v>
      </c>
      <c r="E687" s="115" t="s">
        <v>29</v>
      </c>
      <c r="F687" s="115">
        <v>1</v>
      </c>
    </row>
    <row r="688" spans="2:6">
      <c r="B688" s="115" t="s">
        <v>3545</v>
      </c>
      <c r="C688" s="115" t="s">
        <v>3546</v>
      </c>
      <c r="D688" s="115" t="s">
        <v>2171</v>
      </c>
      <c r="E688" s="115" t="s">
        <v>29</v>
      </c>
      <c r="F688" s="115">
        <v>2</v>
      </c>
    </row>
    <row r="689" spans="2:6">
      <c r="B689" s="115" t="s">
        <v>3547</v>
      </c>
      <c r="C689" s="115" t="s">
        <v>3548</v>
      </c>
      <c r="D689" s="115" t="s">
        <v>2171</v>
      </c>
      <c r="E689" s="115" t="s">
        <v>29</v>
      </c>
      <c r="F689" s="115">
        <v>1</v>
      </c>
    </row>
    <row r="690" spans="2:6">
      <c r="B690" s="115" t="s">
        <v>3549</v>
      </c>
      <c r="C690" s="115" t="s">
        <v>3550</v>
      </c>
      <c r="D690" s="115" t="s">
        <v>2171</v>
      </c>
      <c r="E690" s="115" t="s">
        <v>2332</v>
      </c>
      <c r="F690" s="115">
        <v>1</v>
      </c>
    </row>
    <row r="691" spans="2:6">
      <c r="B691" s="115" t="s">
        <v>3551</v>
      </c>
      <c r="C691" s="115" t="s">
        <v>3552</v>
      </c>
      <c r="D691" s="115" t="s">
        <v>2171</v>
      </c>
      <c r="E691" s="115" t="s">
        <v>2332</v>
      </c>
      <c r="F691" s="115">
        <v>3</v>
      </c>
    </row>
    <row r="692" spans="2:6">
      <c r="B692" s="115" t="s">
        <v>3553</v>
      </c>
      <c r="C692" s="115" t="s">
        <v>3554</v>
      </c>
      <c r="D692" s="115" t="s">
        <v>2171</v>
      </c>
      <c r="E692" s="115" t="s">
        <v>29</v>
      </c>
      <c r="F692" s="115">
        <v>1</v>
      </c>
    </row>
    <row r="693" spans="2:6">
      <c r="B693" s="115" t="s">
        <v>3555</v>
      </c>
      <c r="C693" s="115" t="s">
        <v>3556</v>
      </c>
      <c r="D693" s="115" t="s">
        <v>2171</v>
      </c>
      <c r="E693" s="115" t="s">
        <v>29</v>
      </c>
      <c r="F693" s="115">
        <v>2</v>
      </c>
    </row>
    <row r="694" spans="2:6">
      <c r="B694" s="115" t="s">
        <v>3557</v>
      </c>
      <c r="C694" s="115" t="s">
        <v>3558</v>
      </c>
      <c r="D694" s="115" t="s">
        <v>2171</v>
      </c>
      <c r="E694" s="115" t="s">
        <v>29</v>
      </c>
      <c r="F694" s="115">
        <v>1</v>
      </c>
    </row>
    <row r="695" spans="2:6">
      <c r="B695" s="115" t="s">
        <v>3559</v>
      </c>
      <c r="C695" s="115" t="s">
        <v>3560</v>
      </c>
      <c r="D695" s="115" t="s">
        <v>2171</v>
      </c>
      <c r="E695" s="115" t="s">
        <v>2332</v>
      </c>
      <c r="F695" s="115">
        <v>3</v>
      </c>
    </row>
    <row r="696" spans="2:6">
      <c r="B696" s="115" t="s">
        <v>3561</v>
      </c>
      <c r="C696" s="115" t="s">
        <v>3562</v>
      </c>
      <c r="D696" s="115" t="s">
        <v>2171</v>
      </c>
      <c r="E696" s="115" t="s">
        <v>29</v>
      </c>
      <c r="F696" s="115">
        <v>1</v>
      </c>
    </row>
    <row r="697" spans="2:6">
      <c r="B697" s="115" t="s">
        <v>3563</v>
      </c>
      <c r="C697" s="115" t="s">
        <v>3564</v>
      </c>
      <c r="D697" s="115" t="s">
        <v>2171</v>
      </c>
      <c r="E697" s="115" t="s">
        <v>29</v>
      </c>
      <c r="F697" s="115">
        <v>1</v>
      </c>
    </row>
    <row r="698" spans="2:6">
      <c r="B698" s="115" t="s">
        <v>3565</v>
      </c>
      <c r="C698" s="115" t="s">
        <v>3566</v>
      </c>
      <c r="D698" s="115" t="s">
        <v>2171</v>
      </c>
      <c r="E698" s="115" t="s">
        <v>29</v>
      </c>
      <c r="F698" s="115">
        <v>1</v>
      </c>
    </row>
    <row r="699" spans="2:6">
      <c r="B699" s="115" t="s">
        <v>3567</v>
      </c>
      <c r="C699" s="115" t="s">
        <v>3568</v>
      </c>
      <c r="D699" s="115" t="s">
        <v>2171</v>
      </c>
      <c r="E699" s="115" t="s">
        <v>29</v>
      </c>
      <c r="F699" s="115">
        <v>2</v>
      </c>
    </row>
    <row r="700" spans="2:6">
      <c r="B700" s="115" t="s">
        <v>3569</v>
      </c>
      <c r="C700" s="115" t="s">
        <v>3570</v>
      </c>
      <c r="D700" s="115" t="s">
        <v>2171</v>
      </c>
      <c r="E700" s="115" t="s">
        <v>2332</v>
      </c>
      <c r="F700" s="115">
        <v>2</v>
      </c>
    </row>
    <row r="701" spans="2:6">
      <c r="B701" s="115" t="s">
        <v>3571</v>
      </c>
      <c r="C701" s="115" t="s">
        <v>3572</v>
      </c>
      <c r="D701" s="115" t="s">
        <v>2171</v>
      </c>
      <c r="E701" s="115" t="s">
        <v>29</v>
      </c>
      <c r="F701" s="115">
        <v>1</v>
      </c>
    </row>
    <row r="702" spans="2:6">
      <c r="B702" s="115" t="s">
        <v>3573</v>
      </c>
      <c r="C702" s="115" t="s">
        <v>3574</v>
      </c>
      <c r="D702" s="115" t="s">
        <v>2171</v>
      </c>
      <c r="E702" s="115" t="s">
        <v>29</v>
      </c>
      <c r="F702" s="115">
        <v>3</v>
      </c>
    </row>
    <row r="703" spans="2:6">
      <c r="B703" s="115" t="s">
        <v>3575</v>
      </c>
      <c r="C703" s="115" t="s">
        <v>3576</v>
      </c>
      <c r="D703" s="115" t="s">
        <v>2171</v>
      </c>
      <c r="E703" s="115" t="s">
        <v>29</v>
      </c>
      <c r="F703" s="115">
        <v>3</v>
      </c>
    </row>
    <row r="704" spans="2:6">
      <c r="B704" s="115" t="s">
        <v>3577</v>
      </c>
      <c r="C704" s="115" t="s">
        <v>3578</v>
      </c>
      <c r="D704" s="115" t="s">
        <v>2171</v>
      </c>
      <c r="E704" s="115" t="s">
        <v>29</v>
      </c>
      <c r="F704" s="115">
        <v>3</v>
      </c>
    </row>
    <row r="705" spans="2:6">
      <c r="B705" s="115" t="s">
        <v>3579</v>
      </c>
      <c r="C705" s="115" t="s">
        <v>3580</v>
      </c>
      <c r="D705" s="115" t="s">
        <v>2171</v>
      </c>
      <c r="E705" s="115" t="s">
        <v>29</v>
      </c>
      <c r="F705" s="115">
        <v>3</v>
      </c>
    </row>
    <row r="706" spans="2:6">
      <c r="B706" s="115" t="s">
        <v>3581</v>
      </c>
      <c r="C706" s="115" t="s">
        <v>3582</v>
      </c>
      <c r="D706" s="115" t="s">
        <v>2171</v>
      </c>
      <c r="E706" s="115" t="s">
        <v>29</v>
      </c>
      <c r="F706" s="115">
        <v>1</v>
      </c>
    </row>
    <row r="707" spans="2:6">
      <c r="B707" s="115" t="s">
        <v>3583</v>
      </c>
      <c r="C707" s="115" t="s">
        <v>3584</v>
      </c>
      <c r="D707" s="115" t="s">
        <v>2171</v>
      </c>
      <c r="E707" s="115" t="s">
        <v>29</v>
      </c>
      <c r="F707" s="115">
        <v>3</v>
      </c>
    </row>
    <row r="708" spans="2:6">
      <c r="B708" s="115" t="s">
        <v>3585</v>
      </c>
      <c r="C708" s="115" t="s">
        <v>3586</v>
      </c>
      <c r="D708" s="115" t="s">
        <v>2171</v>
      </c>
      <c r="E708" s="115" t="s">
        <v>29</v>
      </c>
      <c r="F708" s="115">
        <v>2</v>
      </c>
    </row>
    <row r="709" spans="2:6">
      <c r="B709" s="115" t="s">
        <v>3587</v>
      </c>
      <c r="C709" s="115" t="s">
        <v>3588</v>
      </c>
      <c r="D709" s="115" t="s">
        <v>2171</v>
      </c>
      <c r="E709" s="115" t="s">
        <v>2332</v>
      </c>
      <c r="F709" s="115">
        <v>3</v>
      </c>
    </row>
    <row r="710" spans="2:6">
      <c r="B710" s="115" t="s">
        <v>3589</v>
      </c>
      <c r="C710" s="115" t="s">
        <v>3590</v>
      </c>
      <c r="D710" s="115" t="s">
        <v>2171</v>
      </c>
      <c r="E710" s="115" t="s">
        <v>29</v>
      </c>
      <c r="F710" s="115">
        <v>1</v>
      </c>
    </row>
    <row r="711" spans="2:6">
      <c r="B711" s="115" t="s">
        <v>3591</v>
      </c>
      <c r="C711" s="115" t="s">
        <v>3592</v>
      </c>
      <c r="D711" s="115" t="s">
        <v>2171</v>
      </c>
      <c r="E711" s="115" t="s">
        <v>29</v>
      </c>
      <c r="F711" s="115">
        <v>1</v>
      </c>
    </row>
    <row r="712" spans="2:6">
      <c r="B712" s="115" t="s">
        <v>3593</v>
      </c>
      <c r="C712" s="115" t="s">
        <v>3594</v>
      </c>
      <c r="D712" s="115" t="s">
        <v>2171</v>
      </c>
      <c r="E712" s="115" t="s">
        <v>2332</v>
      </c>
      <c r="F712" s="115">
        <v>1</v>
      </c>
    </row>
    <row r="713" spans="2:6">
      <c r="B713" s="115" t="s">
        <v>3595</v>
      </c>
      <c r="C713" s="115" t="s">
        <v>3596</v>
      </c>
      <c r="D713" s="115" t="s">
        <v>2171</v>
      </c>
      <c r="E713" s="115" t="s">
        <v>29</v>
      </c>
      <c r="F713" s="115">
        <v>1</v>
      </c>
    </row>
    <row r="714" spans="2:6">
      <c r="B714" s="115" t="s">
        <v>3597</v>
      </c>
      <c r="C714" s="115" t="s">
        <v>3598</v>
      </c>
      <c r="D714" s="115" t="s">
        <v>2171</v>
      </c>
      <c r="E714" s="115" t="s">
        <v>2332</v>
      </c>
      <c r="F714" s="115">
        <v>1</v>
      </c>
    </row>
    <row r="715" spans="2:6">
      <c r="B715" s="115" t="s">
        <v>3599</v>
      </c>
      <c r="C715" s="115" t="s">
        <v>3600</v>
      </c>
      <c r="D715" s="115" t="s">
        <v>2171</v>
      </c>
      <c r="E715" s="115" t="s">
        <v>29</v>
      </c>
      <c r="F715" s="115">
        <v>1</v>
      </c>
    </row>
    <row r="716" spans="2:6">
      <c r="B716" s="115" t="s">
        <v>3602</v>
      </c>
      <c r="C716" s="115" t="s">
        <v>3603</v>
      </c>
      <c r="D716" s="115" t="s">
        <v>3601</v>
      </c>
      <c r="E716" s="115" t="s">
        <v>35</v>
      </c>
      <c r="F716" s="115">
        <v>3</v>
      </c>
    </row>
    <row r="717" spans="2:6">
      <c r="B717" s="115" t="s">
        <v>3604</v>
      </c>
      <c r="C717" s="115" t="s">
        <v>3605</v>
      </c>
      <c r="D717" s="115" t="s">
        <v>3601</v>
      </c>
      <c r="E717" s="115" t="s">
        <v>35</v>
      </c>
      <c r="F717" s="115">
        <v>3</v>
      </c>
    </row>
    <row r="718" spans="2:6">
      <c r="B718" s="115" t="s">
        <v>3606</v>
      </c>
      <c r="C718" s="115" t="s">
        <v>3607</v>
      </c>
      <c r="D718" s="115" t="s">
        <v>3601</v>
      </c>
      <c r="E718" s="115" t="s">
        <v>35</v>
      </c>
      <c r="F718" s="115">
        <v>3</v>
      </c>
    </row>
    <row r="719" spans="2:6">
      <c r="B719" s="115" t="s">
        <v>3608</v>
      </c>
      <c r="C719" s="115" t="s">
        <v>3609</v>
      </c>
      <c r="D719" s="115" t="s">
        <v>3601</v>
      </c>
      <c r="E719" s="115" t="s">
        <v>35</v>
      </c>
      <c r="F719" s="115">
        <v>3</v>
      </c>
    </row>
    <row r="720" spans="2:6">
      <c r="B720" s="115" t="s">
        <v>3610</v>
      </c>
      <c r="C720" s="115" t="s">
        <v>3611</v>
      </c>
      <c r="D720" s="115" t="s">
        <v>3601</v>
      </c>
      <c r="E720" s="115" t="s">
        <v>35</v>
      </c>
      <c r="F720" s="115">
        <v>3</v>
      </c>
    </row>
    <row r="721" spans="2:6">
      <c r="B721" s="115" t="s">
        <v>3612</v>
      </c>
      <c r="C721" s="115" t="s">
        <v>3613</v>
      </c>
      <c r="D721" s="115" t="s">
        <v>3601</v>
      </c>
      <c r="E721" s="115" t="s">
        <v>35</v>
      </c>
      <c r="F721" s="115">
        <v>3</v>
      </c>
    </row>
    <row r="722" spans="2:6">
      <c r="B722" s="115" t="s">
        <v>3614</v>
      </c>
      <c r="C722" s="115" t="s">
        <v>3615</v>
      </c>
      <c r="D722" s="115" t="s">
        <v>3601</v>
      </c>
      <c r="E722" s="115" t="s">
        <v>35</v>
      </c>
      <c r="F722" s="115">
        <v>3</v>
      </c>
    </row>
    <row r="723" spans="2:6">
      <c r="B723" s="115" t="s">
        <v>3616</v>
      </c>
      <c r="C723" s="115" t="s">
        <v>3617</v>
      </c>
      <c r="D723" s="115" t="s">
        <v>3601</v>
      </c>
      <c r="E723" s="115" t="s">
        <v>35</v>
      </c>
      <c r="F723" s="115">
        <v>3</v>
      </c>
    </row>
    <row r="724" spans="2:6">
      <c r="B724" s="115" t="s">
        <v>3618</v>
      </c>
      <c r="C724" s="115" t="s">
        <v>3619</v>
      </c>
      <c r="D724" s="115" t="s">
        <v>3601</v>
      </c>
      <c r="E724" s="115" t="s">
        <v>35</v>
      </c>
      <c r="F724" s="115">
        <v>3</v>
      </c>
    </row>
    <row r="725" spans="2:6">
      <c r="B725" s="115" t="s">
        <v>3620</v>
      </c>
      <c r="C725" s="115" t="s">
        <v>3621</v>
      </c>
      <c r="D725" s="115" t="s">
        <v>3601</v>
      </c>
      <c r="E725" s="115" t="s">
        <v>221</v>
      </c>
      <c r="F725" s="115">
        <v>3</v>
      </c>
    </row>
    <row r="726" spans="2:6">
      <c r="B726" s="115" t="s">
        <v>3622</v>
      </c>
      <c r="C726" s="115" t="s">
        <v>3623</v>
      </c>
      <c r="D726" s="115" t="s">
        <v>3601</v>
      </c>
      <c r="E726" s="115" t="s">
        <v>221</v>
      </c>
      <c r="F726" s="115">
        <v>3</v>
      </c>
    </row>
    <row r="727" spans="2:6">
      <c r="B727" s="115" t="s">
        <v>3624</v>
      </c>
      <c r="C727" s="115" t="s">
        <v>3625</v>
      </c>
      <c r="D727" s="115" t="s">
        <v>3601</v>
      </c>
      <c r="E727" s="115" t="s">
        <v>221</v>
      </c>
      <c r="F727" s="115">
        <v>3</v>
      </c>
    </row>
    <row r="728" spans="2:6">
      <c r="B728" s="115" t="s">
        <v>3626</v>
      </c>
      <c r="C728" s="115" t="s">
        <v>3627</v>
      </c>
      <c r="D728" s="115" t="s">
        <v>3601</v>
      </c>
      <c r="E728" s="115" t="s">
        <v>221</v>
      </c>
      <c r="F728" s="115">
        <v>3</v>
      </c>
    </row>
    <row r="729" spans="2:6">
      <c r="B729" s="115" t="s">
        <v>3628</v>
      </c>
      <c r="C729" s="115" t="s">
        <v>3629</v>
      </c>
      <c r="D729" s="115" t="s">
        <v>3601</v>
      </c>
      <c r="E729" s="115" t="s">
        <v>221</v>
      </c>
      <c r="F729" s="115">
        <v>3</v>
      </c>
    </row>
    <row r="730" spans="2:6">
      <c r="B730" s="115" t="s">
        <v>3630</v>
      </c>
      <c r="C730" s="115" t="s">
        <v>3631</v>
      </c>
      <c r="D730" s="115" t="s">
        <v>3601</v>
      </c>
      <c r="E730" s="115" t="s">
        <v>221</v>
      </c>
      <c r="F730" s="115">
        <v>3</v>
      </c>
    </row>
    <row r="731" spans="2:6">
      <c r="B731" s="115" t="s">
        <v>3632</v>
      </c>
      <c r="C731" s="115" t="s">
        <v>3633</v>
      </c>
      <c r="D731" s="115" t="s">
        <v>3601</v>
      </c>
      <c r="E731" s="115" t="s">
        <v>221</v>
      </c>
      <c r="F731" s="115">
        <v>3</v>
      </c>
    </row>
    <row r="732" spans="2:6">
      <c r="B732" s="115" t="s">
        <v>3634</v>
      </c>
      <c r="C732" s="115" t="s">
        <v>3635</v>
      </c>
      <c r="D732" s="115" t="s">
        <v>3601</v>
      </c>
      <c r="E732" s="115" t="s">
        <v>221</v>
      </c>
      <c r="F732" s="115">
        <v>3</v>
      </c>
    </row>
    <row r="733" spans="2:6">
      <c r="B733" s="115" t="s">
        <v>3636</v>
      </c>
      <c r="C733" s="115" t="s">
        <v>3637</v>
      </c>
      <c r="D733" s="115" t="s">
        <v>3601</v>
      </c>
      <c r="E733" s="115" t="s">
        <v>221</v>
      </c>
      <c r="F733" s="115">
        <v>3</v>
      </c>
    </row>
    <row r="734" spans="2:6">
      <c r="B734" s="115" t="s">
        <v>3638</v>
      </c>
      <c r="C734" s="115" t="s">
        <v>3639</v>
      </c>
      <c r="D734" s="115" t="s">
        <v>3601</v>
      </c>
      <c r="E734" s="115" t="s">
        <v>221</v>
      </c>
      <c r="F734" s="115">
        <v>3</v>
      </c>
    </row>
    <row r="735" spans="2:6">
      <c r="B735" s="115" t="s">
        <v>3640</v>
      </c>
      <c r="C735" s="115" t="s">
        <v>3641</v>
      </c>
      <c r="D735" s="115" t="s">
        <v>3601</v>
      </c>
      <c r="E735" s="115" t="s">
        <v>221</v>
      </c>
      <c r="F735" s="115">
        <v>3</v>
      </c>
    </row>
    <row r="736" spans="2:6">
      <c r="B736" s="115" t="s">
        <v>3642</v>
      </c>
      <c r="C736" s="115" t="s">
        <v>3643</v>
      </c>
      <c r="D736" s="115" t="s">
        <v>3601</v>
      </c>
      <c r="E736" s="115" t="s">
        <v>221</v>
      </c>
      <c r="F736" s="115">
        <v>3</v>
      </c>
    </row>
    <row r="737" spans="2:6">
      <c r="B737" s="115" t="s">
        <v>3644</v>
      </c>
      <c r="C737" s="115" t="s">
        <v>3645</v>
      </c>
      <c r="D737" s="115" t="s">
        <v>3601</v>
      </c>
      <c r="E737" s="115" t="s">
        <v>29</v>
      </c>
      <c r="F737" s="115">
        <v>1</v>
      </c>
    </row>
    <row r="738" spans="2:6">
      <c r="B738" s="115" t="s">
        <v>3646</v>
      </c>
      <c r="C738" s="115" t="s">
        <v>3647</v>
      </c>
      <c r="D738" s="115" t="s">
        <v>3601</v>
      </c>
      <c r="E738" s="115" t="s">
        <v>29</v>
      </c>
      <c r="F738" s="115">
        <v>1</v>
      </c>
    </row>
    <row r="739" spans="2:6">
      <c r="B739" s="115" t="s">
        <v>3648</v>
      </c>
      <c r="C739" s="115" t="s">
        <v>3649</v>
      </c>
      <c r="D739" s="115" t="s">
        <v>3601</v>
      </c>
      <c r="E739" s="115" t="s">
        <v>29</v>
      </c>
      <c r="F739" s="115">
        <v>3</v>
      </c>
    </row>
    <row r="740" spans="2:6">
      <c r="B740" s="115" t="s">
        <v>3650</v>
      </c>
      <c r="C740" s="115" t="s">
        <v>3651</v>
      </c>
      <c r="D740" s="115" t="s">
        <v>3601</v>
      </c>
      <c r="E740" s="115" t="s">
        <v>29</v>
      </c>
      <c r="F740" s="115">
        <v>1</v>
      </c>
    </row>
    <row r="741" spans="2:6">
      <c r="B741" s="115" t="s">
        <v>3652</v>
      </c>
      <c r="C741" s="115" t="s">
        <v>3653</v>
      </c>
      <c r="D741" s="115" t="s">
        <v>3601</v>
      </c>
      <c r="E741" s="115" t="s">
        <v>29</v>
      </c>
      <c r="F741" s="115">
        <v>3</v>
      </c>
    </row>
    <row r="742" spans="2:6">
      <c r="B742" s="115" t="s">
        <v>3654</v>
      </c>
      <c r="C742" s="115" t="s">
        <v>3655</v>
      </c>
      <c r="D742" s="115" t="s">
        <v>3601</v>
      </c>
      <c r="E742" s="115" t="s">
        <v>29</v>
      </c>
      <c r="F742" s="115">
        <v>3</v>
      </c>
    </row>
    <row r="743" spans="2:6">
      <c r="B743" s="115" t="s">
        <v>3656</v>
      </c>
      <c r="C743" s="115" t="s">
        <v>3657</v>
      </c>
      <c r="D743" s="115" t="s">
        <v>3601</v>
      </c>
      <c r="E743" s="115" t="s">
        <v>2332</v>
      </c>
      <c r="F743" s="115">
        <v>2</v>
      </c>
    </row>
    <row r="744" spans="2:6">
      <c r="B744" s="115" t="s">
        <v>3658</v>
      </c>
      <c r="C744" s="115" t="s">
        <v>3659</v>
      </c>
      <c r="D744" s="115" t="s">
        <v>3601</v>
      </c>
      <c r="E744" s="115" t="s">
        <v>29</v>
      </c>
      <c r="F744" s="115">
        <v>1</v>
      </c>
    </row>
    <row r="745" spans="2:6">
      <c r="B745" s="115" t="s">
        <v>3660</v>
      </c>
      <c r="C745" s="115" t="s">
        <v>3661</v>
      </c>
      <c r="D745" s="115" t="s">
        <v>3601</v>
      </c>
      <c r="E745" s="115" t="s">
        <v>29</v>
      </c>
      <c r="F745" s="115">
        <v>1</v>
      </c>
    </row>
    <row r="746" spans="2:6">
      <c r="B746" s="115" t="s">
        <v>3662</v>
      </c>
      <c r="C746" s="115" t="s">
        <v>3663</v>
      </c>
      <c r="D746" s="115" t="s">
        <v>3601</v>
      </c>
      <c r="E746" s="115" t="s">
        <v>29</v>
      </c>
      <c r="F746" s="115">
        <v>3</v>
      </c>
    </row>
    <row r="747" spans="2:6">
      <c r="B747" s="115" t="s">
        <v>3664</v>
      </c>
      <c r="C747" s="115" t="s">
        <v>3665</v>
      </c>
      <c r="D747" s="115" t="s">
        <v>3601</v>
      </c>
      <c r="E747" s="115" t="s">
        <v>29</v>
      </c>
      <c r="F747" s="115">
        <v>3</v>
      </c>
    </row>
    <row r="748" spans="2:6">
      <c r="B748" s="115" t="s">
        <v>3666</v>
      </c>
      <c r="C748" s="115" t="s">
        <v>3667</v>
      </c>
      <c r="D748" s="115" t="s">
        <v>3601</v>
      </c>
      <c r="E748" s="115" t="s">
        <v>29</v>
      </c>
      <c r="F748" s="115">
        <v>2</v>
      </c>
    </row>
    <row r="749" spans="2:6">
      <c r="B749" s="115" t="s">
        <v>3668</v>
      </c>
      <c r="C749" s="115" t="s">
        <v>3669</v>
      </c>
      <c r="D749" s="115" t="s">
        <v>3601</v>
      </c>
      <c r="E749" s="115" t="s">
        <v>29</v>
      </c>
      <c r="F749" s="115">
        <v>1</v>
      </c>
    </row>
    <row r="750" spans="2:6">
      <c r="B750" s="115" t="s">
        <v>3670</v>
      </c>
      <c r="C750" s="115" t="s">
        <v>3671</v>
      </c>
      <c r="D750" s="115" t="s">
        <v>3601</v>
      </c>
      <c r="E750" s="115" t="s">
        <v>29</v>
      </c>
      <c r="F750" s="115">
        <v>2</v>
      </c>
    </row>
    <row r="751" spans="2:6">
      <c r="B751" s="115" t="s">
        <v>3672</v>
      </c>
      <c r="C751" s="115" t="s">
        <v>3673</v>
      </c>
      <c r="D751" s="115" t="s">
        <v>3601</v>
      </c>
      <c r="E751" s="115" t="s">
        <v>29</v>
      </c>
      <c r="F751" s="115">
        <v>3</v>
      </c>
    </row>
    <row r="752" spans="2:6">
      <c r="B752" s="115" t="s">
        <v>3674</v>
      </c>
      <c r="C752" s="115" t="s">
        <v>3675</v>
      </c>
      <c r="D752" s="115" t="s">
        <v>3601</v>
      </c>
      <c r="E752" s="115" t="s">
        <v>29</v>
      </c>
      <c r="F752" s="115">
        <v>1</v>
      </c>
    </row>
    <row r="753" spans="2:6">
      <c r="B753" s="115" t="s">
        <v>3676</v>
      </c>
      <c r="C753" s="115" t="s">
        <v>3677</v>
      </c>
      <c r="D753" s="115" t="s">
        <v>3601</v>
      </c>
      <c r="E753" s="115" t="s">
        <v>29</v>
      </c>
      <c r="F753" s="115">
        <v>1</v>
      </c>
    </row>
    <row r="754" spans="2:6">
      <c r="B754" s="115" t="s">
        <v>3678</v>
      </c>
      <c r="C754" s="115" t="s">
        <v>3679</v>
      </c>
      <c r="D754" s="115" t="s">
        <v>3601</v>
      </c>
      <c r="E754" s="115" t="s">
        <v>29</v>
      </c>
      <c r="F754" s="115">
        <v>3</v>
      </c>
    </row>
    <row r="755" spans="2:6">
      <c r="B755" s="115" t="s">
        <v>3680</v>
      </c>
      <c r="C755" s="115" t="s">
        <v>3681</v>
      </c>
      <c r="D755" s="115" t="s">
        <v>3601</v>
      </c>
      <c r="E755" s="115" t="s">
        <v>29</v>
      </c>
      <c r="F755" s="115">
        <v>2</v>
      </c>
    </row>
    <row r="756" spans="2:6">
      <c r="B756" s="115" t="s">
        <v>3682</v>
      </c>
      <c r="C756" s="115" t="s">
        <v>3683</v>
      </c>
      <c r="D756" s="115" t="s">
        <v>3601</v>
      </c>
      <c r="E756" s="115" t="s">
        <v>29</v>
      </c>
      <c r="F756" s="115">
        <v>1</v>
      </c>
    </row>
    <row r="757" spans="2:6">
      <c r="B757" s="115" t="s">
        <v>3684</v>
      </c>
      <c r="C757" s="115" t="s">
        <v>3685</v>
      </c>
      <c r="D757" s="115" t="s">
        <v>3601</v>
      </c>
      <c r="E757" s="115" t="s">
        <v>29</v>
      </c>
      <c r="F757" s="115">
        <v>2</v>
      </c>
    </row>
    <row r="758" spans="2:6">
      <c r="B758" s="115" t="s">
        <v>3686</v>
      </c>
      <c r="C758" s="115" t="s">
        <v>3687</v>
      </c>
      <c r="D758" s="115" t="s">
        <v>3601</v>
      </c>
      <c r="E758" s="115" t="s">
        <v>29</v>
      </c>
      <c r="F758" s="115">
        <v>3</v>
      </c>
    </row>
    <row r="759" spans="2:6">
      <c r="B759" s="115" t="s">
        <v>3688</v>
      </c>
      <c r="C759" s="115" t="s">
        <v>3689</v>
      </c>
      <c r="D759" s="115" t="s">
        <v>3601</v>
      </c>
      <c r="E759" s="115" t="s">
        <v>29</v>
      </c>
      <c r="F759" s="115">
        <v>3</v>
      </c>
    </row>
    <row r="760" spans="2:6">
      <c r="B760" s="115" t="s">
        <v>3690</v>
      </c>
      <c r="C760" s="115" t="s">
        <v>3691</v>
      </c>
      <c r="D760" s="115" t="s">
        <v>3601</v>
      </c>
      <c r="E760" s="115" t="s">
        <v>29</v>
      </c>
      <c r="F760" s="115">
        <v>3</v>
      </c>
    </row>
    <row r="761" spans="2:6">
      <c r="B761" s="115" t="s">
        <v>3692</v>
      </c>
      <c r="C761" s="115" t="s">
        <v>3693</v>
      </c>
      <c r="D761" s="115" t="s">
        <v>3601</v>
      </c>
      <c r="E761" s="115" t="s">
        <v>29</v>
      </c>
      <c r="F761" s="115">
        <v>3</v>
      </c>
    </row>
    <row r="762" spans="2:6">
      <c r="B762" s="115" t="s">
        <v>3694</v>
      </c>
      <c r="C762" s="115" t="s">
        <v>3695</v>
      </c>
      <c r="D762" s="115" t="s">
        <v>3601</v>
      </c>
      <c r="E762" s="115" t="s">
        <v>29</v>
      </c>
      <c r="F762" s="115">
        <v>3</v>
      </c>
    </row>
    <row r="763" spans="2:6">
      <c r="B763" s="115" t="s">
        <v>3696</v>
      </c>
      <c r="C763" s="115" t="s">
        <v>3697</v>
      </c>
      <c r="D763" s="115" t="s">
        <v>3601</v>
      </c>
      <c r="E763" s="115" t="s">
        <v>29</v>
      </c>
      <c r="F763" s="115">
        <v>3</v>
      </c>
    </row>
    <row r="764" spans="2:6">
      <c r="B764" s="115" t="s">
        <v>3698</v>
      </c>
      <c r="C764" s="115" t="s">
        <v>3699</v>
      </c>
      <c r="D764" s="115" t="s">
        <v>3601</v>
      </c>
      <c r="E764" s="115" t="s">
        <v>29</v>
      </c>
      <c r="F764" s="115">
        <v>3</v>
      </c>
    </row>
    <row r="765" spans="2:6">
      <c r="B765" s="115" t="s">
        <v>3700</v>
      </c>
      <c r="C765" s="115" t="s">
        <v>3701</v>
      </c>
      <c r="D765" s="115" t="s">
        <v>3601</v>
      </c>
      <c r="E765" s="115" t="s">
        <v>29</v>
      </c>
      <c r="F765" s="115">
        <v>3</v>
      </c>
    </row>
    <row r="766" spans="2:6">
      <c r="B766" s="115" t="s">
        <v>3702</v>
      </c>
      <c r="C766" s="115" t="s">
        <v>3703</v>
      </c>
      <c r="D766" s="115" t="s">
        <v>3601</v>
      </c>
      <c r="E766" s="115" t="s">
        <v>29</v>
      </c>
      <c r="F766" s="115">
        <v>3</v>
      </c>
    </row>
    <row r="767" spans="2:6">
      <c r="B767" s="115" t="s">
        <v>3704</v>
      </c>
      <c r="C767" s="115" t="s">
        <v>3705</v>
      </c>
      <c r="D767" s="115" t="s">
        <v>3601</v>
      </c>
      <c r="E767" s="115" t="s">
        <v>29</v>
      </c>
      <c r="F767" s="115">
        <v>3</v>
      </c>
    </row>
    <row r="768" spans="2:6">
      <c r="B768" s="115" t="s">
        <v>3706</v>
      </c>
      <c r="C768" s="115" t="s">
        <v>3707</v>
      </c>
      <c r="D768" s="115" t="s">
        <v>3601</v>
      </c>
      <c r="E768" s="115" t="s">
        <v>29</v>
      </c>
      <c r="F768" s="115">
        <v>3</v>
      </c>
    </row>
    <row r="769" spans="2:6">
      <c r="B769" s="115" t="s">
        <v>3708</v>
      </c>
      <c r="C769" s="115" t="s">
        <v>3709</v>
      </c>
      <c r="D769" s="115" t="s">
        <v>3601</v>
      </c>
      <c r="E769" s="115" t="s">
        <v>29</v>
      </c>
      <c r="F769" s="115">
        <v>3</v>
      </c>
    </row>
    <row r="770" spans="2:6">
      <c r="B770" s="115" t="s">
        <v>3710</v>
      </c>
      <c r="C770" s="115" t="s">
        <v>3711</v>
      </c>
      <c r="D770" s="115" t="s">
        <v>3601</v>
      </c>
      <c r="E770" s="115" t="s">
        <v>29</v>
      </c>
      <c r="F770" s="115">
        <v>2</v>
      </c>
    </row>
    <row r="771" spans="2:6">
      <c r="B771" s="115" t="s">
        <v>3712</v>
      </c>
      <c r="C771" s="115" t="s">
        <v>3713</v>
      </c>
      <c r="D771" s="115" t="s">
        <v>3601</v>
      </c>
      <c r="E771" s="115" t="s">
        <v>29</v>
      </c>
      <c r="F771" s="115">
        <v>3</v>
      </c>
    </row>
    <row r="772" spans="2:6">
      <c r="B772" s="115" t="s">
        <v>3714</v>
      </c>
      <c r="C772" s="115" t="s">
        <v>3715</v>
      </c>
      <c r="D772" s="115" t="s">
        <v>3601</v>
      </c>
      <c r="E772" s="115" t="s">
        <v>29</v>
      </c>
      <c r="F772" s="115">
        <v>1</v>
      </c>
    </row>
    <row r="773" spans="2:6">
      <c r="B773" s="115" t="s">
        <v>3716</v>
      </c>
      <c r="C773" s="115" t="s">
        <v>3717</v>
      </c>
      <c r="D773" s="115" t="s">
        <v>3601</v>
      </c>
      <c r="E773" s="115" t="s">
        <v>29</v>
      </c>
      <c r="F773" s="115">
        <v>1</v>
      </c>
    </row>
    <row r="774" spans="2:6">
      <c r="B774" s="115" t="s">
        <v>3718</v>
      </c>
      <c r="C774" s="115" t="s">
        <v>3719</v>
      </c>
      <c r="D774" s="115" t="s">
        <v>3601</v>
      </c>
      <c r="E774" s="115" t="s">
        <v>29</v>
      </c>
      <c r="F774" s="115">
        <v>1</v>
      </c>
    </row>
    <row r="775" spans="2:6">
      <c r="B775" s="115" t="s">
        <v>3720</v>
      </c>
      <c r="C775" s="115" t="s">
        <v>3721</v>
      </c>
      <c r="D775" s="115" t="s">
        <v>3601</v>
      </c>
      <c r="E775" s="115" t="s">
        <v>29</v>
      </c>
      <c r="F775" s="115">
        <v>1</v>
      </c>
    </row>
    <row r="776" spans="2:6">
      <c r="B776" s="115" t="s">
        <v>3722</v>
      </c>
      <c r="C776" s="115" t="s">
        <v>3723</v>
      </c>
      <c r="D776" s="115" t="s">
        <v>3601</v>
      </c>
      <c r="E776" s="115" t="s">
        <v>29</v>
      </c>
      <c r="F776" s="115">
        <v>3</v>
      </c>
    </row>
    <row r="777" spans="2:6">
      <c r="B777" s="115" t="s">
        <v>3724</v>
      </c>
      <c r="C777" s="115" t="s">
        <v>3725</v>
      </c>
      <c r="D777" s="115" t="s">
        <v>3601</v>
      </c>
      <c r="E777" s="115" t="s">
        <v>29</v>
      </c>
      <c r="F777" s="115">
        <v>3</v>
      </c>
    </row>
    <row r="778" spans="2:6">
      <c r="B778" s="115" t="s">
        <v>3726</v>
      </c>
      <c r="C778" s="115" t="s">
        <v>3727</v>
      </c>
      <c r="D778" s="115" t="s">
        <v>3601</v>
      </c>
      <c r="E778" s="115" t="s">
        <v>29</v>
      </c>
      <c r="F778" s="115">
        <v>1</v>
      </c>
    </row>
    <row r="779" spans="2:6">
      <c r="B779" s="115" t="s">
        <v>3728</v>
      </c>
      <c r="C779" s="115" t="s">
        <v>3729</v>
      </c>
      <c r="D779" s="115" t="s">
        <v>3601</v>
      </c>
      <c r="E779" s="115" t="s">
        <v>29</v>
      </c>
      <c r="F779" s="115">
        <v>1</v>
      </c>
    </row>
    <row r="780" spans="2:6">
      <c r="B780" s="115" t="s">
        <v>3730</v>
      </c>
      <c r="C780" s="115" t="s">
        <v>3731</v>
      </c>
      <c r="D780" s="115" t="s">
        <v>3601</v>
      </c>
      <c r="E780" s="115" t="s">
        <v>29</v>
      </c>
      <c r="F780" s="115">
        <v>2</v>
      </c>
    </row>
    <row r="781" spans="2:6">
      <c r="B781" s="115" t="s">
        <v>3732</v>
      </c>
      <c r="C781" s="115" t="s">
        <v>3733</v>
      </c>
      <c r="D781" s="115" t="s">
        <v>3601</v>
      </c>
      <c r="E781" s="115" t="s">
        <v>29</v>
      </c>
      <c r="F781" s="115">
        <v>3</v>
      </c>
    </row>
    <row r="782" spans="2:6">
      <c r="B782" s="115" t="s">
        <v>3734</v>
      </c>
      <c r="C782" s="115" t="s">
        <v>3735</v>
      </c>
      <c r="D782" s="115" t="s">
        <v>3601</v>
      </c>
      <c r="E782" s="115" t="s">
        <v>29</v>
      </c>
      <c r="F782" s="115">
        <v>3</v>
      </c>
    </row>
    <row r="783" spans="2:6">
      <c r="B783" s="115" t="s">
        <v>3736</v>
      </c>
      <c r="C783" s="115" t="s">
        <v>3737</v>
      </c>
      <c r="D783" s="115" t="s">
        <v>3601</v>
      </c>
      <c r="E783" s="115" t="s">
        <v>29</v>
      </c>
      <c r="F783" s="115">
        <v>3</v>
      </c>
    </row>
    <row r="784" spans="2:6">
      <c r="B784" s="115" t="s">
        <v>3738</v>
      </c>
      <c r="C784" s="115" t="s">
        <v>3739</v>
      </c>
      <c r="D784" s="115" t="s">
        <v>3601</v>
      </c>
      <c r="E784" s="115" t="s">
        <v>29</v>
      </c>
      <c r="F784" s="115">
        <v>3</v>
      </c>
    </row>
    <row r="785" spans="2:6">
      <c r="B785" s="115" t="s">
        <v>3740</v>
      </c>
      <c r="C785" s="115" t="s">
        <v>3741</v>
      </c>
      <c r="D785" s="115" t="s">
        <v>3601</v>
      </c>
      <c r="E785" s="115" t="s">
        <v>29</v>
      </c>
      <c r="F785" s="115">
        <v>3</v>
      </c>
    </row>
    <row r="786" spans="2:6">
      <c r="B786" s="115" t="s">
        <v>3742</v>
      </c>
      <c r="C786" s="115" t="s">
        <v>3743</v>
      </c>
      <c r="D786" s="115" t="s">
        <v>3601</v>
      </c>
      <c r="E786" s="115" t="s">
        <v>29</v>
      </c>
      <c r="F786" s="115">
        <v>3</v>
      </c>
    </row>
    <row r="787" spans="2:6">
      <c r="B787" s="115" t="s">
        <v>3744</v>
      </c>
      <c r="C787" s="115" t="s">
        <v>3745</v>
      </c>
      <c r="D787" s="115" t="s">
        <v>3601</v>
      </c>
      <c r="E787" s="115" t="s">
        <v>29</v>
      </c>
      <c r="F787" s="115">
        <v>3</v>
      </c>
    </row>
    <row r="788" spans="2:6">
      <c r="B788" s="115" t="s">
        <v>3746</v>
      </c>
      <c r="C788" s="115" t="s">
        <v>3747</v>
      </c>
      <c r="D788" s="115" t="s">
        <v>3601</v>
      </c>
      <c r="E788" s="115" t="s">
        <v>29</v>
      </c>
      <c r="F788" s="115">
        <v>1</v>
      </c>
    </row>
    <row r="789" spans="2:6">
      <c r="B789" s="115" t="s">
        <v>3748</v>
      </c>
      <c r="C789" s="115" t="s">
        <v>3749</v>
      </c>
      <c r="D789" s="115" t="s">
        <v>3601</v>
      </c>
      <c r="E789" s="115" t="s">
        <v>29</v>
      </c>
      <c r="F789" s="115">
        <v>1</v>
      </c>
    </row>
    <row r="790" spans="2:6">
      <c r="B790" s="115" t="s">
        <v>3750</v>
      </c>
      <c r="C790" s="115" t="s">
        <v>3751</v>
      </c>
      <c r="D790" s="115" t="s">
        <v>3601</v>
      </c>
      <c r="E790" s="115" t="s">
        <v>29</v>
      </c>
      <c r="F790" s="115">
        <v>1</v>
      </c>
    </row>
    <row r="791" spans="2:6">
      <c r="B791" s="115" t="s">
        <v>3752</v>
      </c>
      <c r="C791" s="115" t="s">
        <v>3753</v>
      </c>
      <c r="D791" s="115" t="s">
        <v>3601</v>
      </c>
      <c r="E791" s="115" t="s">
        <v>29</v>
      </c>
      <c r="F791" s="115">
        <v>3</v>
      </c>
    </row>
    <row r="792" spans="2:6">
      <c r="B792" s="115" t="s">
        <v>3754</v>
      </c>
      <c r="C792" s="115" t="s">
        <v>3755</v>
      </c>
      <c r="D792" s="115" t="s">
        <v>3601</v>
      </c>
      <c r="E792" s="115" t="s">
        <v>29</v>
      </c>
      <c r="F792" s="115">
        <v>3</v>
      </c>
    </row>
    <row r="793" spans="2:6">
      <c r="B793" s="115" t="s">
        <v>3756</v>
      </c>
      <c r="C793" s="115" t="s">
        <v>3757</v>
      </c>
      <c r="D793" s="115" t="s">
        <v>3601</v>
      </c>
      <c r="E793" s="115" t="s">
        <v>29</v>
      </c>
      <c r="F793" s="115">
        <v>1</v>
      </c>
    </row>
    <row r="794" spans="2:6">
      <c r="B794" s="115" t="s">
        <v>3758</v>
      </c>
      <c r="C794" s="115" t="s">
        <v>3759</v>
      </c>
      <c r="D794" s="115" t="s">
        <v>3601</v>
      </c>
      <c r="E794" s="115" t="s">
        <v>29</v>
      </c>
      <c r="F794" s="115">
        <v>1</v>
      </c>
    </row>
    <row r="795" spans="2:6">
      <c r="B795" s="115" t="s">
        <v>3760</v>
      </c>
      <c r="C795" s="115" t="s">
        <v>3761</v>
      </c>
      <c r="D795" s="115" t="s">
        <v>3601</v>
      </c>
      <c r="E795" s="115" t="s">
        <v>29</v>
      </c>
      <c r="F795" s="115">
        <v>3</v>
      </c>
    </row>
    <row r="796" spans="2:6">
      <c r="B796" s="115" t="s">
        <v>3762</v>
      </c>
      <c r="C796" s="115" t="s">
        <v>3763</v>
      </c>
      <c r="D796" s="115" t="s">
        <v>3601</v>
      </c>
      <c r="E796" s="115" t="s">
        <v>29</v>
      </c>
      <c r="F796" s="115">
        <v>3</v>
      </c>
    </row>
    <row r="797" spans="2:6">
      <c r="B797" s="115" t="s">
        <v>3764</v>
      </c>
      <c r="C797" s="115" t="s">
        <v>3765</v>
      </c>
      <c r="D797" s="115" t="s">
        <v>3601</v>
      </c>
      <c r="E797" s="115" t="s">
        <v>2332</v>
      </c>
      <c r="F797" s="115">
        <v>3</v>
      </c>
    </row>
    <row r="798" spans="2:6">
      <c r="B798" s="115" t="s">
        <v>3766</v>
      </c>
      <c r="C798" s="115" t="s">
        <v>3767</v>
      </c>
      <c r="D798" s="115" t="s">
        <v>3601</v>
      </c>
      <c r="E798" s="115" t="s">
        <v>29</v>
      </c>
      <c r="F798" s="115">
        <v>2</v>
      </c>
    </row>
    <row r="799" spans="2:6">
      <c r="B799" s="115" t="s">
        <v>3768</v>
      </c>
      <c r="C799" s="115" t="s">
        <v>3769</v>
      </c>
      <c r="D799" s="115" t="s">
        <v>3601</v>
      </c>
      <c r="E799" s="115" t="s">
        <v>29</v>
      </c>
      <c r="F799" s="115">
        <v>3</v>
      </c>
    </row>
    <row r="800" spans="2:6">
      <c r="B800" s="115" t="s">
        <v>3770</v>
      </c>
      <c r="C800" s="115" t="s">
        <v>3771</v>
      </c>
      <c r="D800" s="115" t="s">
        <v>3601</v>
      </c>
      <c r="E800" s="115" t="s">
        <v>29</v>
      </c>
      <c r="F800" s="115">
        <v>3</v>
      </c>
    </row>
    <row r="801" spans="2:6">
      <c r="B801" s="115" t="s">
        <v>3772</v>
      </c>
      <c r="C801" s="115" t="s">
        <v>3773</v>
      </c>
      <c r="D801" s="115" t="s">
        <v>3601</v>
      </c>
      <c r="E801" s="115" t="s">
        <v>29</v>
      </c>
      <c r="F801" s="115">
        <v>3</v>
      </c>
    </row>
    <row r="802" spans="2:6">
      <c r="B802" s="115" t="s">
        <v>3774</v>
      </c>
      <c r="C802" s="115" t="s">
        <v>3775</v>
      </c>
      <c r="D802" s="115" t="s">
        <v>3601</v>
      </c>
      <c r="E802" s="115" t="s">
        <v>29</v>
      </c>
      <c r="F802" s="115">
        <v>3</v>
      </c>
    </row>
    <row r="803" spans="2:6">
      <c r="B803" s="115" t="s">
        <v>3776</v>
      </c>
      <c r="C803" s="115" t="s">
        <v>3777</v>
      </c>
      <c r="D803" s="115" t="s">
        <v>3601</v>
      </c>
      <c r="E803" s="115" t="s">
        <v>29</v>
      </c>
      <c r="F803" s="115">
        <v>2</v>
      </c>
    </row>
    <row r="804" spans="2:6">
      <c r="B804" s="115" t="s">
        <v>3778</v>
      </c>
      <c r="C804" s="115" t="s">
        <v>3779</v>
      </c>
      <c r="D804" s="115" t="s">
        <v>3601</v>
      </c>
      <c r="E804" s="115" t="s">
        <v>29</v>
      </c>
      <c r="F804" s="115">
        <v>2</v>
      </c>
    </row>
    <row r="805" spans="2:6">
      <c r="B805" s="115" t="s">
        <v>3780</v>
      </c>
      <c r="C805" s="115" t="s">
        <v>3781</v>
      </c>
      <c r="D805" s="115" t="s">
        <v>3601</v>
      </c>
      <c r="E805" s="115" t="s">
        <v>29</v>
      </c>
      <c r="F805" s="115">
        <v>1</v>
      </c>
    </row>
    <row r="806" spans="2:6">
      <c r="B806" s="115" t="s">
        <v>3782</v>
      </c>
      <c r="C806" s="115" t="s">
        <v>3783</v>
      </c>
      <c r="D806" s="115" t="s">
        <v>3601</v>
      </c>
      <c r="E806" s="115" t="s">
        <v>29</v>
      </c>
      <c r="F806" s="115">
        <v>1</v>
      </c>
    </row>
    <row r="807" spans="2:6">
      <c r="B807" s="115" t="s">
        <v>3784</v>
      </c>
      <c r="C807" s="115" t="s">
        <v>3785</v>
      </c>
      <c r="D807" s="115" t="s">
        <v>3601</v>
      </c>
      <c r="E807" s="115" t="s">
        <v>29</v>
      </c>
      <c r="F807" s="115">
        <v>1</v>
      </c>
    </row>
    <row r="808" spans="2:6">
      <c r="B808" s="115" t="s">
        <v>3786</v>
      </c>
      <c r="C808" s="115" t="s">
        <v>3787</v>
      </c>
      <c r="D808" s="115" t="s">
        <v>3601</v>
      </c>
      <c r="E808" s="115" t="s">
        <v>29</v>
      </c>
      <c r="F808" s="115">
        <v>1</v>
      </c>
    </row>
    <row r="809" spans="2:6">
      <c r="B809" s="115" t="s">
        <v>3788</v>
      </c>
      <c r="C809" s="115" t="s">
        <v>3789</v>
      </c>
      <c r="D809" s="115" t="s">
        <v>3601</v>
      </c>
      <c r="E809" s="115" t="s">
        <v>29</v>
      </c>
      <c r="F809" s="115">
        <v>3</v>
      </c>
    </row>
    <row r="810" spans="2:6">
      <c r="B810" s="115" t="s">
        <v>3790</v>
      </c>
      <c r="C810" s="115" t="s">
        <v>3791</v>
      </c>
      <c r="D810" s="115" t="s">
        <v>3601</v>
      </c>
      <c r="E810" s="115" t="s">
        <v>29</v>
      </c>
      <c r="F810" s="115">
        <v>2</v>
      </c>
    </row>
    <row r="811" spans="2:6">
      <c r="B811" s="115" t="s">
        <v>3792</v>
      </c>
      <c r="C811" s="115" t="s">
        <v>3793</v>
      </c>
      <c r="D811" s="115" t="s">
        <v>3601</v>
      </c>
      <c r="E811" s="115" t="s">
        <v>29</v>
      </c>
      <c r="F811" s="115">
        <v>3</v>
      </c>
    </row>
    <row r="812" spans="2:6">
      <c r="B812" s="115" t="s">
        <v>3794</v>
      </c>
      <c r="C812" s="115" t="s">
        <v>3795</v>
      </c>
      <c r="D812" s="115" t="s">
        <v>3601</v>
      </c>
      <c r="E812" s="115" t="s">
        <v>29</v>
      </c>
      <c r="F812" s="115">
        <v>2</v>
      </c>
    </row>
    <row r="813" spans="2:6">
      <c r="B813" s="115" t="s">
        <v>3796</v>
      </c>
      <c r="C813" s="115" t="s">
        <v>3797</v>
      </c>
      <c r="D813" s="115" t="s">
        <v>3601</v>
      </c>
      <c r="E813" s="115" t="s">
        <v>29</v>
      </c>
      <c r="F813" s="115">
        <v>3</v>
      </c>
    </row>
    <row r="814" spans="2:6">
      <c r="B814" s="115" t="s">
        <v>3798</v>
      </c>
      <c r="C814" s="115" t="s">
        <v>3799</v>
      </c>
      <c r="D814" s="115" t="s">
        <v>3601</v>
      </c>
      <c r="E814" s="115" t="s">
        <v>29</v>
      </c>
      <c r="F814" s="115">
        <v>1</v>
      </c>
    </row>
    <row r="815" spans="2:6">
      <c r="B815" s="115" t="s">
        <v>3800</v>
      </c>
      <c r="C815" s="115" t="s">
        <v>3801</v>
      </c>
      <c r="D815" s="115" t="s">
        <v>3601</v>
      </c>
      <c r="E815" s="115" t="s">
        <v>29</v>
      </c>
      <c r="F815" s="115">
        <v>1</v>
      </c>
    </row>
    <row r="816" spans="2:6">
      <c r="B816" s="115" t="s">
        <v>3802</v>
      </c>
      <c r="C816" s="115" t="s">
        <v>3803</v>
      </c>
      <c r="D816" s="115" t="s">
        <v>3601</v>
      </c>
      <c r="E816" s="115" t="s">
        <v>29</v>
      </c>
      <c r="F816" s="115">
        <v>1</v>
      </c>
    </row>
    <row r="817" spans="2:6">
      <c r="B817" s="115" t="s">
        <v>3804</v>
      </c>
      <c r="C817" s="115" t="s">
        <v>3805</v>
      </c>
      <c r="D817" s="115" t="s">
        <v>3601</v>
      </c>
      <c r="E817" s="115" t="s">
        <v>29</v>
      </c>
      <c r="F817" s="115">
        <v>3</v>
      </c>
    </row>
    <row r="818" spans="2:6">
      <c r="B818" s="115" t="s">
        <v>3806</v>
      </c>
      <c r="C818" s="115" t="s">
        <v>3807</v>
      </c>
      <c r="D818" s="115" t="s">
        <v>3601</v>
      </c>
      <c r="E818" s="115" t="s">
        <v>29</v>
      </c>
      <c r="F818" s="115">
        <v>1</v>
      </c>
    </row>
    <row r="819" spans="2:6">
      <c r="B819" s="115" t="s">
        <v>3808</v>
      </c>
      <c r="C819" s="115" t="s">
        <v>3809</v>
      </c>
      <c r="D819" s="115" t="s">
        <v>3601</v>
      </c>
      <c r="E819" s="115" t="s">
        <v>29</v>
      </c>
      <c r="F819" s="115">
        <v>1</v>
      </c>
    </row>
    <row r="820" spans="2:6">
      <c r="B820" s="115" t="s">
        <v>3810</v>
      </c>
      <c r="C820" s="115" t="s">
        <v>3811</v>
      </c>
      <c r="D820" s="115" t="s">
        <v>3601</v>
      </c>
      <c r="E820" s="115" t="s">
        <v>29</v>
      </c>
      <c r="F820" s="115">
        <v>1</v>
      </c>
    </row>
    <row r="821" spans="2:6">
      <c r="B821" s="115" t="s">
        <v>3812</v>
      </c>
      <c r="C821" s="115" t="s">
        <v>3813</v>
      </c>
      <c r="D821" s="115" t="s">
        <v>3601</v>
      </c>
      <c r="E821" s="115" t="s">
        <v>29</v>
      </c>
      <c r="F821" s="115">
        <v>2</v>
      </c>
    </row>
    <row r="822" spans="2:6">
      <c r="B822" s="115" t="s">
        <v>3814</v>
      </c>
      <c r="C822" s="115" t="s">
        <v>3815</v>
      </c>
      <c r="D822" s="115" t="s">
        <v>3601</v>
      </c>
      <c r="E822" s="115" t="s">
        <v>29</v>
      </c>
      <c r="F822" s="115">
        <v>1</v>
      </c>
    </row>
    <row r="823" spans="2:6">
      <c r="B823" s="115" t="s">
        <v>3816</v>
      </c>
      <c r="C823" s="115" t="s">
        <v>3817</v>
      </c>
      <c r="D823" s="115" t="s">
        <v>3601</v>
      </c>
      <c r="E823" s="115" t="s">
        <v>29</v>
      </c>
      <c r="F823" s="115">
        <v>1</v>
      </c>
    </row>
    <row r="824" spans="2:6">
      <c r="B824" s="115" t="s">
        <v>3818</v>
      </c>
      <c r="C824" s="115" t="s">
        <v>3819</v>
      </c>
      <c r="D824" s="115" t="s">
        <v>3601</v>
      </c>
      <c r="E824" s="115" t="s">
        <v>29</v>
      </c>
      <c r="F824" s="115">
        <v>1</v>
      </c>
    </row>
    <row r="825" spans="2:6">
      <c r="B825" s="115" t="s">
        <v>3820</v>
      </c>
      <c r="C825" s="115" t="s">
        <v>3821</v>
      </c>
      <c r="D825" s="115" t="s">
        <v>3601</v>
      </c>
      <c r="E825" s="115" t="s">
        <v>29</v>
      </c>
      <c r="F825" s="115">
        <v>1</v>
      </c>
    </row>
    <row r="826" spans="2:6">
      <c r="B826" s="115" t="s">
        <v>3822</v>
      </c>
      <c r="C826" s="115" t="s">
        <v>3823</v>
      </c>
      <c r="D826" s="115" t="s">
        <v>3601</v>
      </c>
      <c r="E826" s="115" t="s">
        <v>29</v>
      </c>
      <c r="F826" s="115">
        <v>3</v>
      </c>
    </row>
    <row r="827" spans="2:6">
      <c r="B827" s="115" t="s">
        <v>3824</v>
      </c>
      <c r="C827" s="115" t="s">
        <v>3825</v>
      </c>
      <c r="D827" s="115" t="s">
        <v>3601</v>
      </c>
      <c r="E827" s="115" t="s">
        <v>29</v>
      </c>
      <c r="F827" s="115">
        <v>2</v>
      </c>
    </row>
    <row r="828" spans="2:6">
      <c r="B828" s="115" t="s">
        <v>3826</v>
      </c>
      <c r="C828" s="115" t="s">
        <v>3827</v>
      </c>
      <c r="D828" s="115" t="s">
        <v>3601</v>
      </c>
      <c r="E828" s="115" t="s">
        <v>29</v>
      </c>
      <c r="F828" s="115">
        <v>2</v>
      </c>
    </row>
    <row r="829" spans="2:6">
      <c r="B829" s="115" t="s">
        <v>3828</v>
      </c>
      <c r="C829" s="115" t="s">
        <v>3829</v>
      </c>
      <c r="D829" s="115" t="s">
        <v>3601</v>
      </c>
      <c r="E829" s="115" t="s">
        <v>29</v>
      </c>
      <c r="F829" s="115">
        <v>3</v>
      </c>
    </row>
    <row r="830" spans="2:6">
      <c r="B830" s="115" t="s">
        <v>3830</v>
      </c>
      <c r="C830" s="115" t="s">
        <v>3831</v>
      </c>
      <c r="D830" s="115" t="s">
        <v>3601</v>
      </c>
      <c r="E830" s="115" t="s">
        <v>29</v>
      </c>
      <c r="F830" s="115">
        <v>3</v>
      </c>
    </row>
    <row r="831" spans="2:6">
      <c r="B831" s="115" t="s">
        <v>3832</v>
      </c>
      <c r="C831" s="115" t="s">
        <v>3833</v>
      </c>
      <c r="D831" s="115" t="s">
        <v>3601</v>
      </c>
      <c r="E831" s="115" t="s">
        <v>29</v>
      </c>
      <c r="F831" s="115">
        <v>3</v>
      </c>
    </row>
    <row r="832" spans="2:6">
      <c r="B832" s="115" t="s">
        <v>3834</v>
      </c>
      <c r="C832" s="115" t="s">
        <v>3835</v>
      </c>
      <c r="D832" s="115" t="s">
        <v>3601</v>
      </c>
      <c r="E832" s="115" t="s">
        <v>29</v>
      </c>
      <c r="F832" s="115">
        <v>3</v>
      </c>
    </row>
    <row r="833" spans="2:6">
      <c r="B833" s="115" t="s">
        <v>3836</v>
      </c>
      <c r="C833" s="115" t="s">
        <v>3837</v>
      </c>
      <c r="D833" s="115" t="s">
        <v>3601</v>
      </c>
      <c r="E833" s="115" t="s">
        <v>29</v>
      </c>
      <c r="F833" s="115">
        <v>3</v>
      </c>
    </row>
    <row r="834" spans="2:6">
      <c r="B834" s="115" t="s">
        <v>3838</v>
      </c>
      <c r="C834" s="115" t="s">
        <v>3839</v>
      </c>
      <c r="D834" s="115" t="s">
        <v>3601</v>
      </c>
      <c r="E834" s="115" t="s">
        <v>29</v>
      </c>
      <c r="F834" s="115">
        <v>3</v>
      </c>
    </row>
    <row r="835" spans="2:6">
      <c r="B835" s="115" t="s">
        <v>3840</v>
      </c>
      <c r="C835" s="115" t="s">
        <v>3841</v>
      </c>
      <c r="D835" s="115" t="s">
        <v>3601</v>
      </c>
      <c r="E835" s="115" t="s">
        <v>29</v>
      </c>
      <c r="F835" s="115">
        <v>2</v>
      </c>
    </row>
    <row r="836" spans="2:6">
      <c r="B836" s="115" t="s">
        <v>3842</v>
      </c>
      <c r="C836" s="115" t="s">
        <v>3843</v>
      </c>
      <c r="D836" s="115" t="s">
        <v>3601</v>
      </c>
      <c r="E836" s="115" t="s">
        <v>29</v>
      </c>
      <c r="F836" s="115">
        <v>3</v>
      </c>
    </row>
    <row r="837" spans="2:6">
      <c r="B837" s="115" t="s">
        <v>3844</v>
      </c>
      <c r="C837" s="115" t="s">
        <v>3845</v>
      </c>
      <c r="D837" s="115" t="s">
        <v>3601</v>
      </c>
      <c r="E837" s="115" t="s">
        <v>29</v>
      </c>
      <c r="F837" s="115">
        <v>3</v>
      </c>
    </row>
    <row r="838" spans="2:6">
      <c r="B838" s="115" t="s">
        <v>3846</v>
      </c>
      <c r="C838" s="115" t="s">
        <v>3847</v>
      </c>
      <c r="D838" s="115" t="s">
        <v>3601</v>
      </c>
      <c r="E838" s="115" t="s">
        <v>29</v>
      </c>
      <c r="F838" s="115">
        <v>3</v>
      </c>
    </row>
    <row r="839" spans="2:6">
      <c r="B839" s="115" t="s">
        <v>3848</v>
      </c>
      <c r="C839" s="115" t="s">
        <v>3849</v>
      </c>
      <c r="D839" s="115" t="s">
        <v>3601</v>
      </c>
      <c r="E839" s="115" t="s">
        <v>29</v>
      </c>
      <c r="F839" s="115">
        <v>1</v>
      </c>
    </row>
    <row r="840" spans="2:6">
      <c r="B840" s="115" t="s">
        <v>3850</v>
      </c>
      <c r="C840" s="115" t="s">
        <v>3851</v>
      </c>
      <c r="D840" s="115" t="s">
        <v>3601</v>
      </c>
      <c r="E840" s="115" t="s">
        <v>29</v>
      </c>
      <c r="F840" s="115">
        <v>1</v>
      </c>
    </row>
    <row r="841" spans="2:6">
      <c r="B841" s="115" t="s">
        <v>3852</v>
      </c>
      <c r="C841" s="115" t="s">
        <v>3853</v>
      </c>
      <c r="D841" s="115" t="s">
        <v>3601</v>
      </c>
      <c r="E841" s="115" t="s">
        <v>29</v>
      </c>
      <c r="F841" s="115">
        <v>1</v>
      </c>
    </row>
    <row r="842" spans="2:6">
      <c r="B842" s="115" t="s">
        <v>3854</v>
      </c>
      <c r="C842" s="115" t="s">
        <v>3855</v>
      </c>
      <c r="D842" s="115" t="s">
        <v>3601</v>
      </c>
      <c r="E842" s="115" t="s">
        <v>29</v>
      </c>
      <c r="F842" s="115">
        <v>1</v>
      </c>
    </row>
    <row r="843" spans="2:6">
      <c r="B843" s="115" t="s">
        <v>3856</v>
      </c>
      <c r="C843" s="115" t="s">
        <v>3857</v>
      </c>
      <c r="D843" s="115" t="s">
        <v>3601</v>
      </c>
      <c r="E843" s="115" t="s">
        <v>29</v>
      </c>
      <c r="F843" s="115">
        <v>2</v>
      </c>
    </row>
    <row r="844" spans="2:6">
      <c r="B844" s="115" t="s">
        <v>3858</v>
      </c>
      <c r="C844" s="115" t="s">
        <v>3859</v>
      </c>
      <c r="D844" s="115" t="s">
        <v>3601</v>
      </c>
      <c r="E844" s="115" t="s">
        <v>29</v>
      </c>
      <c r="F844" s="115">
        <v>3</v>
      </c>
    </row>
    <row r="845" spans="2:6">
      <c r="B845" s="115" t="s">
        <v>3860</v>
      </c>
      <c r="C845" s="115" t="s">
        <v>3861</v>
      </c>
      <c r="D845" s="115" t="s">
        <v>3601</v>
      </c>
      <c r="E845" s="115" t="s">
        <v>29</v>
      </c>
      <c r="F845" s="115">
        <v>1</v>
      </c>
    </row>
    <row r="846" spans="2:6">
      <c r="B846" s="115" t="s">
        <v>3862</v>
      </c>
      <c r="C846" s="115" t="s">
        <v>3863</v>
      </c>
      <c r="D846" s="115" t="s">
        <v>3601</v>
      </c>
      <c r="E846" s="115" t="s">
        <v>29</v>
      </c>
      <c r="F846" s="115">
        <v>3</v>
      </c>
    </row>
    <row r="847" spans="2:6">
      <c r="B847" s="115" t="s">
        <v>3864</v>
      </c>
      <c r="C847" s="115" t="s">
        <v>3865</v>
      </c>
      <c r="D847" s="115" t="s">
        <v>3601</v>
      </c>
      <c r="E847" s="115" t="s">
        <v>29</v>
      </c>
      <c r="F847" s="115">
        <v>3</v>
      </c>
    </row>
    <row r="848" spans="2:6">
      <c r="B848" s="115" t="s">
        <v>3866</v>
      </c>
      <c r="C848" s="115" t="s">
        <v>3867</v>
      </c>
      <c r="D848" s="115" t="s">
        <v>3601</v>
      </c>
      <c r="E848" s="115" t="s">
        <v>29</v>
      </c>
      <c r="F848" s="115">
        <v>2</v>
      </c>
    </row>
    <row r="849" spans="2:6">
      <c r="B849" s="115" t="s">
        <v>3868</v>
      </c>
      <c r="C849" s="115" t="s">
        <v>3869</v>
      </c>
      <c r="D849" s="115" t="s">
        <v>3601</v>
      </c>
      <c r="E849" s="115" t="s">
        <v>29</v>
      </c>
      <c r="F849" s="115">
        <v>2</v>
      </c>
    </row>
    <row r="850" spans="2:6">
      <c r="B850" s="115" t="s">
        <v>3870</v>
      </c>
      <c r="C850" s="115" t="s">
        <v>3871</v>
      </c>
      <c r="D850" s="115" t="s">
        <v>3601</v>
      </c>
      <c r="E850" s="115" t="s">
        <v>29</v>
      </c>
      <c r="F850" s="115">
        <v>2</v>
      </c>
    </row>
    <row r="851" spans="2:6">
      <c r="B851" s="115" t="s">
        <v>3872</v>
      </c>
      <c r="C851" s="115" t="s">
        <v>3873</v>
      </c>
      <c r="D851" s="115" t="s">
        <v>3601</v>
      </c>
      <c r="E851" s="115" t="s">
        <v>29</v>
      </c>
      <c r="F851" s="115">
        <v>1</v>
      </c>
    </row>
    <row r="852" spans="2:6">
      <c r="B852" s="115" t="s">
        <v>3874</v>
      </c>
      <c r="C852" s="115" t="s">
        <v>3875</v>
      </c>
      <c r="D852" s="115" t="s">
        <v>3601</v>
      </c>
      <c r="E852" s="115" t="s">
        <v>29</v>
      </c>
      <c r="F852" s="115">
        <v>1</v>
      </c>
    </row>
    <row r="853" spans="2:6">
      <c r="B853" s="115" t="s">
        <v>3876</v>
      </c>
      <c r="C853" s="115" t="s">
        <v>3877</v>
      </c>
      <c r="D853" s="115" t="s">
        <v>3601</v>
      </c>
      <c r="E853" s="115" t="s">
        <v>29</v>
      </c>
      <c r="F853" s="115">
        <v>1</v>
      </c>
    </row>
    <row r="854" spans="2:6">
      <c r="B854" s="115" t="s">
        <v>3878</v>
      </c>
      <c r="C854" s="115" t="s">
        <v>3879</v>
      </c>
      <c r="D854" s="115" t="s">
        <v>3601</v>
      </c>
      <c r="E854" s="115" t="s">
        <v>29</v>
      </c>
      <c r="F854" s="115">
        <v>1</v>
      </c>
    </row>
    <row r="855" spans="2:6">
      <c r="B855" s="115" t="s">
        <v>3880</v>
      </c>
      <c r="C855" s="115" t="s">
        <v>3881</v>
      </c>
      <c r="D855" s="115" t="s">
        <v>3601</v>
      </c>
      <c r="E855" s="115" t="s">
        <v>29</v>
      </c>
      <c r="F855" s="115">
        <v>1</v>
      </c>
    </row>
    <row r="856" spans="2:6">
      <c r="B856" s="115" t="s">
        <v>3882</v>
      </c>
      <c r="C856" s="115" t="s">
        <v>3883</v>
      </c>
      <c r="D856" s="115" t="s">
        <v>3601</v>
      </c>
      <c r="E856" s="115" t="s">
        <v>29</v>
      </c>
      <c r="F856" s="115">
        <v>1</v>
      </c>
    </row>
    <row r="857" spans="2:6">
      <c r="B857" s="115" t="s">
        <v>3884</v>
      </c>
      <c r="C857" s="115" t="s">
        <v>3885</v>
      </c>
      <c r="D857" s="115" t="s">
        <v>3601</v>
      </c>
      <c r="E857" s="115" t="s">
        <v>29</v>
      </c>
      <c r="F857" s="115">
        <v>1</v>
      </c>
    </row>
    <row r="858" spans="2:6">
      <c r="B858" s="115" t="s">
        <v>3886</v>
      </c>
      <c r="C858" s="115" t="s">
        <v>3887</v>
      </c>
      <c r="D858" s="115" t="s">
        <v>3601</v>
      </c>
      <c r="E858" s="115" t="s">
        <v>29</v>
      </c>
      <c r="F858" s="115">
        <v>1</v>
      </c>
    </row>
    <row r="859" spans="2:6">
      <c r="B859" s="115" t="s">
        <v>3888</v>
      </c>
      <c r="C859" s="115" t="s">
        <v>3889</v>
      </c>
      <c r="D859" s="115" t="s">
        <v>3601</v>
      </c>
      <c r="E859" s="115" t="s">
        <v>29</v>
      </c>
      <c r="F859" s="115">
        <v>2</v>
      </c>
    </row>
    <row r="860" spans="2:6">
      <c r="B860" s="115" t="s">
        <v>3890</v>
      </c>
      <c r="C860" s="115" t="s">
        <v>3891</v>
      </c>
      <c r="D860" s="115" t="s">
        <v>3601</v>
      </c>
      <c r="E860" s="115" t="s">
        <v>29</v>
      </c>
      <c r="F860" s="115">
        <v>1</v>
      </c>
    </row>
    <row r="861" spans="2:6">
      <c r="B861" s="115" t="s">
        <v>3892</v>
      </c>
      <c r="C861" s="115" t="s">
        <v>3893</v>
      </c>
      <c r="D861" s="115" t="s">
        <v>3601</v>
      </c>
      <c r="E861" s="115" t="s">
        <v>29</v>
      </c>
      <c r="F861" s="115">
        <v>2</v>
      </c>
    </row>
    <row r="862" spans="2:6">
      <c r="B862" s="115" t="s">
        <v>3894</v>
      </c>
      <c r="C862" s="115" t="s">
        <v>3895</v>
      </c>
      <c r="D862" s="115" t="s">
        <v>3601</v>
      </c>
      <c r="E862" s="115" t="s">
        <v>29</v>
      </c>
      <c r="F862" s="115">
        <v>3</v>
      </c>
    </row>
    <row r="863" spans="2:6">
      <c r="B863" s="115" t="s">
        <v>3896</v>
      </c>
      <c r="C863" s="115" t="s">
        <v>3897</v>
      </c>
      <c r="D863" s="115" t="s">
        <v>3601</v>
      </c>
      <c r="E863" s="115" t="s">
        <v>29</v>
      </c>
      <c r="F863" s="115">
        <v>3</v>
      </c>
    </row>
    <row r="864" spans="2:6">
      <c r="B864" s="115" t="s">
        <v>3898</v>
      </c>
      <c r="C864" s="115" t="s">
        <v>3899</v>
      </c>
      <c r="D864" s="115" t="s">
        <v>3601</v>
      </c>
      <c r="E864" s="115" t="s">
        <v>29</v>
      </c>
      <c r="F864" s="115">
        <v>3</v>
      </c>
    </row>
    <row r="865" spans="2:6">
      <c r="B865" s="115" t="s">
        <v>3900</v>
      </c>
      <c r="C865" s="115" t="s">
        <v>3901</v>
      </c>
      <c r="D865" s="115" t="s">
        <v>3601</v>
      </c>
      <c r="E865" s="115" t="s">
        <v>29</v>
      </c>
      <c r="F865" s="115">
        <v>1</v>
      </c>
    </row>
    <row r="866" spans="2:6">
      <c r="B866" s="115" t="s">
        <v>3902</v>
      </c>
      <c r="C866" s="115" t="s">
        <v>3903</v>
      </c>
      <c r="D866" s="115" t="s">
        <v>3601</v>
      </c>
      <c r="E866" s="115" t="s">
        <v>29</v>
      </c>
      <c r="F866" s="115">
        <v>3</v>
      </c>
    </row>
    <row r="867" spans="2:6">
      <c r="B867" s="115" t="s">
        <v>3904</v>
      </c>
      <c r="C867" s="115" t="s">
        <v>3905</v>
      </c>
      <c r="D867" s="115" t="s">
        <v>3601</v>
      </c>
      <c r="E867" s="115" t="s">
        <v>29</v>
      </c>
      <c r="F867" s="115">
        <v>3</v>
      </c>
    </row>
    <row r="868" spans="2:6">
      <c r="B868" s="115" t="s">
        <v>3906</v>
      </c>
      <c r="C868" s="115" t="s">
        <v>3907</v>
      </c>
      <c r="D868" s="115" t="s">
        <v>3601</v>
      </c>
      <c r="E868" s="115" t="s">
        <v>29</v>
      </c>
      <c r="F868" s="115">
        <v>1</v>
      </c>
    </row>
    <row r="869" spans="2:6">
      <c r="B869" s="115" t="s">
        <v>3908</v>
      </c>
      <c r="C869" s="115" t="s">
        <v>3909</v>
      </c>
      <c r="D869" s="115" t="s">
        <v>3601</v>
      </c>
      <c r="E869" s="115" t="s">
        <v>29</v>
      </c>
      <c r="F869" s="115">
        <v>1</v>
      </c>
    </row>
    <row r="870" spans="2:6">
      <c r="B870" s="115" t="s">
        <v>3910</v>
      </c>
      <c r="C870" s="115" t="s">
        <v>3911</v>
      </c>
      <c r="D870" s="115" t="s">
        <v>3601</v>
      </c>
      <c r="E870" s="115" t="s">
        <v>29</v>
      </c>
      <c r="F870" s="115">
        <v>3</v>
      </c>
    </row>
    <row r="871" spans="2:6">
      <c r="B871" s="115" t="s">
        <v>3912</v>
      </c>
      <c r="C871" s="115" t="s">
        <v>3913</v>
      </c>
      <c r="D871" s="115" t="s">
        <v>3601</v>
      </c>
      <c r="E871" s="115" t="s">
        <v>29</v>
      </c>
      <c r="F871" s="115">
        <v>1</v>
      </c>
    </row>
    <row r="872" spans="2:6">
      <c r="B872" s="115" t="s">
        <v>3914</v>
      </c>
      <c r="C872" s="115" t="s">
        <v>3915</v>
      </c>
      <c r="D872" s="115" t="s">
        <v>3601</v>
      </c>
      <c r="E872" s="115" t="s">
        <v>29</v>
      </c>
      <c r="F872" s="115">
        <v>3</v>
      </c>
    </row>
    <row r="873" spans="2:6">
      <c r="B873" s="115" t="s">
        <v>3916</v>
      </c>
      <c r="C873" s="115" t="s">
        <v>3917</v>
      </c>
      <c r="D873" s="115" t="s">
        <v>3601</v>
      </c>
      <c r="E873" s="115" t="s">
        <v>29</v>
      </c>
      <c r="F873" s="115">
        <v>2</v>
      </c>
    </row>
    <row r="874" spans="2:6">
      <c r="B874" s="115" t="s">
        <v>3918</v>
      </c>
      <c r="C874" s="115" t="s">
        <v>3919</v>
      </c>
      <c r="D874" s="115" t="s">
        <v>3601</v>
      </c>
      <c r="E874" s="115" t="s">
        <v>29</v>
      </c>
      <c r="F874" s="115">
        <v>1</v>
      </c>
    </row>
    <row r="875" spans="2:6">
      <c r="B875" s="115" t="s">
        <v>3920</v>
      </c>
      <c r="C875" s="115" t="s">
        <v>3921</v>
      </c>
      <c r="D875" s="115" t="s">
        <v>3601</v>
      </c>
      <c r="E875" s="115" t="s">
        <v>29</v>
      </c>
      <c r="F875" s="115">
        <v>2</v>
      </c>
    </row>
    <row r="876" spans="2:6">
      <c r="B876" s="115" t="s">
        <v>3922</v>
      </c>
      <c r="C876" s="115" t="s">
        <v>3923</v>
      </c>
      <c r="D876" s="115" t="s">
        <v>3601</v>
      </c>
      <c r="E876" s="115" t="s">
        <v>29</v>
      </c>
      <c r="F876" s="115">
        <v>1</v>
      </c>
    </row>
    <row r="877" spans="2:6">
      <c r="B877" s="115" t="s">
        <v>3924</v>
      </c>
      <c r="C877" s="115" t="s">
        <v>3925</v>
      </c>
      <c r="D877" s="115" t="s">
        <v>3601</v>
      </c>
      <c r="E877" s="115" t="s">
        <v>29</v>
      </c>
      <c r="F877" s="115">
        <v>2</v>
      </c>
    </row>
    <row r="878" spans="2:6">
      <c r="B878" s="115" t="s">
        <v>3926</v>
      </c>
      <c r="C878" s="115" t="s">
        <v>3927</v>
      </c>
      <c r="D878" s="115" t="s">
        <v>3601</v>
      </c>
      <c r="E878" s="115" t="s">
        <v>29</v>
      </c>
      <c r="F878" s="115">
        <v>3</v>
      </c>
    </row>
    <row r="879" spans="2:6">
      <c r="B879" s="115" t="s">
        <v>3928</v>
      </c>
      <c r="C879" s="115" t="s">
        <v>3929</v>
      </c>
      <c r="D879" s="115" t="s">
        <v>3601</v>
      </c>
      <c r="E879" s="115" t="s">
        <v>29</v>
      </c>
      <c r="F879" s="115">
        <v>3</v>
      </c>
    </row>
    <row r="880" spans="2:6">
      <c r="B880" s="115" t="s">
        <v>3930</v>
      </c>
      <c r="C880" s="115" t="s">
        <v>3931</v>
      </c>
      <c r="D880" s="115" t="s">
        <v>3601</v>
      </c>
      <c r="E880" s="115" t="s">
        <v>29</v>
      </c>
      <c r="F880" s="115">
        <v>2</v>
      </c>
    </row>
    <row r="881" spans="2:6">
      <c r="B881" s="115" t="s">
        <v>3932</v>
      </c>
      <c r="C881" s="115" t="s">
        <v>3933</v>
      </c>
      <c r="D881" s="115" t="s">
        <v>3601</v>
      </c>
      <c r="E881" s="115" t="s">
        <v>29</v>
      </c>
      <c r="F881" s="115">
        <v>1</v>
      </c>
    </row>
    <row r="882" spans="2:6">
      <c r="B882" s="115" t="s">
        <v>3934</v>
      </c>
      <c r="C882" s="115" t="s">
        <v>3935</v>
      </c>
      <c r="D882" s="115" t="s">
        <v>3601</v>
      </c>
      <c r="E882" s="115" t="s">
        <v>29</v>
      </c>
      <c r="F882" s="115">
        <v>3</v>
      </c>
    </row>
    <row r="883" spans="2:6">
      <c r="B883" s="115" t="s">
        <v>3936</v>
      </c>
      <c r="C883" s="115" t="s">
        <v>3937</v>
      </c>
      <c r="D883" s="115" t="s">
        <v>3601</v>
      </c>
      <c r="E883" s="115" t="s">
        <v>29</v>
      </c>
      <c r="F883" s="115">
        <v>2</v>
      </c>
    </row>
    <row r="884" spans="2:6">
      <c r="B884" s="115" t="s">
        <v>3938</v>
      </c>
      <c r="C884" s="115" t="s">
        <v>3939</v>
      </c>
      <c r="D884" s="115" t="s">
        <v>3601</v>
      </c>
      <c r="E884" s="115" t="s">
        <v>29</v>
      </c>
      <c r="F884" s="115">
        <v>3</v>
      </c>
    </row>
    <row r="885" spans="2:6">
      <c r="B885" s="115" t="s">
        <v>3940</v>
      </c>
      <c r="C885" s="115" t="s">
        <v>3941</v>
      </c>
      <c r="D885" s="115" t="s">
        <v>3601</v>
      </c>
      <c r="E885" s="115" t="s">
        <v>29</v>
      </c>
      <c r="F885" s="115">
        <v>3</v>
      </c>
    </row>
    <row r="886" spans="2:6">
      <c r="B886" s="115" t="s">
        <v>3942</v>
      </c>
      <c r="C886" s="115" t="s">
        <v>3943</v>
      </c>
      <c r="D886" s="115" t="s">
        <v>3601</v>
      </c>
      <c r="E886" s="115" t="s">
        <v>29</v>
      </c>
      <c r="F886" s="115">
        <v>3</v>
      </c>
    </row>
    <row r="887" spans="2:6">
      <c r="B887" s="115" t="s">
        <v>3944</v>
      </c>
      <c r="C887" s="115" t="s">
        <v>3945</v>
      </c>
      <c r="D887" s="115" t="s">
        <v>3601</v>
      </c>
      <c r="E887" s="115" t="s">
        <v>29</v>
      </c>
      <c r="F887" s="115">
        <v>1</v>
      </c>
    </row>
    <row r="888" spans="2:6">
      <c r="B888" s="115" t="s">
        <v>3946</v>
      </c>
      <c r="C888" s="115" t="s">
        <v>3947</v>
      </c>
      <c r="D888" s="115" t="s">
        <v>3601</v>
      </c>
      <c r="E888" s="115" t="s">
        <v>29</v>
      </c>
      <c r="F888" s="115">
        <v>1</v>
      </c>
    </row>
    <row r="889" spans="2:6">
      <c r="B889" s="115" t="s">
        <v>3948</v>
      </c>
      <c r="C889" s="115" t="s">
        <v>3949</v>
      </c>
      <c r="D889" s="115" t="s">
        <v>3601</v>
      </c>
      <c r="E889" s="115" t="s">
        <v>29</v>
      </c>
      <c r="F889" s="115">
        <v>3</v>
      </c>
    </row>
    <row r="890" spans="2:6">
      <c r="B890" s="115" t="s">
        <v>3950</v>
      </c>
      <c r="C890" s="115" t="s">
        <v>3951</v>
      </c>
      <c r="D890" s="115" t="s">
        <v>3601</v>
      </c>
      <c r="E890" s="115" t="s">
        <v>29</v>
      </c>
      <c r="F890" s="115">
        <v>1</v>
      </c>
    </row>
    <row r="891" spans="2:6">
      <c r="B891" s="115" t="s">
        <v>3952</v>
      </c>
      <c r="C891" s="115" t="s">
        <v>3953</v>
      </c>
      <c r="D891" s="115" t="s">
        <v>3601</v>
      </c>
      <c r="E891" s="115" t="s">
        <v>29</v>
      </c>
      <c r="F891" s="115">
        <v>1</v>
      </c>
    </row>
    <row r="892" spans="2:6">
      <c r="B892" s="115" t="s">
        <v>3954</v>
      </c>
      <c r="C892" s="115" t="s">
        <v>3955</v>
      </c>
      <c r="D892" s="115" t="s">
        <v>3601</v>
      </c>
      <c r="E892" s="115" t="s">
        <v>29</v>
      </c>
      <c r="F892" s="115">
        <v>1</v>
      </c>
    </row>
    <row r="893" spans="2:6">
      <c r="B893" s="115" t="s">
        <v>3956</v>
      </c>
      <c r="C893" s="115" t="s">
        <v>3957</v>
      </c>
      <c r="D893" s="115" t="s">
        <v>3601</v>
      </c>
      <c r="E893" s="115" t="s">
        <v>29</v>
      </c>
      <c r="F893" s="115">
        <v>3</v>
      </c>
    </row>
    <row r="894" spans="2:6">
      <c r="B894" s="115" t="s">
        <v>3958</v>
      </c>
      <c r="C894" s="115" t="s">
        <v>3959</v>
      </c>
      <c r="D894" s="115" t="s">
        <v>3601</v>
      </c>
      <c r="E894" s="115" t="s">
        <v>29</v>
      </c>
      <c r="F894" s="115">
        <v>1</v>
      </c>
    </row>
    <row r="895" spans="2:6">
      <c r="B895" s="115" t="s">
        <v>3960</v>
      </c>
      <c r="C895" s="115" t="s">
        <v>3961</v>
      </c>
      <c r="D895" s="115" t="s">
        <v>3601</v>
      </c>
      <c r="E895" s="115" t="s">
        <v>29</v>
      </c>
      <c r="F895" s="115">
        <v>1</v>
      </c>
    </row>
    <row r="896" spans="2:6">
      <c r="B896" s="115" t="s">
        <v>3962</v>
      </c>
      <c r="C896" s="115" t="s">
        <v>3963</v>
      </c>
      <c r="D896" s="115" t="s">
        <v>3601</v>
      </c>
      <c r="E896" s="115" t="s">
        <v>29</v>
      </c>
      <c r="F896" s="115">
        <v>1</v>
      </c>
    </row>
    <row r="897" spans="2:6">
      <c r="B897" s="115" t="s">
        <v>3964</v>
      </c>
      <c r="C897" s="115" t="s">
        <v>3965</v>
      </c>
      <c r="D897" s="115" t="s">
        <v>3601</v>
      </c>
      <c r="E897" s="115" t="s">
        <v>29</v>
      </c>
      <c r="F897" s="115">
        <v>3</v>
      </c>
    </row>
    <row r="898" spans="2:6">
      <c r="B898" s="115" t="s">
        <v>3966</v>
      </c>
      <c r="C898" s="115" t="s">
        <v>3967</v>
      </c>
      <c r="D898" s="115" t="s">
        <v>3601</v>
      </c>
      <c r="E898" s="115" t="s">
        <v>29</v>
      </c>
      <c r="F898" s="115">
        <v>2</v>
      </c>
    </row>
    <row r="899" spans="2:6">
      <c r="B899" s="115" t="s">
        <v>3968</v>
      </c>
      <c r="C899" s="115" t="s">
        <v>3969</v>
      </c>
      <c r="D899" s="115" t="s">
        <v>3601</v>
      </c>
      <c r="E899" s="115" t="s">
        <v>29</v>
      </c>
      <c r="F899" s="115">
        <v>3</v>
      </c>
    </row>
    <row r="900" spans="2:6">
      <c r="B900" s="115" t="s">
        <v>3970</v>
      </c>
      <c r="C900" s="115" t="s">
        <v>3971</v>
      </c>
      <c r="D900" s="115" t="s">
        <v>3601</v>
      </c>
      <c r="E900" s="115" t="s">
        <v>29</v>
      </c>
      <c r="F900" s="115">
        <v>2</v>
      </c>
    </row>
    <row r="901" spans="2:6">
      <c r="B901" s="115" t="s">
        <v>3972</v>
      </c>
      <c r="C901" s="115" t="s">
        <v>3973</v>
      </c>
      <c r="D901" s="115" t="s">
        <v>3601</v>
      </c>
      <c r="E901" s="115" t="s">
        <v>29</v>
      </c>
      <c r="F901" s="115">
        <v>1</v>
      </c>
    </row>
    <row r="902" spans="2:6">
      <c r="B902" s="115" t="s">
        <v>3974</v>
      </c>
      <c r="C902" s="115" t="s">
        <v>3975</v>
      </c>
      <c r="D902" s="115" t="s">
        <v>3601</v>
      </c>
      <c r="E902" s="115" t="s">
        <v>29</v>
      </c>
      <c r="F902" s="115">
        <v>3</v>
      </c>
    </row>
    <row r="903" spans="2:6">
      <c r="B903" s="115" t="s">
        <v>3976</v>
      </c>
      <c r="C903" s="115" t="s">
        <v>3977</v>
      </c>
      <c r="D903" s="115" t="s">
        <v>3601</v>
      </c>
      <c r="E903" s="115" t="s">
        <v>29</v>
      </c>
      <c r="F903" s="115">
        <v>3</v>
      </c>
    </row>
    <row r="904" spans="2:6">
      <c r="B904" s="115" t="s">
        <v>3978</v>
      </c>
      <c r="C904" s="115" t="s">
        <v>3979</v>
      </c>
      <c r="D904" s="115" t="s">
        <v>3601</v>
      </c>
      <c r="E904" s="115" t="s">
        <v>29</v>
      </c>
      <c r="F904" s="115">
        <v>3</v>
      </c>
    </row>
    <row r="905" spans="2:6">
      <c r="B905" s="115" t="s">
        <v>3980</v>
      </c>
      <c r="C905" s="115" t="s">
        <v>3981</v>
      </c>
      <c r="D905" s="115" t="s">
        <v>3601</v>
      </c>
      <c r="E905" s="115" t="s">
        <v>29</v>
      </c>
      <c r="F905" s="115">
        <v>3</v>
      </c>
    </row>
    <row r="906" spans="2:6">
      <c r="B906" s="115" t="s">
        <v>3982</v>
      </c>
      <c r="C906" s="115" t="s">
        <v>3983</v>
      </c>
      <c r="D906" s="115" t="s">
        <v>3601</v>
      </c>
      <c r="E906" s="115" t="s">
        <v>29</v>
      </c>
      <c r="F906" s="115">
        <v>2</v>
      </c>
    </row>
    <row r="907" spans="2:6">
      <c r="B907" s="115" t="s">
        <v>3984</v>
      </c>
      <c r="C907" s="115" t="s">
        <v>3985</v>
      </c>
      <c r="D907" s="115" t="s">
        <v>3601</v>
      </c>
      <c r="E907" s="115" t="s">
        <v>29</v>
      </c>
      <c r="F907" s="115">
        <v>1</v>
      </c>
    </row>
    <row r="908" spans="2:6">
      <c r="B908" s="115" t="s">
        <v>3986</v>
      </c>
      <c r="C908" s="115" t="s">
        <v>3987</v>
      </c>
      <c r="D908" s="115" t="s">
        <v>3601</v>
      </c>
      <c r="E908" s="115" t="s">
        <v>29</v>
      </c>
      <c r="F908" s="115">
        <v>1</v>
      </c>
    </row>
    <row r="909" spans="2:6">
      <c r="B909" s="115" t="s">
        <v>3988</v>
      </c>
      <c r="C909" s="115" t="s">
        <v>3989</v>
      </c>
      <c r="D909" s="115" t="s">
        <v>3601</v>
      </c>
      <c r="E909" s="115" t="s">
        <v>29</v>
      </c>
      <c r="F909" s="115">
        <v>3</v>
      </c>
    </row>
    <row r="910" spans="2:6">
      <c r="B910" s="115" t="s">
        <v>3990</v>
      </c>
      <c r="C910" s="115" t="s">
        <v>3991</v>
      </c>
      <c r="D910" s="115" t="s">
        <v>3601</v>
      </c>
      <c r="E910" s="115" t="s">
        <v>29</v>
      </c>
      <c r="F910" s="115">
        <v>3</v>
      </c>
    </row>
    <row r="911" spans="2:6">
      <c r="B911" s="115" t="s">
        <v>3992</v>
      </c>
      <c r="C911" s="115" t="s">
        <v>3993</v>
      </c>
      <c r="D911" s="115" t="s">
        <v>3601</v>
      </c>
      <c r="E911" s="115" t="s">
        <v>29</v>
      </c>
      <c r="F911" s="115">
        <v>1</v>
      </c>
    </row>
    <row r="912" spans="2:6">
      <c r="B912" s="115" t="s">
        <v>3994</v>
      </c>
      <c r="C912" s="115" t="s">
        <v>3995</v>
      </c>
      <c r="D912" s="115" t="s">
        <v>3601</v>
      </c>
      <c r="E912" s="115" t="s">
        <v>29</v>
      </c>
      <c r="F912" s="115">
        <v>1</v>
      </c>
    </row>
    <row r="913" spans="2:6">
      <c r="B913" s="115" t="s">
        <v>3996</v>
      </c>
      <c r="C913" s="115" t="s">
        <v>3997</v>
      </c>
      <c r="D913" s="115" t="s">
        <v>3601</v>
      </c>
      <c r="E913" s="115" t="s">
        <v>29</v>
      </c>
      <c r="F913" s="115">
        <v>3</v>
      </c>
    </row>
    <row r="914" spans="2:6">
      <c r="B914" s="115" t="s">
        <v>3998</v>
      </c>
      <c r="C914" s="115" t="s">
        <v>3999</v>
      </c>
      <c r="D914" s="115" t="s">
        <v>3601</v>
      </c>
      <c r="E914" s="115" t="s">
        <v>29</v>
      </c>
      <c r="F914" s="115">
        <v>1</v>
      </c>
    </row>
    <row r="915" spans="2:6">
      <c r="B915" s="115" t="s">
        <v>4000</v>
      </c>
      <c r="C915" s="115" t="s">
        <v>4001</v>
      </c>
      <c r="D915" s="115" t="s">
        <v>3601</v>
      </c>
      <c r="E915" s="115" t="s">
        <v>29</v>
      </c>
      <c r="F915" s="115">
        <v>3</v>
      </c>
    </row>
    <row r="916" spans="2:6">
      <c r="B916" s="115" t="s">
        <v>4002</v>
      </c>
      <c r="C916" s="115" t="s">
        <v>4003</v>
      </c>
      <c r="D916" s="115" t="s">
        <v>3601</v>
      </c>
      <c r="E916" s="115" t="s">
        <v>29</v>
      </c>
      <c r="F916" s="115">
        <v>1</v>
      </c>
    </row>
    <row r="917" spans="2:6">
      <c r="B917" s="115" t="s">
        <v>4004</v>
      </c>
      <c r="C917" s="115" t="s">
        <v>4005</v>
      </c>
      <c r="D917" s="115" t="s">
        <v>3601</v>
      </c>
      <c r="E917" s="115" t="s">
        <v>29</v>
      </c>
      <c r="F917" s="115">
        <v>1</v>
      </c>
    </row>
    <row r="918" spans="2:6">
      <c r="B918" s="115" t="s">
        <v>4006</v>
      </c>
      <c r="C918" s="115" t="s">
        <v>4007</v>
      </c>
      <c r="D918" s="115" t="s">
        <v>3601</v>
      </c>
      <c r="E918" s="115" t="s">
        <v>29</v>
      </c>
      <c r="F918" s="115">
        <v>1</v>
      </c>
    </row>
    <row r="919" spans="2:6">
      <c r="B919" s="115" t="s">
        <v>4008</v>
      </c>
      <c r="C919" s="115" t="s">
        <v>4009</v>
      </c>
      <c r="D919" s="115" t="s">
        <v>3601</v>
      </c>
      <c r="E919" s="115" t="s">
        <v>29</v>
      </c>
      <c r="F919" s="115">
        <v>3</v>
      </c>
    </row>
    <row r="920" spans="2:6">
      <c r="B920" s="115" t="s">
        <v>4010</v>
      </c>
      <c r="C920" s="115" t="s">
        <v>4011</v>
      </c>
      <c r="D920" s="115" t="s">
        <v>3601</v>
      </c>
      <c r="E920" s="115" t="s">
        <v>29</v>
      </c>
      <c r="F920" s="115">
        <v>1</v>
      </c>
    </row>
    <row r="921" spans="2:6">
      <c r="B921" s="115" t="s">
        <v>4012</v>
      </c>
      <c r="C921" s="115" t="s">
        <v>4013</v>
      </c>
      <c r="D921" s="115" t="s">
        <v>3601</v>
      </c>
      <c r="E921" s="115" t="s">
        <v>29</v>
      </c>
      <c r="F921" s="115">
        <v>3</v>
      </c>
    </row>
    <row r="922" spans="2:6">
      <c r="B922" s="115" t="s">
        <v>4014</v>
      </c>
      <c r="C922" s="115" t="s">
        <v>4015</v>
      </c>
      <c r="D922" s="115" t="s">
        <v>3601</v>
      </c>
      <c r="E922" s="115" t="s">
        <v>29</v>
      </c>
      <c r="F922" s="115">
        <v>1</v>
      </c>
    </row>
    <row r="923" spans="2:6">
      <c r="B923" s="115" t="s">
        <v>4016</v>
      </c>
      <c r="C923" s="115" t="s">
        <v>4017</v>
      </c>
      <c r="D923" s="115" t="s">
        <v>3601</v>
      </c>
      <c r="E923" s="115" t="s">
        <v>29</v>
      </c>
      <c r="F923" s="115">
        <v>3</v>
      </c>
    </row>
    <row r="924" spans="2:6">
      <c r="B924" s="115" t="s">
        <v>4018</v>
      </c>
      <c r="C924" s="115" t="s">
        <v>4019</v>
      </c>
      <c r="D924" s="115" t="s">
        <v>3601</v>
      </c>
      <c r="E924" s="115" t="s">
        <v>29</v>
      </c>
      <c r="F924" s="115">
        <v>3</v>
      </c>
    </row>
    <row r="925" spans="2:6">
      <c r="B925" s="115" t="s">
        <v>4020</v>
      </c>
      <c r="C925" s="115" t="s">
        <v>4021</v>
      </c>
      <c r="D925" s="115" t="s">
        <v>3601</v>
      </c>
      <c r="E925" s="115" t="s">
        <v>29</v>
      </c>
      <c r="F925" s="115">
        <v>1</v>
      </c>
    </row>
    <row r="926" spans="2:6">
      <c r="B926" s="115" t="s">
        <v>4022</v>
      </c>
      <c r="C926" s="115" t="s">
        <v>4023</v>
      </c>
      <c r="D926" s="115" t="s">
        <v>3601</v>
      </c>
      <c r="E926" s="115" t="s">
        <v>29</v>
      </c>
      <c r="F926" s="115">
        <v>2</v>
      </c>
    </row>
    <row r="927" spans="2:6">
      <c r="B927" s="115" t="s">
        <v>4024</v>
      </c>
      <c r="C927" s="115" t="s">
        <v>4025</v>
      </c>
      <c r="D927" s="115" t="s">
        <v>3601</v>
      </c>
      <c r="E927" s="115" t="s">
        <v>29</v>
      </c>
      <c r="F927" s="115">
        <v>2</v>
      </c>
    </row>
    <row r="928" spans="2:6">
      <c r="B928" s="115" t="s">
        <v>4026</v>
      </c>
      <c r="C928" s="115" t="s">
        <v>4027</v>
      </c>
      <c r="D928" s="115" t="s">
        <v>3601</v>
      </c>
      <c r="E928" s="115" t="s">
        <v>29</v>
      </c>
      <c r="F928" s="115">
        <v>3</v>
      </c>
    </row>
    <row r="929" spans="2:6">
      <c r="B929" s="115" t="s">
        <v>4028</v>
      </c>
      <c r="C929" s="115" t="s">
        <v>4029</v>
      </c>
      <c r="D929" s="115" t="s">
        <v>3601</v>
      </c>
      <c r="E929" s="115" t="s">
        <v>29</v>
      </c>
      <c r="F929" s="115">
        <v>3</v>
      </c>
    </row>
    <row r="930" spans="2:6">
      <c r="B930" s="115" t="s">
        <v>4030</v>
      </c>
      <c r="C930" s="115" t="s">
        <v>4031</v>
      </c>
      <c r="D930" s="115" t="s">
        <v>3601</v>
      </c>
      <c r="E930" s="115" t="s">
        <v>29</v>
      </c>
      <c r="F930" s="115">
        <v>1</v>
      </c>
    </row>
    <row r="931" spans="2:6">
      <c r="B931" s="115" t="s">
        <v>4032</v>
      </c>
      <c r="C931" s="115" t="s">
        <v>4033</v>
      </c>
      <c r="D931" s="115" t="s">
        <v>3601</v>
      </c>
      <c r="E931" s="115" t="s">
        <v>29</v>
      </c>
      <c r="F931" s="115">
        <v>1</v>
      </c>
    </row>
    <row r="932" spans="2:6">
      <c r="B932" s="115" t="s">
        <v>4034</v>
      </c>
      <c r="C932" s="115" t="s">
        <v>4035</v>
      </c>
      <c r="D932" s="115" t="s">
        <v>3601</v>
      </c>
      <c r="E932" s="115" t="s">
        <v>29</v>
      </c>
      <c r="F932" s="115">
        <v>3</v>
      </c>
    </row>
    <row r="933" spans="2:6">
      <c r="B933" s="115" t="s">
        <v>4036</v>
      </c>
      <c r="C933" s="115" t="s">
        <v>4037</v>
      </c>
      <c r="D933" s="115" t="s">
        <v>3601</v>
      </c>
      <c r="E933" s="115" t="s">
        <v>29</v>
      </c>
      <c r="F933" s="115">
        <v>1</v>
      </c>
    </row>
    <row r="934" spans="2:6">
      <c r="B934" s="115" t="s">
        <v>4038</v>
      </c>
      <c r="C934" s="115" t="s">
        <v>4039</v>
      </c>
      <c r="D934" s="115" t="s">
        <v>3601</v>
      </c>
      <c r="E934" s="115" t="s">
        <v>29</v>
      </c>
      <c r="F934" s="115">
        <v>1</v>
      </c>
    </row>
    <row r="935" spans="2:6">
      <c r="B935" s="115" t="s">
        <v>4040</v>
      </c>
      <c r="C935" s="115" t="s">
        <v>4041</v>
      </c>
      <c r="D935" s="115" t="s">
        <v>3601</v>
      </c>
      <c r="E935" s="115" t="s">
        <v>29</v>
      </c>
      <c r="F935" s="115">
        <v>3</v>
      </c>
    </row>
    <row r="936" spans="2:6">
      <c r="B936" s="115" t="s">
        <v>4042</v>
      </c>
      <c r="C936" s="115" t="s">
        <v>4043</v>
      </c>
      <c r="D936" s="115" t="s">
        <v>3601</v>
      </c>
      <c r="E936" s="115" t="s">
        <v>29</v>
      </c>
      <c r="F936" s="115">
        <v>3</v>
      </c>
    </row>
    <row r="937" spans="2:6">
      <c r="B937" s="115" t="s">
        <v>4044</v>
      </c>
      <c r="C937" s="115" t="s">
        <v>4045</v>
      </c>
      <c r="D937" s="115" t="s">
        <v>3601</v>
      </c>
      <c r="E937" s="115" t="s">
        <v>29</v>
      </c>
      <c r="F937" s="115">
        <v>1</v>
      </c>
    </row>
    <row r="938" spans="2:6">
      <c r="B938" s="115" t="s">
        <v>4046</v>
      </c>
      <c r="C938" s="115" t="s">
        <v>4047</v>
      </c>
      <c r="D938" s="115" t="s">
        <v>3601</v>
      </c>
      <c r="E938" s="115" t="s">
        <v>29</v>
      </c>
      <c r="F938" s="115">
        <v>1</v>
      </c>
    </row>
    <row r="939" spans="2:6">
      <c r="B939" s="115" t="s">
        <v>4048</v>
      </c>
      <c r="C939" s="115" t="s">
        <v>4049</v>
      </c>
      <c r="D939" s="115" t="s">
        <v>3601</v>
      </c>
      <c r="E939" s="115" t="s">
        <v>29</v>
      </c>
      <c r="F939" s="115">
        <v>2</v>
      </c>
    </row>
    <row r="940" spans="2:6">
      <c r="B940" s="115" t="s">
        <v>4050</v>
      </c>
      <c r="C940" s="115" t="s">
        <v>4051</v>
      </c>
      <c r="D940" s="115" t="s">
        <v>3601</v>
      </c>
      <c r="E940" s="115" t="s">
        <v>29</v>
      </c>
      <c r="F940" s="115">
        <v>3</v>
      </c>
    </row>
    <row r="941" spans="2:6">
      <c r="B941" s="115" t="s">
        <v>4052</v>
      </c>
      <c r="C941" s="115" t="s">
        <v>4053</v>
      </c>
      <c r="D941" s="115" t="s">
        <v>3601</v>
      </c>
      <c r="E941" s="115" t="s">
        <v>29</v>
      </c>
      <c r="F941" s="115">
        <v>3</v>
      </c>
    </row>
    <row r="942" spans="2:6">
      <c r="B942" s="115" t="s">
        <v>4054</v>
      </c>
      <c r="C942" s="115" t="s">
        <v>4055</v>
      </c>
      <c r="D942" s="115" t="s">
        <v>3601</v>
      </c>
      <c r="E942" s="115" t="s">
        <v>29</v>
      </c>
      <c r="F942" s="115">
        <v>3</v>
      </c>
    </row>
    <row r="943" spans="2:6">
      <c r="B943" s="115" t="s">
        <v>4056</v>
      </c>
      <c r="C943" s="115" t="s">
        <v>4057</v>
      </c>
      <c r="D943" s="115" t="s">
        <v>3601</v>
      </c>
      <c r="E943" s="115" t="s">
        <v>29</v>
      </c>
      <c r="F943" s="115">
        <v>1</v>
      </c>
    </row>
    <row r="944" spans="2:6">
      <c r="B944" s="115" t="s">
        <v>4058</v>
      </c>
      <c r="C944" s="115" t="s">
        <v>4059</v>
      </c>
      <c r="D944" s="115" t="s">
        <v>3601</v>
      </c>
      <c r="E944" s="115" t="s">
        <v>29</v>
      </c>
      <c r="F944" s="115">
        <v>3</v>
      </c>
    </row>
    <row r="945" spans="2:6">
      <c r="B945" s="115" t="s">
        <v>4060</v>
      </c>
      <c r="C945" s="115" t="s">
        <v>4061</v>
      </c>
      <c r="D945" s="115" t="s">
        <v>3601</v>
      </c>
      <c r="E945" s="115" t="s">
        <v>29</v>
      </c>
      <c r="F945" s="115">
        <v>3</v>
      </c>
    </row>
    <row r="946" spans="2:6">
      <c r="B946" s="115" t="s">
        <v>4062</v>
      </c>
      <c r="C946" s="115" t="s">
        <v>4063</v>
      </c>
      <c r="D946" s="115" t="s">
        <v>3601</v>
      </c>
      <c r="E946" s="115" t="s">
        <v>29</v>
      </c>
      <c r="F946" s="115">
        <v>1</v>
      </c>
    </row>
    <row r="947" spans="2:6">
      <c r="B947" s="115" t="s">
        <v>4064</v>
      </c>
      <c r="C947" s="115" t="s">
        <v>4065</v>
      </c>
      <c r="D947" s="115" t="s">
        <v>3601</v>
      </c>
      <c r="E947" s="115" t="s">
        <v>29</v>
      </c>
      <c r="F947" s="115">
        <v>3</v>
      </c>
    </row>
    <row r="948" spans="2:6">
      <c r="B948" s="115" t="s">
        <v>4066</v>
      </c>
      <c r="C948" s="115" t="s">
        <v>4067</v>
      </c>
      <c r="D948" s="115" t="s">
        <v>3601</v>
      </c>
      <c r="E948" s="115" t="s">
        <v>29</v>
      </c>
      <c r="F948" s="115">
        <v>3</v>
      </c>
    </row>
    <row r="949" spans="2:6">
      <c r="B949" s="115" t="s">
        <v>4068</v>
      </c>
      <c r="C949" s="115" t="s">
        <v>4069</v>
      </c>
      <c r="D949" s="115" t="s">
        <v>3601</v>
      </c>
      <c r="E949" s="115" t="s">
        <v>29</v>
      </c>
      <c r="F949" s="115">
        <v>1</v>
      </c>
    </row>
    <row r="950" spans="2:6">
      <c r="B950" s="115" t="s">
        <v>4070</v>
      </c>
      <c r="C950" s="115" t="s">
        <v>4071</v>
      </c>
      <c r="D950" s="115" t="s">
        <v>3601</v>
      </c>
      <c r="E950" s="115" t="s">
        <v>29</v>
      </c>
      <c r="F950" s="115">
        <v>1</v>
      </c>
    </row>
    <row r="951" spans="2:6">
      <c r="B951" s="115" t="s">
        <v>4072</v>
      </c>
      <c r="C951" s="115" t="s">
        <v>4073</v>
      </c>
      <c r="D951" s="115" t="s">
        <v>3601</v>
      </c>
      <c r="E951" s="115" t="s">
        <v>29</v>
      </c>
      <c r="F951" s="115">
        <v>3</v>
      </c>
    </row>
    <row r="952" spans="2:6">
      <c r="B952" s="115" t="s">
        <v>4074</v>
      </c>
      <c r="C952" s="115" t="s">
        <v>4075</v>
      </c>
      <c r="D952" s="115" t="s">
        <v>3601</v>
      </c>
      <c r="E952" s="115" t="s">
        <v>29</v>
      </c>
      <c r="F952" s="115">
        <v>3</v>
      </c>
    </row>
    <row r="953" spans="2:6">
      <c r="B953" s="115" t="s">
        <v>4076</v>
      </c>
      <c r="C953" s="115" t="s">
        <v>4077</v>
      </c>
      <c r="D953" s="115" t="s">
        <v>3601</v>
      </c>
      <c r="E953" s="115" t="s">
        <v>29</v>
      </c>
      <c r="F953" s="115">
        <v>3</v>
      </c>
    </row>
    <row r="954" spans="2:6">
      <c r="B954" s="115" t="s">
        <v>4078</v>
      </c>
      <c r="C954" s="115" t="s">
        <v>4079</v>
      </c>
      <c r="D954" s="115" t="s">
        <v>3601</v>
      </c>
      <c r="E954" s="115" t="s">
        <v>29</v>
      </c>
      <c r="F954" s="115">
        <v>3</v>
      </c>
    </row>
    <row r="955" spans="2:6">
      <c r="B955" s="115" t="s">
        <v>4080</v>
      </c>
      <c r="C955" s="115" t="s">
        <v>4081</v>
      </c>
      <c r="D955" s="115" t="s">
        <v>3601</v>
      </c>
      <c r="E955" s="115" t="s">
        <v>29</v>
      </c>
      <c r="F955" s="115">
        <v>2</v>
      </c>
    </row>
    <row r="956" spans="2:6">
      <c r="B956" s="115" t="s">
        <v>4082</v>
      </c>
      <c r="C956" s="115" t="s">
        <v>4083</v>
      </c>
      <c r="D956" s="115" t="s">
        <v>3601</v>
      </c>
      <c r="E956" s="115" t="s">
        <v>29</v>
      </c>
      <c r="F956" s="115">
        <v>1</v>
      </c>
    </row>
    <row r="957" spans="2:6">
      <c r="B957" s="115" t="s">
        <v>4084</v>
      </c>
      <c r="C957" s="115" t="s">
        <v>4085</v>
      </c>
      <c r="D957" s="115" t="s">
        <v>3601</v>
      </c>
      <c r="E957" s="115" t="s">
        <v>29</v>
      </c>
      <c r="F957" s="115">
        <v>1</v>
      </c>
    </row>
    <row r="958" spans="2:6">
      <c r="B958" s="115" t="s">
        <v>4086</v>
      </c>
      <c r="C958" s="115" t="s">
        <v>4087</v>
      </c>
      <c r="D958" s="115" t="s">
        <v>3601</v>
      </c>
      <c r="E958" s="115" t="s">
        <v>29</v>
      </c>
      <c r="F958" s="115">
        <v>1</v>
      </c>
    </row>
    <row r="959" spans="2:6">
      <c r="B959" s="115" t="s">
        <v>4088</v>
      </c>
      <c r="C959" s="115" t="s">
        <v>4089</v>
      </c>
      <c r="D959" s="115" t="s">
        <v>3601</v>
      </c>
      <c r="E959" s="115" t="s">
        <v>29</v>
      </c>
      <c r="F959" s="115">
        <v>3</v>
      </c>
    </row>
    <row r="960" spans="2:6">
      <c r="B960" s="115" t="s">
        <v>4090</v>
      </c>
      <c r="C960" s="115" t="s">
        <v>4091</v>
      </c>
      <c r="D960" s="115" t="s">
        <v>3601</v>
      </c>
      <c r="E960" s="115" t="s">
        <v>29</v>
      </c>
      <c r="F960" s="115">
        <v>3</v>
      </c>
    </row>
    <row r="961" spans="2:6">
      <c r="B961" s="115" t="s">
        <v>4092</v>
      </c>
      <c r="C961" s="115" t="s">
        <v>4093</v>
      </c>
      <c r="D961" s="115" t="s">
        <v>3601</v>
      </c>
      <c r="E961" s="115" t="s">
        <v>29</v>
      </c>
      <c r="F961" s="115">
        <v>3</v>
      </c>
    </row>
    <row r="962" spans="2:6">
      <c r="B962" s="115" t="s">
        <v>4094</v>
      </c>
      <c r="C962" s="115" t="s">
        <v>4095</v>
      </c>
      <c r="D962" s="115" t="s">
        <v>3601</v>
      </c>
      <c r="E962" s="115" t="s">
        <v>29</v>
      </c>
      <c r="F962" s="115">
        <v>3</v>
      </c>
    </row>
    <row r="963" spans="2:6">
      <c r="B963" s="115" t="s">
        <v>4096</v>
      </c>
      <c r="C963" s="115" t="s">
        <v>4097</v>
      </c>
      <c r="D963" s="115" t="s">
        <v>3601</v>
      </c>
      <c r="E963" s="115" t="s">
        <v>29</v>
      </c>
      <c r="F963" s="115">
        <v>3</v>
      </c>
    </row>
    <row r="964" spans="2:6">
      <c r="B964" s="115" t="s">
        <v>4098</v>
      </c>
      <c r="C964" s="115" t="s">
        <v>4099</v>
      </c>
      <c r="D964" s="115" t="s">
        <v>3601</v>
      </c>
      <c r="E964" s="115" t="s">
        <v>29</v>
      </c>
      <c r="F964" s="115">
        <v>2</v>
      </c>
    </row>
    <row r="965" spans="2:6">
      <c r="B965" s="115" t="s">
        <v>4100</v>
      </c>
      <c r="C965" s="115" t="s">
        <v>4101</v>
      </c>
      <c r="D965" s="115" t="s">
        <v>3601</v>
      </c>
      <c r="E965" s="115" t="s">
        <v>29</v>
      </c>
      <c r="F965" s="115">
        <v>3</v>
      </c>
    </row>
    <row r="966" spans="2:6">
      <c r="B966" s="115" t="s">
        <v>4102</v>
      </c>
      <c r="C966" s="115" t="s">
        <v>4103</v>
      </c>
      <c r="D966" s="115" t="s">
        <v>3601</v>
      </c>
      <c r="E966" s="115" t="s">
        <v>29</v>
      </c>
      <c r="F966" s="115">
        <v>2</v>
      </c>
    </row>
    <row r="967" spans="2:6">
      <c r="B967" s="115" t="s">
        <v>4104</v>
      </c>
      <c r="C967" s="115" t="s">
        <v>4105</v>
      </c>
      <c r="D967" s="115" t="s">
        <v>3601</v>
      </c>
      <c r="E967" s="115" t="s">
        <v>29</v>
      </c>
      <c r="F967" s="115">
        <v>3</v>
      </c>
    </row>
    <row r="968" spans="2:6">
      <c r="B968" s="115" t="s">
        <v>4106</v>
      </c>
      <c r="C968" s="115" t="s">
        <v>4107</v>
      </c>
      <c r="D968" s="115" t="s">
        <v>3601</v>
      </c>
      <c r="E968" s="115" t="s">
        <v>29</v>
      </c>
      <c r="F968" s="115">
        <v>1</v>
      </c>
    </row>
    <row r="969" spans="2:6">
      <c r="B969" s="115" t="s">
        <v>4108</v>
      </c>
      <c r="C969" s="115" t="s">
        <v>4109</v>
      </c>
      <c r="D969" s="115" t="s">
        <v>3601</v>
      </c>
      <c r="E969" s="115" t="s">
        <v>29</v>
      </c>
      <c r="F969" s="115">
        <v>3</v>
      </c>
    </row>
    <row r="970" spans="2:6">
      <c r="B970" s="115" t="s">
        <v>4110</v>
      </c>
      <c r="C970" s="115" t="s">
        <v>4111</v>
      </c>
      <c r="D970" s="115" t="s">
        <v>3601</v>
      </c>
      <c r="E970" s="115" t="s">
        <v>29</v>
      </c>
      <c r="F970" s="115">
        <v>3</v>
      </c>
    </row>
    <row r="971" spans="2:6">
      <c r="B971" s="115" t="s">
        <v>4112</v>
      </c>
      <c r="C971" s="115" t="s">
        <v>4113</v>
      </c>
      <c r="D971" s="115" t="s">
        <v>3601</v>
      </c>
      <c r="E971" s="115" t="s">
        <v>29</v>
      </c>
      <c r="F971" s="115">
        <v>3</v>
      </c>
    </row>
    <row r="972" spans="2:6">
      <c r="B972" s="115" t="s">
        <v>4114</v>
      </c>
      <c r="C972" s="115" t="s">
        <v>4115</v>
      </c>
      <c r="D972" s="115" t="s">
        <v>3601</v>
      </c>
      <c r="E972" s="115" t="s">
        <v>29</v>
      </c>
      <c r="F972" s="115">
        <v>3</v>
      </c>
    </row>
    <row r="973" spans="2:6">
      <c r="B973" s="115" t="s">
        <v>4116</v>
      </c>
      <c r="C973" s="115" t="s">
        <v>4117</v>
      </c>
      <c r="D973" s="115" t="s">
        <v>3601</v>
      </c>
      <c r="E973" s="115" t="s">
        <v>29</v>
      </c>
      <c r="F973" s="115">
        <v>3</v>
      </c>
    </row>
    <row r="974" spans="2:6">
      <c r="B974" s="115" t="s">
        <v>4118</v>
      </c>
      <c r="C974" s="115" t="s">
        <v>4119</v>
      </c>
      <c r="D974" s="115" t="s">
        <v>3601</v>
      </c>
      <c r="E974" s="115" t="s">
        <v>29</v>
      </c>
      <c r="F974" s="115">
        <v>3</v>
      </c>
    </row>
    <row r="975" spans="2:6">
      <c r="B975" s="115" t="s">
        <v>4120</v>
      </c>
      <c r="C975" s="115" t="s">
        <v>4121</v>
      </c>
      <c r="D975" s="115" t="s">
        <v>3601</v>
      </c>
      <c r="E975" s="115" t="s">
        <v>29</v>
      </c>
      <c r="F975" s="115">
        <v>2</v>
      </c>
    </row>
    <row r="976" spans="2:6">
      <c r="B976" s="115" t="s">
        <v>4122</v>
      </c>
      <c r="C976" s="115" t="s">
        <v>4123</v>
      </c>
      <c r="D976" s="115" t="s">
        <v>3601</v>
      </c>
      <c r="E976" s="115" t="s">
        <v>29</v>
      </c>
      <c r="F976" s="115">
        <v>3</v>
      </c>
    </row>
    <row r="977" spans="2:6">
      <c r="B977" s="115" t="s">
        <v>4124</v>
      </c>
      <c r="C977" s="115" t="s">
        <v>4125</v>
      </c>
      <c r="D977" s="115" t="s">
        <v>3601</v>
      </c>
      <c r="E977" s="115" t="s">
        <v>29</v>
      </c>
      <c r="F977" s="115">
        <v>2</v>
      </c>
    </row>
    <row r="978" spans="2:6">
      <c r="B978" s="115" t="s">
        <v>4126</v>
      </c>
      <c r="C978" s="115" t="s">
        <v>4127</v>
      </c>
      <c r="D978" s="115" t="s">
        <v>3601</v>
      </c>
      <c r="E978" s="115" t="s">
        <v>29</v>
      </c>
      <c r="F978" s="115">
        <v>3</v>
      </c>
    </row>
    <row r="979" spans="2:6">
      <c r="B979" s="115" t="s">
        <v>4128</v>
      </c>
      <c r="C979" s="115" t="s">
        <v>4129</v>
      </c>
      <c r="D979" s="115" t="s">
        <v>3601</v>
      </c>
      <c r="E979" s="115" t="s">
        <v>29</v>
      </c>
      <c r="F979" s="115">
        <v>3</v>
      </c>
    </row>
    <row r="980" spans="2:6">
      <c r="B980" s="115" t="s">
        <v>4130</v>
      </c>
      <c r="C980" s="115" t="s">
        <v>4131</v>
      </c>
      <c r="D980" s="115" t="s">
        <v>3601</v>
      </c>
      <c r="E980" s="115" t="s">
        <v>29</v>
      </c>
      <c r="F980" s="115">
        <v>1</v>
      </c>
    </row>
    <row r="981" spans="2:6">
      <c r="B981" s="115" t="s">
        <v>4132</v>
      </c>
      <c r="C981" s="115" t="s">
        <v>4133</v>
      </c>
      <c r="D981" s="115" t="s">
        <v>3601</v>
      </c>
      <c r="E981" s="115" t="s">
        <v>29</v>
      </c>
      <c r="F981" s="115">
        <v>2</v>
      </c>
    </row>
    <row r="982" spans="2:6">
      <c r="B982" s="115" t="s">
        <v>4134</v>
      </c>
      <c r="C982" s="115" t="s">
        <v>4135</v>
      </c>
      <c r="D982" s="115" t="s">
        <v>3601</v>
      </c>
      <c r="E982" s="115" t="s">
        <v>29</v>
      </c>
      <c r="F982" s="115">
        <v>2</v>
      </c>
    </row>
    <row r="983" spans="2:6">
      <c r="B983" s="115" t="s">
        <v>4136</v>
      </c>
      <c r="C983" s="115" t="s">
        <v>4137</v>
      </c>
      <c r="D983" s="115" t="s">
        <v>3601</v>
      </c>
      <c r="E983" s="115" t="s">
        <v>29</v>
      </c>
      <c r="F983" s="115">
        <v>2</v>
      </c>
    </row>
    <row r="984" spans="2:6">
      <c r="B984" s="115" t="s">
        <v>4138</v>
      </c>
      <c r="C984" s="115" t="s">
        <v>4139</v>
      </c>
      <c r="D984" s="115" t="s">
        <v>3601</v>
      </c>
      <c r="E984" s="115" t="s">
        <v>29</v>
      </c>
      <c r="F984" s="115">
        <v>3</v>
      </c>
    </row>
    <row r="985" spans="2:6">
      <c r="B985" s="115" t="s">
        <v>4140</v>
      </c>
      <c r="C985" s="115" t="s">
        <v>4141</v>
      </c>
      <c r="D985" s="115" t="s">
        <v>3601</v>
      </c>
      <c r="E985" s="115" t="s">
        <v>29</v>
      </c>
      <c r="F985" s="115">
        <v>1</v>
      </c>
    </row>
    <row r="986" spans="2:6">
      <c r="B986" s="115" t="s">
        <v>4142</v>
      </c>
      <c r="C986" s="115" t="s">
        <v>4143</v>
      </c>
      <c r="D986" s="115" t="s">
        <v>3601</v>
      </c>
      <c r="E986" s="115" t="s">
        <v>29</v>
      </c>
      <c r="F986" s="115">
        <v>2</v>
      </c>
    </row>
    <row r="987" spans="2:6">
      <c r="B987" s="115" t="s">
        <v>4144</v>
      </c>
      <c r="C987" s="115" t="s">
        <v>4145</v>
      </c>
      <c r="D987" s="115" t="s">
        <v>3601</v>
      </c>
      <c r="E987" s="115" t="s">
        <v>29</v>
      </c>
      <c r="F987" s="115">
        <v>1</v>
      </c>
    </row>
    <row r="988" spans="2:6">
      <c r="B988" s="115" t="s">
        <v>4146</v>
      </c>
      <c r="C988" s="115" t="s">
        <v>4147</v>
      </c>
      <c r="D988" s="115" t="s">
        <v>3601</v>
      </c>
      <c r="E988" s="115" t="s">
        <v>29</v>
      </c>
      <c r="F988" s="115">
        <v>1</v>
      </c>
    </row>
    <row r="989" spans="2:6">
      <c r="B989" s="115" t="s">
        <v>4148</v>
      </c>
      <c r="C989" s="115" t="s">
        <v>4149</v>
      </c>
      <c r="D989" s="115" t="s">
        <v>3601</v>
      </c>
      <c r="E989" s="115" t="s">
        <v>29</v>
      </c>
      <c r="F989" s="115">
        <v>1</v>
      </c>
    </row>
    <row r="990" spans="2:6">
      <c r="B990" s="115" t="s">
        <v>4150</v>
      </c>
      <c r="C990" s="115" t="s">
        <v>4151</v>
      </c>
      <c r="D990" s="115" t="s">
        <v>3601</v>
      </c>
      <c r="E990" s="115" t="s">
        <v>29</v>
      </c>
      <c r="F990" s="115">
        <v>1</v>
      </c>
    </row>
    <row r="991" spans="2:6">
      <c r="B991" s="115" t="s">
        <v>4152</v>
      </c>
      <c r="C991" s="115" t="s">
        <v>4153</v>
      </c>
      <c r="D991" s="115" t="s">
        <v>3601</v>
      </c>
      <c r="E991" s="115" t="s">
        <v>29</v>
      </c>
      <c r="F991" s="115">
        <v>1</v>
      </c>
    </row>
    <row r="992" spans="2:6">
      <c r="B992" s="115" t="s">
        <v>4154</v>
      </c>
      <c r="C992" s="115" t="s">
        <v>4155</v>
      </c>
      <c r="D992" s="115" t="s">
        <v>3601</v>
      </c>
      <c r="E992" s="115" t="s">
        <v>29</v>
      </c>
      <c r="F992" s="115">
        <v>1</v>
      </c>
    </row>
    <row r="993" spans="2:6">
      <c r="B993" s="115" t="s">
        <v>4156</v>
      </c>
      <c r="C993" s="115" t="s">
        <v>4157</v>
      </c>
      <c r="D993" s="115" t="s">
        <v>3601</v>
      </c>
      <c r="E993" s="115" t="s">
        <v>29</v>
      </c>
      <c r="F993" s="115">
        <v>2</v>
      </c>
    </row>
    <row r="994" spans="2:6">
      <c r="B994" s="115" t="s">
        <v>4158</v>
      </c>
      <c r="C994" s="115" t="s">
        <v>4159</v>
      </c>
      <c r="D994" s="115" t="s">
        <v>3601</v>
      </c>
      <c r="E994" s="115" t="s">
        <v>29</v>
      </c>
      <c r="F994" s="115">
        <v>2</v>
      </c>
    </row>
    <row r="995" spans="2:6">
      <c r="B995" s="115" t="s">
        <v>4160</v>
      </c>
      <c r="C995" s="115" t="s">
        <v>4161</v>
      </c>
      <c r="D995" s="115" t="s">
        <v>3601</v>
      </c>
      <c r="E995" s="115" t="s">
        <v>29</v>
      </c>
      <c r="F995" s="115">
        <v>1</v>
      </c>
    </row>
    <row r="996" spans="2:6">
      <c r="B996" s="115" t="s">
        <v>4162</v>
      </c>
      <c r="C996" s="115" t="s">
        <v>4163</v>
      </c>
      <c r="D996" s="115" t="s">
        <v>3601</v>
      </c>
      <c r="E996" s="115" t="s">
        <v>29</v>
      </c>
      <c r="F996" s="115">
        <v>3</v>
      </c>
    </row>
    <row r="997" spans="2:6">
      <c r="B997" s="115" t="s">
        <v>4164</v>
      </c>
      <c r="C997" s="115" t="s">
        <v>4165</v>
      </c>
      <c r="D997" s="115" t="s">
        <v>3601</v>
      </c>
      <c r="E997" s="115" t="s">
        <v>29</v>
      </c>
      <c r="F997" s="115">
        <v>1</v>
      </c>
    </row>
    <row r="998" spans="2:6">
      <c r="B998" s="115" t="s">
        <v>4166</v>
      </c>
      <c r="C998" s="115" t="s">
        <v>4167</v>
      </c>
      <c r="D998" s="115" t="s">
        <v>3601</v>
      </c>
      <c r="E998" s="115" t="s">
        <v>29</v>
      </c>
      <c r="F998" s="115">
        <v>3</v>
      </c>
    </row>
    <row r="999" spans="2:6">
      <c r="B999" s="115" t="s">
        <v>4168</v>
      </c>
      <c r="C999" s="115" t="s">
        <v>4169</v>
      </c>
      <c r="D999" s="115" t="s">
        <v>3601</v>
      </c>
      <c r="E999" s="115" t="s">
        <v>29</v>
      </c>
      <c r="F999" s="115">
        <v>3</v>
      </c>
    </row>
    <row r="1000" spans="2:6">
      <c r="B1000" s="115" t="s">
        <v>4170</v>
      </c>
      <c r="C1000" s="115" t="s">
        <v>4171</v>
      </c>
      <c r="D1000" s="115" t="s">
        <v>3601</v>
      </c>
      <c r="E1000" s="115" t="s">
        <v>29</v>
      </c>
      <c r="F1000" s="115">
        <v>1</v>
      </c>
    </row>
    <row r="1001" spans="2:6">
      <c r="B1001" s="115" t="s">
        <v>4172</v>
      </c>
      <c r="C1001" s="115" t="s">
        <v>4173</v>
      </c>
      <c r="D1001" s="115" t="s">
        <v>3601</v>
      </c>
      <c r="E1001" s="115" t="s">
        <v>29</v>
      </c>
      <c r="F1001" s="115">
        <v>3</v>
      </c>
    </row>
    <row r="1002" spans="2:6">
      <c r="B1002" s="115" t="s">
        <v>4174</v>
      </c>
      <c r="C1002" s="115" t="s">
        <v>4175</v>
      </c>
      <c r="D1002" s="115" t="s">
        <v>3601</v>
      </c>
      <c r="E1002" s="115" t="s">
        <v>29</v>
      </c>
      <c r="F1002" s="115">
        <v>1</v>
      </c>
    </row>
    <row r="1003" spans="2:6">
      <c r="B1003" s="115" t="s">
        <v>4176</v>
      </c>
      <c r="C1003" s="115" t="s">
        <v>4177</v>
      </c>
      <c r="D1003" s="115" t="s">
        <v>3601</v>
      </c>
      <c r="E1003" s="115" t="s">
        <v>29</v>
      </c>
      <c r="F1003" s="115">
        <v>1</v>
      </c>
    </row>
    <row r="1004" spans="2:6">
      <c r="B1004" s="115" t="s">
        <v>4178</v>
      </c>
      <c r="C1004" s="115" t="s">
        <v>4179</v>
      </c>
      <c r="D1004" s="115" t="s">
        <v>3601</v>
      </c>
      <c r="E1004" s="115" t="s">
        <v>29</v>
      </c>
      <c r="F1004" s="115">
        <v>1</v>
      </c>
    </row>
    <row r="1005" spans="2:6">
      <c r="B1005" s="115" t="s">
        <v>4180</v>
      </c>
      <c r="C1005" s="115" t="s">
        <v>4181</v>
      </c>
      <c r="D1005" s="115" t="s">
        <v>3601</v>
      </c>
      <c r="E1005" s="115" t="s">
        <v>29</v>
      </c>
      <c r="F1005" s="115">
        <v>1</v>
      </c>
    </row>
    <row r="1006" spans="2:6">
      <c r="B1006" s="115" t="s">
        <v>4182</v>
      </c>
      <c r="C1006" s="115" t="s">
        <v>4183</v>
      </c>
      <c r="D1006" s="115" t="s">
        <v>3601</v>
      </c>
      <c r="E1006" s="115" t="s">
        <v>29</v>
      </c>
      <c r="F1006" s="115">
        <v>3</v>
      </c>
    </row>
    <row r="1007" spans="2:6">
      <c r="B1007" s="115" t="s">
        <v>4184</v>
      </c>
      <c r="C1007" s="115" t="s">
        <v>4185</v>
      </c>
      <c r="D1007" s="115" t="s">
        <v>3601</v>
      </c>
      <c r="E1007" s="115" t="s">
        <v>29</v>
      </c>
      <c r="F1007" s="115">
        <v>3</v>
      </c>
    </row>
    <row r="1008" spans="2:6">
      <c r="B1008" s="115" t="s">
        <v>4186</v>
      </c>
      <c r="C1008" s="115" t="s">
        <v>4187</v>
      </c>
      <c r="D1008" s="115" t="s">
        <v>3601</v>
      </c>
      <c r="E1008" s="115" t="s">
        <v>29</v>
      </c>
      <c r="F1008" s="115">
        <v>1</v>
      </c>
    </row>
    <row r="1009" spans="2:6">
      <c r="B1009" s="115" t="s">
        <v>4188</v>
      </c>
      <c r="C1009" s="115" t="s">
        <v>4189</v>
      </c>
      <c r="D1009" s="115" t="s">
        <v>3601</v>
      </c>
      <c r="E1009" s="115" t="s">
        <v>29</v>
      </c>
      <c r="F1009" s="115">
        <v>2</v>
      </c>
    </row>
    <row r="1010" spans="2:6">
      <c r="B1010" s="115" t="s">
        <v>4190</v>
      </c>
      <c r="C1010" s="115" t="s">
        <v>4191</v>
      </c>
      <c r="D1010" s="115" t="s">
        <v>3601</v>
      </c>
      <c r="E1010" s="115" t="s">
        <v>29</v>
      </c>
      <c r="F1010" s="115">
        <v>2</v>
      </c>
    </row>
    <row r="1011" spans="2:6">
      <c r="B1011" s="115" t="s">
        <v>4192</v>
      </c>
      <c r="C1011" s="115" t="s">
        <v>4193</v>
      </c>
      <c r="D1011" s="115" t="s">
        <v>3601</v>
      </c>
      <c r="E1011" s="115" t="s">
        <v>29</v>
      </c>
      <c r="F1011" s="115">
        <v>2</v>
      </c>
    </row>
    <row r="1012" spans="2:6">
      <c r="B1012" s="115" t="s">
        <v>4194</v>
      </c>
      <c r="C1012" s="115" t="s">
        <v>4195</v>
      </c>
      <c r="D1012" s="115" t="s">
        <v>3601</v>
      </c>
      <c r="E1012" s="115" t="s">
        <v>29</v>
      </c>
      <c r="F1012" s="115">
        <v>1</v>
      </c>
    </row>
    <row r="1013" spans="2:6">
      <c r="B1013" s="115" t="s">
        <v>4196</v>
      </c>
      <c r="C1013" s="115" t="s">
        <v>4197</v>
      </c>
      <c r="D1013" s="115" t="s">
        <v>3601</v>
      </c>
      <c r="E1013" s="115" t="s">
        <v>29</v>
      </c>
      <c r="F1013" s="115">
        <v>2</v>
      </c>
    </row>
    <row r="1014" spans="2:6">
      <c r="B1014" s="115" t="s">
        <v>4198</v>
      </c>
      <c r="C1014" s="115" t="s">
        <v>4199</v>
      </c>
      <c r="D1014" s="115" t="s">
        <v>3601</v>
      </c>
      <c r="E1014" s="115" t="s">
        <v>29</v>
      </c>
      <c r="F1014" s="115">
        <v>3</v>
      </c>
    </row>
    <row r="1015" spans="2:6">
      <c r="B1015" s="115" t="s">
        <v>4200</v>
      </c>
      <c r="C1015" s="115" t="s">
        <v>4201</v>
      </c>
      <c r="D1015" s="115" t="s">
        <v>3601</v>
      </c>
      <c r="E1015" s="115" t="s">
        <v>29</v>
      </c>
      <c r="F1015" s="115">
        <v>3</v>
      </c>
    </row>
    <row r="1016" spans="2:6">
      <c r="B1016" s="115" t="s">
        <v>4202</v>
      </c>
      <c r="C1016" s="115" t="s">
        <v>4203</v>
      </c>
      <c r="D1016" s="115" t="s">
        <v>3601</v>
      </c>
      <c r="E1016" s="115" t="s">
        <v>29</v>
      </c>
      <c r="F1016" s="115">
        <v>3</v>
      </c>
    </row>
    <row r="1017" spans="2:6">
      <c r="B1017" s="115" t="s">
        <v>4204</v>
      </c>
      <c r="C1017" s="115" t="s">
        <v>4205</v>
      </c>
      <c r="D1017" s="115" t="s">
        <v>3601</v>
      </c>
      <c r="E1017" s="115" t="s">
        <v>29</v>
      </c>
      <c r="F1017" s="115">
        <v>3</v>
      </c>
    </row>
    <row r="1018" spans="2:6">
      <c r="B1018" s="115" t="s">
        <v>4206</v>
      </c>
      <c r="C1018" s="115" t="s">
        <v>4207</v>
      </c>
      <c r="D1018" s="115" t="s">
        <v>3601</v>
      </c>
      <c r="E1018" s="115" t="s">
        <v>29</v>
      </c>
      <c r="F1018" s="115">
        <v>2</v>
      </c>
    </row>
    <row r="1019" spans="2:6">
      <c r="B1019" s="115" t="s">
        <v>4208</v>
      </c>
      <c r="C1019" s="115" t="s">
        <v>4209</v>
      </c>
      <c r="D1019" s="115" t="s">
        <v>3601</v>
      </c>
      <c r="E1019" s="115" t="s">
        <v>29</v>
      </c>
      <c r="F1019" s="115">
        <v>1</v>
      </c>
    </row>
    <row r="1020" spans="2:6">
      <c r="B1020" s="115" t="s">
        <v>4210</v>
      </c>
      <c r="C1020" s="115" t="s">
        <v>4211</v>
      </c>
      <c r="D1020" s="115" t="s">
        <v>3601</v>
      </c>
      <c r="E1020" s="115" t="s">
        <v>29</v>
      </c>
      <c r="F1020" s="115">
        <v>3</v>
      </c>
    </row>
    <row r="1021" spans="2:6">
      <c r="B1021" s="115" t="s">
        <v>4212</v>
      </c>
      <c r="C1021" s="115" t="s">
        <v>4213</v>
      </c>
      <c r="D1021" s="115" t="s">
        <v>3601</v>
      </c>
      <c r="E1021" s="115" t="s">
        <v>29</v>
      </c>
      <c r="F1021" s="115">
        <v>2</v>
      </c>
    </row>
    <row r="1022" spans="2:6">
      <c r="B1022" s="115" t="s">
        <v>4214</v>
      </c>
      <c r="C1022" s="115" t="s">
        <v>4215</v>
      </c>
      <c r="D1022" s="115" t="s">
        <v>3601</v>
      </c>
      <c r="E1022" s="115" t="s">
        <v>29</v>
      </c>
      <c r="F1022" s="115">
        <v>2</v>
      </c>
    </row>
    <row r="1023" spans="2:6">
      <c r="B1023" s="115" t="s">
        <v>4216</v>
      </c>
      <c r="C1023" s="115" t="s">
        <v>4217</v>
      </c>
      <c r="D1023" s="115" t="s">
        <v>3601</v>
      </c>
      <c r="E1023" s="115" t="s">
        <v>29</v>
      </c>
      <c r="F1023" s="115">
        <v>3</v>
      </c>
    </row>
    <row r="1024" spans="2:6">
      <c r="B1024" s="115" t="s">
        <v>4218</v>
      </c>
      <c r="C1024" s="115" t="s">
        <v>4219</v>
      </c>
      <c r="D1024" s="115" t="s">
        <v>3601</v>
      </c>
      <c r="E1024" s="115" t="s">
        <v>29</v>
      </c>
      <c r="F1024" s="115">
        <v>1</v>
      </c>
    </row>
    <row r="1025" spans="2:6">
      <c r="B1025" s="115" t="s">
        <v>4220</v>
      </c>
      <c r="C1025" s="115" t="s">
        <v>4221</v>
      </c>
      <c r="D1025" s="115" t="s">
        <v>3601</v>
      </c>
      <c r="E1025" s="115" t="s">
        <v>29</v>
      </c>
      <c r="F1025" s="115">
        <v>2</v>
      </c>
    </row>
    <row r="1026" spans="2:6">
      <c r="B1026" s="115" t="s">
        <v>4222</v>
      </c>
      <c r="C1026" s="115" t="s">
        <v>4223</v>
      </c>
      <c r="D1026" s="115" t="s">
        <v>3601</v>
      </c>
      <c r="E1026" s="115" t="s">
        <v>29</v>
      </c>
      <c r="F1026" s="115">
        <v>3</v>
      </c>
    </row>
    <row r="1027" spans="2:6">
      <c r="B1027" s="115" t="s">
        <v>4224</v>
      </c>
      <c r="C1027" s="115" t="s">
        <v>4225</v>
      </c>
      <c r="D1027" s="115" t="s">
        <v>3601</v>
      </c>
      <c r="E1027" s="115" t="s">
        <v>29</v>
      </c>
      <c r="F1027" s="115">
        <v>1</v>
      </c>
    </row>
    <row r="1028" spans="2:6">
      <c r="B1028" s="115" t="s">
        <v>4226</v>
      </c>
      <c r="C1028" s="115" t="s">
        <v>4227</v>
      </c>
      <c r="D1028" s="115" t="s">
        <v>3601</v>
      </c>
      <c r="E1028" s="115" t="s">
        <v>29</v>
      </c>
      <c r="F1028" s="115">
        <v>1</v>
      </c>
    </row>
    <row r="1029" spans="2:6">
      <c r="B1029" s="115" t="s">
        <v>4228</v>
      </c>
      <c r="C1029" s="115" t="s">
        <v>4229</v>
      </c>
      <c r="D1029" s="115" t="s">
        <v>3601</v>
      </c>
      <c r="E1029" s="115" t="s">
        <v>29</v>
      </c>
      <c r="F1029" s="115">
        <v>3</v>
      </c>
    </row>
    <row r="1030" spans="2:6">
      <c r="B1030" s="115" t="s">
        <v>4230</v>
      </c>
      <c r="C1030" s="115" t="s">
        <v>4231</v>
      </c>
      <c r="D1030" s="115" t="s">
        <v>3601</v>
      </c>
      <c r="E1030" s="115" t="s">
        <v>29</v>
      </c>
      <c r="F1030" s="115">
        <v>1</v>
      </c>
    </row>
    <row r="1031" spans="2:6">
      <c r="B1031" s="115" t="s">
        <v>4232</v>
      </c>
      <c r="C1031" s="115" t="s">
        <v>4233</v>
      </c>
      <c r="D1031" s="115" t="s">
        <v>3601</v>
      </c>
      <c r="E1031" s="115" t="s">
        <v>29</v>
      </c>
      <c r="F1031" s="115">
        <v>3</v>
      </c>
    </row>
    <row r="1032" spans="2:6">
      <c r="B1032" s="115" t="s">
        <v>4234</v>
      </c>
      <c r="C1032" s="115" t="s">
        <v>4235</v>
      </c>
      <c r="D1032" s="115" t="s">
        <v>3601</v>
      </c>
      <c r="E1032" s="115" t="s">
        <v>29</v>
      </c>
      <c r="F1032" s="115">
        <v>3</v>
      </c>
    </row>
    <row r="1033" spans="2:6">
      <c r="B1033" s="115" t="s">
        <v>4236</v>
      </c>
      <c r="C1033" s="115" t="s">
        <v>4237</v>
      </c>
      <c r="D1033" s="115" t="s">
        <v>3601</v>
      </c>
      <c r="E1033" s="115" t="s">
        <v>29</v>
      </c>
      <c r="F1033" s="115">
        <v>1</v>
      </c>
    </row>
    <row r="1034" spans="2:6">
      <c r="B1034" s="115" t="s">
        <v>4238</v>
      </c>
      <c r="C1034" s="115" t="s">
        <v>4239</v>
      </c>
      <c r="D1034" s="115" t="s">
        <v>3601</v>
      </c>
      <c r="E1034" s="115" t="s">
        <v>29</v>
      </c>
      <c r="F1034" s="115">
        <v>3</v>
      </c>
    </row>
    <row r="1035" spans="2:6">
      <c r="B1035" s="115" t="s">
        <v>4240</v>
      </c>
      <c r="C1035" s="115" t="s">
        <v>4241</v>
      </c>
      <c r="D1035" s="115" t="s">
        <v>3601</v>
      </c>
      <c r="E1035" s="115" t="s">
        <v>29</v>
      </c>
      <c r="F1035" s="115">
        <v>3</v>
      </c>
    </row>
    <row r="1036" spans="2:6">
      <c r="B1036" s="115" t="s">
        <v>4242</v>
      </c>
      <c r="C1036" s="115" t="s">
        <v>4243</v>
      </c>
      <c r="D1036" s="115" t="s">
        <v>3601</v>
      </c>
      <c r="E1036" s="115" t="s">
        <v>29</v>
      </c>
      <c r="F1036" s="115">
        <v>3</v>
      </c>
    </row>
    <row r="1037" spans="2:6">
      <c r="B1037" s="115" t="s">
        <v>4244</v>
      </c>
      <c r="C1037" s="115" t="s">
        <v>4245</v>
      </c>
      <c r="D1037" s="115" t="s">
        <v>3601</v>
      </c>
      <c r="E1037" s="115" t="s">
        <v>29</v>
      </c>
      <c r="F1037" s="115">
        <v>3</v>
      </c>
    </row>
    <row r="1038" spans="2:6">
      <c r="B1038" s="115" t="s">
        <v>4246</v>
      </c>
      <c r="C1038" s="115" t="s">
        <v>4247</v>
      </c>
      <c r="D1038" s="115" t="s">
        <v>3601</v>
      </c>
      <c r="E1038" s="115" t="s">
        <v>29</v>
      </c>
      <c r="F1038" s="115">
        <v>3</v>
      </c>
    </row>
    <row r="1039" spans="2:6">
      <c r="B1039" s="115" t="s">
        <v>4248</v>
      </c>
      <c r="C1039" s="115" t="s">
        <v>4249</v>
      </c>
      <c r="D1039" s="115" t="s">
        <v>3601</v>
      </c>
      <c r="E1039" s="115" t="s">
        <v>29</v>
      </c>
      <c r="F1039" s="115">
        <v>1</v>
      </c>
    </row>
    <row r="1040" spans="2:6">
      <c r="B1040" s="115" t="s">
        <v>4250</v>
      </c>
      <c r="C1040" s="115" t="s">
        <v>4251</v>
      </c>
      <c r="D1040" s="115" t="s">
        <v>3601</v>
      </c>
      <c r="E1040" s="115" t="s">
        <v>29</v>
      </c>
      <c r="F1040" s="115">
        <v>3</v>
      </c>
    </row>
    <row r="1041" spans="2:6">
      <c r="B1041" s="115" t="s">
        <v>4252</v>
      </c>
      <c r="C1041" s="115" t="s">
        <v>4253</v>
      </c>
      <c r="D1041" s="115" t="s">
        <v>3601</v>
      </c>
      <c r="E1041" s="115" t="s">
        <v>29</v>
      </c>
      <c r="F1041" s="115">
        <v>1</v>
      </c>
    </row>
    <row r="1042" spans="2:6">
      <c r="B1042" s="115" t="s">
        <v>4254</v>
      </c>
      <c r="C1042" s="115" t="s">
        <v>4255</v>
      </c>
      <c r="D1042" s="115" t="s">
        <v>3601</v>
      </c>
      <c r="E1042" s="115" t="s">
        <v>29</v>
      </c>
      <c r="F1042" s="115">
        <v>1</v>
      </c>
    </row>
    <row r="1043" spans="2:6">
      <c r="B1043" s="115" t="s">
        <v>4256</v>
      </c>
      <c r="C1043" s="115" t="s">
        <v>4257</v>
      </c>
      <c r="D1043" s="115" t="s">
        <v>3601</v>
      </c>
      <c r="E1043" s="115" t="s">
        <v>29</v>
      </c>
      <c r="F1043" s="115">
        <v>3</v>
      </c>
    </row>
    <row r="1044" spans="2:6">
      <c r="B1044" s="115" t="s">
        <v>4258</v>
      </c>
      <c r="C1044" s="115" t="s">
        <v>4259</v>
      </c>
      <c r="D1044" s="115" t="s">
        <v>3601</v>
      </c>
      <c r="E1044" s="115" t="s">
        <v>29</v>
      </c>
      <c r="F1044" s="115">
        <v>1</v>
      </c>
    </row>
    <row r="1045" spans="2:6">
      <c r="B1045" s="115" t="s">
        <v>4260</v>
      </c>
      <c r="C1045" s="115" t="s">
        <v>4261</v>
      </c>
      <c r="D1045" s="115" t="s">
        <v>3601</v>
      </c>
      <c r="E1045" s="115" t="s">
        <v>29</v>
      </c>
      <c r="F1045" s="115">
        <v>2</v>
      </c>
    </row>
    <row r="1046" spans="2:6">
      <c r="B1046" s="115" t="s">
        <v>4262</v>
      </c>
      <c r="C1046" s="115" t="s">
        <v>4263</v>
      </c>
      <c r="D1046" s="115" t="s">
        <v>3601</v>
      </c>
      <c r="E1046" s="115" t="s">
        <v>29</v>
      </c>
      <c r="F1046" s="115">
        <v>1</v>
      </c>
    </row>
    <row r="1047" spans="2:6">
      <c r="B1047" s="115" t="s">
        <v>4264</v>
      </c>
      <c r="C1047" s="115" t="s">
        <v>4265</v>
      </c>
      <c r="D1047" s="115" t="s">
        <v>3601</v>
      </c>
      <c r="E1047" s="115" t="s">
        <v>29</v>
      </c>
      <c r="F1047" s="115">
        <v>1</v>
      </c>
    </row>
    <row r="1048" spans="2:6">
      <c r="B1048" s="115" t="s">
        <v>4266</v>
      </c>
      <c r="C1048" s="115" t="s">
        <v>4267</v>
      </c>
      <c r="D1048" s="115" t="s">
        <v>3601</v>
      </c>
      <c r="E1048" s="115" t="s">
        <v>29</v>
      </c>
      <c r="F1048" s="115">
        <v>1</v>
      </c>
    </row>
    <row r="1049" spans="2:6">
      <c r="B1049" s="115" t="s">
        <v>4268</v>
      </c>
      <c r="C1049" s="115" t="s">
        <v>4269</v>
      </c>
      <c r="D1049" s="115" t="s">
        <v>3601</v>
      </c>
      <c r="E1049" s="115" t="s">
        <v>29</v>
      </c>
      <c r="F1049" s="115">
        <v>3</v>
      </c>
    </row>
    <row r="1050" spans="2:6">
      <c r="B1050" s="115" t="s">
        <v>4270</v>
      </c>
      <c r="C1050" s="115" t="s">
        <v>4271</v>
      </c>
      <c r="D1050" s="115" t="s">
        <v>3601</v>
      </c>
      <c r="E1050" s="115" t="s">
        <v>29</v>
      </c>
      <c r="F1050" s="115">
        <v>1</v>
      </c>
    </row>
    <row r="1051" spans="2:6">
      <c r="B1051" s="115" t="s">
        <v>4272</v>
      </c>
      <c r="C1051" s="115" t="s">
        <v>4273</v>
      </c>
      <c r="D1051" s="115" t="s">
        <v>3601</v>
      </c>
      <c r="E1051" s="115" t="s">
        <v>29</v>
      </c>
      <c r="F1051" s="115">
        <v>1</v>
      </c>
    </row>
    <row r="1052" spans="2:6">
      <c r="B1052" s="115" t="s">
        <v>4274</v>
      </c>
      <c r="C1052" s="115" t="s">
        <v>4275</v>
      </c>
      <c r="D1052" s="115" t="s">
        <v>3601</v>
      </c>
      <c r="E1052" s="115" t="s">
        <v>29</v>
      </c>
      <c r="F1052" s="115">
        <v>1</v>
      </c>
    </row>
    <row r="1053" spans="2:6">
      <c r="B1053" s="115" t="s">
        <v>4276</v>
      </c>
      <c r="C1053" s="115" t="s">
        <v>4277</v>
      </c>
      <c r="D1053" s="115" t="s">
        <v>3601</v>
      </c>
      <c r="E1053" s="115" t="s">
        <v>29</v>
      </c>
      <c r="F1053" s="115">
        <v>1</v>
      </c>
    </row>
    <row r="1054" spans="2:6">
      <c r="B1054" s="115" t="s">
        <v>4278</v>
      </c>
      <c r="C1054" s="115" t="s">
        <v>4279</v>
      </c>
      <c r="D1054" s="115" t="s">
        <v>3601</v>
      </c>
      <c r="E1054" s="115" t="s">
        <v>29</v>
      </c>
      <c r="F1054" s="115">
        <v>2</v>
      </c>
    </row>
    <row r="1055" spans="2:6">
      <c r="B1055" s="115" t="s">
        <v>4280</v>
      </c>
      <c r="C1055" s="115" t="s">
        <v>4281</v>
      </c>
      <c r="D1055" s="115" t="s">
        <v>3601</v>
      </c>
      <c r="E1055" s="115" t="s">
        <v>29</v>
      </c>
      <c r="F1055" s="115">
        <v>2</v>
      </c>
    </row>
    <row r="1056" spans="2:6">
      <c r="B1056" s="115" t="s">
        <v>4282</v>
      </c>
      <c r="C1056" s="115" t="s">
        <v>4283</v>
      </c>
      <c r="D1056" s="115" t="s">
        <v>3601</v>
      </c>
      <c r="E1056" s="115" t="s">
        <v>29</v>
      </c>
      <c r="F1056" s="115">
        <v>1</v>
      </c>
    </row>
    <row r="1057" spans="2:6">
      <c r="B1057" s="115" t="s">
        <v>4284</v>
      </c>
      <c r="C1057" s="115" t="s">
        <v>4285</v>
      </c>
      <c r="D1057" s="115" t="s">
        <v>3601</v>
      </c>
      <c r="E1057" s="115" t="s">
        <v>29</v>
      </c>
      <c r="F1057" s="115">
        <v>1</v>
      </c>
    </row>
    <row r="1058" spans="2:6">
      <c r="B1058" s="115" t="s">
        <v>4286</v>
      </c>
      <c r="C1058" s="115" t="s">
        <v>4287</v>
      </c>
      <c r="D1058" s="115" t="s">
        <v>3601</v>
      </c>
      <c r="E1058" s="115" t="s">
        <v>29</v>
      </c>
      <c r="F1058" s="115">
        <v>1</v>
      </c>
    </row>
    <row r="1059" spans="2:6">
      <c r="B1059" s="115" t="s">
        <v>4288</v>
      </c>
      <c r="C1059" s="115" t="s">
        <v>4289</v>
      </c>
      <c r="D1059" s="115" t="s">
        <v>3601</v>
      </c>
      <c r="E1059" s="115" t="s">
        <v>29</v>
      </c>
      <c r="F1059" s="115">
        <v>2</v>
      </c>
    </row>
    <row r="1060" spans="2:6">
      <c r="B1060" s="115" t="s">
        <v>4290</v>
      </c>
      <c r="C1060" s="115" t="s">
        <v>4291</v>
      </c>
      <c r="D1060" s="115" t="s">
        <v>3601</v>
      </c>
      <c r="E1060" s="115" t="s">
        <v>29</v>
      </c>
      <c r="F1060" s="115">
        <v>2</v>
      </c>
    </row>
    <row r="1061" spans="2:6">
      <c r="B1061" s="115" t="s">
        <v>4292</v>
      </c>
      <c r="C1061" s="115" t="s">
        <v>4293</v>
      </c>
      <c r="D1061" s="115" t="s">
        <v>3601</v>
      </c>
      <c r="E1061" s="115" t="s">
        <v>29</v>
      </c>
      <c r="F1061" s="115">
        <v>1</v>
      </c>
    </row>
    <row r="1062" spans="2:6">
      <c r="B1062" s="115" t="s">
        <v>4294</v>
      </c>
      <c r="C1062" s="115" t="s">
        <v>4295</v>
      </c>
      <c r="D1062" s="115" t="s">
        <v>3601</v>
      </c>
      <c r="E1062" s="115" t="s">
        <v>29</v>
      </c>
      <c r="F1062" s="115">
        <v>1</v>
      </c>
    </row>
    <row r="1063" spans="2:6">
      <c r="B1063" s="115" t="s">
        <v>4296</v>
      </c>
      <c r="C1063" s="115" t="s">
        <v>4297</v>
      </c>
      <c r="D1063" s="115" t="s">
        <v>3601</v>
      </c>
      <c r="E1063" s="115" t="s">
        <v>29</v>
      </c>
      <c r="F1063" s="115">
        <v>2</v>
      </c>
    </row>
    <row r="1064" spans="2:6">
      <c r="B1064" s="115" t="s">
        <v>4298</v>
      </c>
      <c r="C1064" s="115" t="s">
        <v>4299</v>
      </c>
      <c r="D1064" s="115" t="s">
        <v>3601</v>
      </c>
      <c r="E1064" s="115" t="s">
        <v>29</v>
      </c>
      <c r="F1064" s="115">
        <v>1</v>
      </c>
    </row>
    <row r="1065" spans="2:6">
      <c r="B1065" s="115" t="s">
        <v>4300</v>
      </c>
      <c r="C1065" s="115" t="s">
        <v>4301</v>
      </c>
      <c r="D1065" s="115" t="s">
        <v>3601</v>
      </c>
      <c r="E1065" s="115" t="s">
        <v>29</v>
      </c>
      <c r="F1065" s="115">
        <v>1</v>
      </c>
    </row>
    <row r="1066" spans="2:6">
      <c r="B1066" s="115" t="s">
        <v>4302</v>
      </c>
      <c r="C1066" s="115" t="s">
        <v>4303</v>
      </c>
      <c r="D1066" s="115" t="s">
        <v>3601</v>
      </c>
      <c r="E1066" s="115" t="s">
        <v>29</v>
      </c>
      <c r="F1066" s="115">
        <v>3</v>
      </c>
    </row>
    <row r="1067" spans="2:6">
      <c r="B1067" s="115" t="s">
        <v>4304</v>
      </c>
      <c r="C1067" s="115" t="s">
        <v>4305</v>
      </c>
      <c r="D1067" s="115" t="s">
        <v>3601</v>
      </c>
      <c r="E1067" s="115" t="s">
        <v>29</v>
      </c>
      <c r="F1067" s="115">
        <v>3</v>
      </c>
    </row>
    <row r="1068" spans="2:6">
      <c r="B1068" s="115" t="s">
        <v>4306</v>
      </c>
      <c r="C1068" s="115" t="s">
        <v>4307</v>
      </c>
      <c r="D1068" s="115" t="s">
        <v>3601</v>
      </c>
      <c r="E1068" s="115" t="s">
        <v>29</v>
      </c>
      <c r="F1068" s="115">
        <v>1</v>
      </c>
    </row>
    <row r="1069" spans="2:6">
      <c r="B1069" s="115" t="s">
        <v>4308</v>
      </c>
      <c r="C1069" s="115" t="s">
        <v>4309</v>
      </c>
      <c r="D1069" s="115" t="s">
        <v>3601</v>
      </c>
      <c r="E1069" s="115" t="s">
        <v>29</v>
      </c>
      <c r="F1069" s="115">
        <v>3</v>
      </c>
    </row>
    <row r="1070" spans="2:6">
      <c r="B1070" s="115" t="s">
        <v>4310</v>
      </c>
      <c r="C1070" s="115" t="s">
        <v>4311</v>
      </c>
      <c r="D1070" s="115" t="s">
        <v>3601</v>
      </c>
      <c r="E1070" s="115" t="s">
        <v>29</v>
      </c>
      <c r="F1070" s="115">
        <v>1</v>
      </c>
    </row>
    <row r="1071" spans="2:6">
      <c r="B1071" s="115" t="s">
        <v>4312</v>
      </c>
      <c r="C1071" s="115" t="s">
        <v>4313</v>
      </c>
      <c r="D1071" s="115" t="s">
        <v>3601</v>
      </c>
      <c r="E1071" s="115" t="s">
        <v>29</v>
      </c>
      <c r="F1071" s="115">
        <v>2</v>
      </c>
    </row>
    <row r="1072" spans="2:6">
      <c r="B1072" s="115" t="s">
        <v>4314</v>
      </c>
      <c r="C1072" s="115" t="s">
        <v>4315</v>
      </c>
      <c r="D1072" s="115" t="s">
        <v>3601</v>
      </c>
      <c r="E1072" s="115" t="s">
        <v>29</v>
      </c>
      <c r="F1072" s="115">
        <v>1</v>
      </c>
    </row>
    <row r="1073" spans="2:6">
      <c r="B1073" s="115" t="s">
        <v>4316</v>
      </c>
      <c r="C1073" s="115" t="s">
        <v>4317</v>
      </c>
      <c r="D1073" s="115" t="s">
        <v>3601</v>
      </c>
      <c r="E1073" s="115" t="s">
        <v>29</v>
      </c>
      <c r="F1073" s="115">
        <v>1</v>
      </c>
    </row>
    <row r="1074" spans="2:6">
      <c r="B1074" s="115" t="s">
        <v>4318</v>
      </c>
      <c r="C1074" s="115" t="s">
        <v>4319</v>
      </c>
      <c r="D1074" s="115" t="s">
        <v>3601</v>
      </c>
      <c r="E1074" s="115" t="s">
        <v>29</v>
      </c>
      <c r="F1074" s="115">
        <v>1</v>
      </c>
    </row>
    <row r="1075" spans="2:6">
      <c r="B1075" s="115" t="s">
        <v>4320</v>
      </c>
      <c r="C1075" s="115" t="s">
        <v>4321</v>
      </c>
      <c r="D1075" s="115" t="s">
        <v>3601</v>
      </c>
      <c r="E1075" s="115" t="s">
        <v>29</v>
      </c>
      <c r="F1075" s="115">
        <v>1</v>
      </c>
    </row>
    <row r="1076" spans="2:6">
      <c r="B1076" s="115" t="s">
        <v>4322</v>
      </c>
      <c r="C1076" s="115" t="s">
        <v>4323</v>
      </c>
      <c r="D1076" s="115" t="s">
        <v>3601</v>
      </c>
      <c r="E1076" s="115" t="s">
        <v>29</v>
      </c>
      <c r="F1076" s="115">
        <v>3</v>
      </c>
    </row>
    <row r="1077" spans="2:6">
      <c r="B1077" s="115" t="s">
        <v>4324</v>
      </c>
      <c r="C1077" s="115" t="s">
        <v>4325</v>
      </c>
      <c r="D1077" s="115" t="s">
        <v>3601</v>
      </c>
      <c r="E1077" s="115" t="s">
        <v>29</v>
      </c>
      <c r="F1077" s="115">
        <v>1</v>
      </c>
    </row>
    <row r="1078" spans="2:6">
      <c r="B1078" s="115" t="s">
        <v>4326</v>
      </c>
      <c r="C1078" s="115" t="s">
        <v>4327</v>
      </c>
      <c r="D1078" s="115" t="s">
        <v>3601</v>
      </c>
      <c r="E1078" s="115" t="s">
        <v>29</v>
      </c>
      <c r="F1078" s="115">
        <v>2</v>
      </c>
    </row>
    <row r="1079" spans="2:6">
      <c r="B1079" s="115" t="s">
        <v>4328</v>
      </c>
      <c r="C1079" s="115" t="s">
        <v>4329</v>
      </c>
      <c r="D1079" s="115" t="s">
        <v>3601</v>
      </c>
      <c r="E1079" s="115" t="s">
        <v>29</v>
      </c>
      <c r="F1079" s="115">
        <v>2</v>
      </c>
    </row>
    <row r="1080" spans="2:6">
      <c r="B1080" s="115" t="s">
        <v>4330</v>
      </c>
      <c r="C1080" s="115" t="s">
        <v>4331</v>
      </c>
      <c r="D1080" s="115" t="s">
        <v>3601</v>
      </c>
      <c r="E1080" s="115" t="s">
        <v>29</v>
      </c>
      <c r="F1080" s="115">
        <v>3</v>
      </c>
    </row>
    <row r="1081" spans="2:6">
      <c r="B1081" s="115" t="s">
        <v>4332</v>
      </c>
      <c r="C1081" s="115" t="s">
        <v>4333</v>
      </c>
      <c r="D1081" s="115" t="s">
        <v>3601</v>
      </c>
      <c r="E1081" s="115" t="s">
        <v>29</v>
      </c>
      <c r="F1081" s="115">
        <v>3</v>
      </c>
    </row>
    <row r="1082" spans="2:6">
      <c r="B1082" s="115" t="s">
        <v>4334</v>
      </c>
      <c r="C1082" s="115" t="s">
        <v>4335</v>
      </c>
      <c r="D1082" s="115" t="s">
        <v>3601</v>
      </c>
      <c r="E1082" s="115" t="s">
        <v>29</v>
      </c>
      <c r="F1082" s="115">
        <v>3</v>
      </c>
    </row>
    <row r="1083" spans="2:6">
      <c r="B1083" s="115" t="s">
        <v>4336</v>
      </c>
      <c r="C1083" s="115" t="s">
        <v>4337</v>
      </c>
      <c r="D1083" s="115" t="s">
        <v>3601</v>
      </c>
      <c r="E1083" s="115" t="s">
        <v>29</v>
      </c>
      <c r="F1083" s="115">
        <v>3</v>
      </c>
    </row>
    <row r="1084" spans="2:6">
      <c r="B1084" s="115" t="s">
        <v>4338</v>
      </c>
      <c r="C1084" s="115" t="s">
        <v>4339</v>
      </c>
      <c r="D1084" s="115" t="s">
        <v>3601</v>
      </c>
      <c r="E1084" s="115" t="s">
        <v>29</v>
      </c>
      <c r="F1084" s="115">
        <v>2</v>
      </c>
    </row>
    <row r="1085" spans="2:6">
      <c r="B1085" s="115" t="s">
        <v>4340</v>
      </c>
      <c r="C1085" s="115" t="s">
        <v>4341</v>
      </c>
      <c r="D1085" s="115" t="s">
        <v>3601</v>
      </c>
      <c r="E1085" s="115" t="s">
        <v>29</v>
      </c>
      <c r="F1085" s="115">
        <v>2</v>
      </c>
    </row>
    <row r="1086" spans="2:6">
      <c r="B1086" s="115" t="s">
        <v>4342</v>
      </c>
      <c r="C1086" s="115" t="s">
        <v>4343</v>
      </c>
      <c r="D1086" s="115" t="s">
        <v>3601</v>
      </c>
      <c r="E1086" s="115" t="s">
        <v>29</v>
      </c>
      <c r="F1086" s="115">
        <v>3</v>
      </c>
    </row>
    <row r="1087" spans="2:6">
      <c r="B1087" s="115" t="s">
        <v>4344</v>
      </c>
      <c r="C1087" s="115" t="s">
        <v>4345</v>
      </c>
      <c r="D1087" s="115" t="s">
        <v>3601</v>
      </c>
      <c r="E1087" s="115" t="s">
        <v>29</v>
      </c>
      <c r="F1087" s="115">
        <v>2</v>
      </c>
    </row>
    <row r="1088" spans="2:6">
      <c r="B1088" s="115" t="s">
        <v>4346</v>
      </c>
      <c r="C1088" s="115" t="s">
        <v>4347</v>
      </c>
      <c r="D1088" s="115" t="s">
        <v>3601</v>
      </c>
      <c r="E1088" s="115" t="s">
        <v>29</v>
      </c>
      <c r="F1088" s="115">
        <v>3</v>
      </c>
    </row>
    <row r="1089" spans="2:6">
      <c r="B1089" s="115" t="s">
        <v>4348</v>
      </c>
      <c r="C1089" s="115" t="s">
        <v>4349</v>
      </c>
      <c r="D1089" s="115" t="s">
        <v>3601</v>
      </c>
      <c r="E1089" s="115" t="s">
        <v>29</v>
      </c>
      <c r="F1089" s="115">
        <v>3</v>
      </c>
    </row>
    <row r="1090" spans="2:6">
      <c r="B1090" s="115" t="s">
        <v>4350</v>
      </c>
      <c r="C1090" s="115" t="s">
        <v>4351</v>
      </c>
      <c r="D1090" s="115" t="s">
        <v>3601</v>
      </c>
      <c r="E1090" s="115" t="s">
        <v>29</v>
      </c>
      <c r="F1090" s="115">
        <v>3</v>
      </c>
    </row>
    <row r="1091" spans="2:6">
      <c r="B1091" s="115" t="s">
        <v>4352</v>
      </c>
      <c r="C1091" s="115" t="s">
        <v>4353</v>
      </c>
      <c r="D1091" s="115" t="s">
        <v>3601</v>
      </c>
      <c r="E1091" s="115" t="s">
        <v>29</v>
      </c>
      <c r="F1091" s="115">
        <v>1</v>
      </c>
    </row>
    <row r="1092" spans="2:6">
      <c r="B1092" s="115" t="s">
        <v>4354</v>
      </c>
      <c r="C1092" s="115" t="s">
        <v>4355</v>
      </c>
      <c r="D1092" s="115" t="s">
        <v>3601</v>
      </c>
      <c r="E1092" s="115" t="s">
        <v>29</v>
      </c>
      <c r="F1092" s="115">
        <v>3</v>
      </c>
    </row>
    <row r="1093" spans="2:6">
      <c r="B1093" s="115" t="s">
        <v>4356</v>
      </c>
      <c r="C1093" s="115" t="s">
        <v>4357</v>
      </c>
      <c r="D1093" s="115" t="s">
        <v>3601</v>
      </c>
      <c r="E1093" s="115" t="s">
        <v>29</v>
      </c>
      <c r="F1093" s="115">
        <v>3</v>
      </c>
    </row>
    <row r="1094" spans="2:6">
      <c r="B1094" s="115" t="s">
        <v>4358</v>
      </c>
      <c r="C1094" s="115" t="s">
        <v>4359</v>
      </c>
      <c r="D1094" s="115" t="s">
        <v>3601</v>
      </c>
      <c r="E1094" s="115" t="s">
        <v>29</v>
      </c>
      <c r="F1094" s="115">
        <v>3</v>
      </c>
    </row>
    <row r="1095" spans="2:6">
      <c r="B1095" s="115" t="s">
        <v>4360</v>
      </c>
      <c r="C1095" s="115" t="s">
        <v>4361</v>
      </c>
      <c r="D1095" s="115" t="s">
        <v>3601</v>
      </c>
      <c r="E1095" s="115" t="s">
        <v>29</v>
      </c>
      <c r="F1095" s="115">
        <v>1</v>
      </c>
    </row>
    <row r="1096" spans="2:6">
      <c r="B1096" s="115" t="s">
        <v>4362</v>
      </c>
      <c r="C1096" s="115" t="s">
        <v>4363</v>
      </c>
      <c r="D1096" s="115" t="s">
        <v>3601</v>
      </c>
      <c r="E1096" s="115" t="s">
        <v>29</v>
      </c>
      <c r="F1096" s="115">
        <v>2</v>
      </c>
    </row>
    <row r="1097" spans="2:6">
      <c r="B1097" s="115" t="s">
        <v>4364</v>
      </c>
      <c r="C1097" s="115" t="s">
        <v>4365</v>
      </c>
      <c r="D1097" s="115" t="s">
        <v>3601</v>
      </c>
      <c r="E1097" s="115" t="s">
        <v>29</v>
      </c>
      <c r="F1097" s="115">
        <v>1</v>
      </c>
    </row>
    <row r="1098" spans="2:6">
      <c r="B1098" s="115" t="s">
        <v>4366</v>
      </c>
      <c r="C1098" s="115" t="s">
        <v>4367</v>
      </c>
      <c r="D1098" s="115" t="s">
        <v>3601</v>
      </c>
      <c r="E1098" s="115" t="s">
        <v>29</v>
      </c>
      <c r="F1098" s="115">
        <v>3</v>
      </c>
    </row>
    <row r="1099" spans="2:6">
      <c r="B1099" s="115" t="s">
        <v>4368</v>
      </c>
      <c r="C1099" s="115" t="s">
        <v>4369</v>
      </c>
      <c r="D1099" s="115" t="s">
        <v>3601</v>
      </c>
      <c r="E1099" s="115" t="s">
        <v>29</v>
      </c>
      <c r="F1099" s="115">
        <v>1</v>
      </c>
    </row>
    <row r="1100" spans="2:6">
      <c r="B1100" s="115" t="s">
        <v>4370</v>
      </c>
      <c r="C1100" s="115" t="s">
        <v>4371</v>
      </c>
      <c r="D1100" s="115" t="s">
        <v>3601</v>
      </c>
      <c r="E1100" s="115" t="s">
        <v>29</v>
      </c>
      <c r="F1100" s="115">
        <v>3</v>
      </c>
    </row>
    <row r="1101" spans="2:6">
      <c r="B1101" s="115" t="s">
        <v>4372</v>
      </c>
      <c r="C1101" s="115" t="s">
        <v>4373</v>
      </c>
      <c r="D1101" s="115" t="s">
        <v>3601</v>
      </c>
      <c r="E1101" s="115" t="s">
        <v>29</v>
      </c>
      <c r="F1101" s="115">
        <v>2</v>
      </c>
    </row>
    <row r="1102" spans="2:6">
      <c r="B1102" s="115" t="s">
        <v>4374</v>
      </c>
      <c r="C1102" s="115" t="s">
        <v>4375</v>
      </c>
      <c r="D1102" s="115" t="s">
        <v>3601</v>
      </c>
      <c r="E1102" s="115" t="s">
        <v>29</v>
      </c>
      <c r="F1102" s="115">
        <v>2</v>
      </c>
    </row>
    <row r="1103" spans="2:6">
      <c r="B1103" s="115" t="s">
        <v>4376</v>
      </c>
      <c r="C1103" s="115" t="s">
        <v>4377</v>
      </c>
      <c r="D1103" s="115" t="s">
        <v>3601</v>
      </c>
      <c r="E1103" s="115" t="s">
        <v>29</v>
      </c>
      <c r="F1103" s="115">
        <v>3</v>
      </c>
    </row>
    <row r="1104" spans="2:6">
      <c r="B1104" s="115" t="s">
        <v>4378</v>
      </c>
      <c r="C1104" s="115" t="s">
        <v>4379</v>
      </c>
      <c r="D1104" s="115" t="s">
        <v>3601</v>
      </c>
      <c r="E1104" s="115" t="s">
        <v>29</v>
      </c>
      <c r="F1104" s="115">
        <v>1</v>
      </c>
    </row>
    <row r="1105" spans="2:6">
      <c r="B1105" s="115" t="s">
        <v>4380</v>
      </c>
      <c r="C1105" s="115" t="s">
        <v>4381</v>
      </c>
      <c r="D1105" s="115" t="s">
        <v>3601</v>
      </c>
      <c r="E1105" s="115" t="s">
        <v>29</v>
      </c>
      <c r="F1105" s="115">
        <v>1</v>
      </c>
    </row>
    <row r="1106" spans="2:6">
      <c r="B1106" s="115" t="s">
        <v>4382</v>
      </c>
      <c r="C1106" s="115" t="s">
        <v>4383</v>
      </c>
      <c r="D1106" s="115" t="s">
        <v>3601</v>
      </c>
      <c r="E1106" s="115" t="s">
        <v>29</v>
      </c>
      <c r="F1106" s="115">
        <v>1</v>
      </c>
    </row>
    <row r="1107" spans="2:6">
      <c r="B1107" s="115" t="s">
        <v>4384</v>
      </c>
      <c r="C1107" s="115" t="s">
        <v>4385</v>
      </c>
      <c r="D1107" s="115" t="s">
        <v>3601</v>
      </c>
      <c r="E1107" s="115" t="s">
        <v>29</v>
      </c>
      <c r="F1107" s="115">
        <v>1</v>
      </c>
    </row>
    <row r="1108" spans="2:6">
      <c r="B1108" s="115" t="s">
        <v>4386</v>
      </c>
      <c r="C1108" s="115" t="s">
        <v>4387</v>
      </c>
      <c r="D1108" s="115" t="s">
        <v>3601</v>
      </c>
      <c r="E1108" s="115" t="s">
        <v>29</v>
      </c>
      <c r="F1108" s="115">
        <v>1</v>
      </c>
    </row>
    <row r="1109" spans="2:6">
      <c r="B1109" s="115" t="s">
        <v>4388</v>
      </c>
      <c r="C1109" s="115" t="s">
        <v>4389</v>
      </c>
      <c r="D1109" s="115" t="s">
        <v>3601</v>
      </c>
      <c r="E1109" s="115" t="s">
        <v>29</v>
      </c>
      <c r="F1109" s="115">
        <v>1</v>
      </c>
    </row>
    <row r="1110" spans="2:6">
      <c r="B1110" s="115" t="s">
        <v>4390</v>
      </c>
      <c r="C1110" s="115" t="s">
        <v>4391</v>
      </c>
      <c r="D1110" s="115" t="s">
        <v>3601</v>
      </c>
      <c r="E1110" s="115" t="s">
        <v>29</v>
      </c>
      <c r="F1110" s="115">
        <v>1</v>
      </c>
    </row>
    <row r="1111" spans="2:6">
      <c r="B1111" s="115" t="s">
        <v>4392</v>
      </c>
      <c r="C1111" s="115" t="s">
        <v>4393</v>
      </c>
      <c r="D1111" s="115" t="s">
        <v>3601</v>
      </c>
      <c r="E1111" s="115" t="s">
        <v>29</v>
      </c>
      <c r="F1111" s="115">
        <v>1</v>
      </c>
    </row>
    <row r="1112" spans="2:6">
      <c r="B1112" s="115" t="s">
        <v>4394</v>
      </c>
      <c r="C1112" s="115" t="s">
        <v>4395</v>
      </c>
      <c r="D1112" s="115" t="s">
        <v>3601</v>
      </c>
      <c r="E1112" s="115" t="s">
        <v>29</v>
      </c>
      <c r="F1112" s="115">
        <v>1</v>
      </c>
    </row>
    <row r="1113" spans="2:6">
      <c r="B1113" s="115" t="s">
        <v>4396</v>
      </c>
      <c r="C1113" s="115" t="s">
        <v>4397</v>
      </c>
      <c r="D1113" s="115" t="s">
        <v>3601</v>
      </c>
      <c r="E1113" s="115" t="s">
        <v>29</v>
      </c>
      <c r="F1113" s="115">
        <v>3</v>
      </c>
    </row>
    <row r="1114" spans="2:6">
      <c r="B1114" s="115" t="s">
        <v>4398</v>
      </c>
      <c r="C1114" s="115" t="s">
        <v>4399</v>
      </c>
      <c r="D1114" s="115" t="s">
        <v>3601</v>
      </c>
      <c r="E1114" s="115" t="s">
        <v>29</v>
      </c>
      <c r="F1114" s="115">
        <v>1</v>
      </c>
    </row>
    <row r="1115" spans="2:6">
      <c r="B1115" s="115" t="s">
        <v>4400</v>
      </c>
      <c r="C1115" s="115" t="s">
        <v>4401</v>
      </c>
      <c r="D1115" s="115" t="s">
        <v>3601</v>
      </c>
      <c r="E1115" s="115" t="s">
        <v>29</v>
      </c>
      <c r="F1115" s="115">
        <v>2</v>
      </c>
    </row>
    <row r="1116" spans="2:6">
      <c r="B1116" s="115" t="s">
        <v>4402</v>
      </c>
      <c r="C1116" s="115" t="s">
        <v>4403</v>
      </c>
      <c r="D1116" s="115" t="s">
        <v>3601</v>
      </c>
      <c r="E1116" s="115" t="s">
        <v>29</v>
      </c>
      <c r="F1116" s="115">
        <v>3</v>
      </c>
    </row>
    <row r="1117" spans="2:6">
      <c r="B1117" s="115" t="s">
        <v>4404</v>
      </c>
      <c r="C1117" s="115" t="s">
        <v>4405</v>
      </c>
      <c r="D1117" s="115" t="s">
        <v>3601</v>
      </c>
      <c r="E1117" s="115" t="s">
        <v>29</v>
      </c>
      <c r="F1117" s="115">
        <v>2</v>
      </c>
    </row>
    <row r="1118" spans="2:6">
      <c r="B1118" s="115" t="s">
        <v>4406</v>
      </c>
      <c r="C1118" s="115" t="s">
        <v>4407</v>
      </c>
      <c r="D1118" s="115" t="s">
        <v>3601</v>
      </c>
      <c r="E1118" s="115" t="s">
        <v>29</v>
      </c>
      <c r="F1118" s="115">
        <v>1</v>
      </c>
    </row>
    <row r="1119" spans="2:6">
      <c r="B1119" s="115" t="s">
        <v>4408</v>
      </c>
      <c r="C1119" s="115" t="s">
        <v>4409</v>
      </c>
      <c r="D1119" s="115" t="s">
        <v>3601</v>
      </c>
      <c r="E1119" s="115" t="s">
        <v>29</v>
      </c>
      <c r="F1119" s="115">
        <v>1</v>
      </c>
    </row>
    <row r="1120" spans="2:6">
      <c r="B1120" s="115" t="s">
        <v>4410</v>
      </c>
      <c r="C1120" s="115" t="s">
        <v>4411</v>
      </c>
      <c r="D1120" s="115" t="s">
        <v>3601</v>
      </c>
      <c r="E1120" s="115" t="s">
        <v>29</v>
      </c>
      <c r="F1120" s="115">
        <v>1</v>
      </c>
    </row>
    <row r="1121" spans="2:6">
      <c r="B1121" s="115" t="s">
        <v>4412</v>
      </c>
      <c r="C1121" s="115" t="s">
        <v>4413</v>
      </c>
      <c r="D1121" s="115" t="s">
        <v>3601</v>
      </c>
      <c r="E1121" s="115" t="s">
        <v>29</v>
      </c>
      <c r="F1121" s="115">
        <v>1</v>
      </c>
    </row>
    <row r="1122" spans="2:6">
      <c r="B1122" s="115" t="s">
        <v>4414</v>
      </c>
      <c r="C1122" s="115" t="s">
        <v>4415</v>
      </c>
      <c r="D1122" s="115" t="s">
        <v>3601</v>
      </c>
      <c r="E1122" s="115" t="s">
        <v>29</v>
      </c>
      <c r="F1122" s="115">
        <v>1</v>
      </c>
    </row>
    <row r="1123" spans="2:6">
      <c r="B1123" s="115" t="s">
        <v>4416</v>
      </c>
      <c r="C1123" s="115" t="s">
        <v>4417</v>
      </c>
      <c r="D1123" s="115" t="s">
        <v>3601</v>
      </c>
      <c r="E1123" s="115" t="s">
        <v>29</v>
      </c>
      <c r="F1123" s="115">
        <v>2</v>
      </c>
    </row>
    <row r="1124" spans="2:6">
      <c r="B1124" s="115" t="s">
        <v>4418</v>
      </c>
      <c r="C1124" s="115" t="s">
        <v>4419</v>
      </c>
      <c r="D1124" s="115" t="s">
        <v>3601</v>
      </c>
      <c r="E1124" s="115" t="s">
        <v>29</v>
      </c>
      <c r="F1124" s="115">
        <v>1</v>
      </c>
    </row>
    <row r="1125" spans="2:6">
      <c r="B1125" s="115" t="s">
        <v>4420</v>
      </c>
      <c r="C1125" s="115" t="s">
        <v>4421</v>
      </c>
      <c r="D1125" s="115" t="s">
        <v>3601</v>
      </c>
      <c r="E1125" s="115" t="s">
        <v>29</v>
      </c>
      <c r="F1125" s="115">
        <v>2</v>
      </c>
    </row>
    <row r="1126" spans="2:6">
      <c r="B1126" s="115" t="s">
        <v>4422</v>
      </c>
      <c r="C1126" s="115" t="s">
        <v>4423</v>
      </c>
      <c r="D1126" s="115" t="s">
        <v>3601</v>
      </c>
      <c r="E1126" s="115" t="s">
        <v>29</v>
      </c>
      <c r="F1126" s="115">
        <v>3</v>
      </c>
    </row>
    <row r="1127" spans="2:6">
      <c r="B1127" s="115" t="s">
        <v>4424</v>
      </c>
      <c r="C1127" s="115" t="s">
        <v>4425</v>
      </c>
      <c r="D1127" s="115" t="s">
        <v>3601</v>
      </c>
      <c r="E1127" s="115" t="s">
        <v>29</v>
      </c>
      <c r="F1127" s="115">
        <v>2</v>
      </c>
    </row>
    <row r="1128" spans="2:6">
      <c r="B1128" s="115" t="s">
        <v>4426</v>
      </c>
      <c r="C1128" s="115" t="s">
        <v>4427</v>
      </c>
      <c r="D1128" s="115" t="s">
        <v>3601</v>
      </c>
      <c r="E1128" s="115" t="s">
        <v>29</v>
      </c>
      <c r="F1128" s="115">
        <v>3</v>
      </c>
    </row>
    <row r="1129" spans="2:6">
      <c r="B1129" s="115" t="s">
        <v>4428</v>
      </c>
      <c r="C1129" s="115" t="s">
        <v>4429</v>
      </c>
      <c r="D1129" s="115" t="s">
        <v>3601</v>
      </c>
      <c r="E1129" s="115" t="s">
        <v>29</v>
      </c>
      <c r="F1129" s="115">
        <v>1</v>
      </c>
    </row>
    <row r="1130" spans="2:6">
      <c r="B1130" s="115" t="s">
        <v>4430</v>
      </c>
      <c r="C1130" s="115" t="s">
        <v>4431</v>
      </c>
      <c r="D1130" s="115" t="s">
        <v>3601</v>
      </c>
      <c r="E1130" s="115" t="s">
        <v>29</v>
      </c>
      <c r="F1130" s="115">
        <v>2</v>
      </c>
    </row>
    <row r="1131" spans="2:6">
      <c r="B1131" s="115" t="s">
        <v>4432</v>
      </c>
      <c r="C1131" s="115" t="s">
        <v>4433</v>
      </c>
      <c r="D1131" s="115" t="s">
        <v>3601</v>
      </c>
      <c r="E1131" s="115" t="s">
        <v>29</v>
      </c>
      <c r="F1131" s="115">
        <v>2</v>
      </c>
    </row>
    <row r="1132" spans="2:6">
      <c r="B1132" s="115" t="s">
        <v>4434</v>
      </c>
      <c r="C1132" s="115" t="s">
        <v>4435</v>
      </c>
      <c r="D1132" s="115" t="s">
        <v>3601</v>
      </c>
      <c r="E1132" s="115" t="s">
        <v>29</v>
      </c>
      <c r="F1132" s="115">
        <v>1</v>
      </c>
    </row>
    <row r="1133" spans="2:6">
      <c r="B1133" s="115" t="s">
        <v>4436</v>
      </c>
      <c r="C1133" s="115" t="s">
        <v>4437</v>
      </c>
      <c r="D1133" s="115" t="s">
        <v>3601</v>
      </c>
      <c r="E1133" s="115" t="s">
        <v>29</v>
      </c>
      <c r="F1133" s="115">
        <v>3</v>
      </c>
    </row>
    <row r="1134" spans="2:6">
      <c r="B1134" s="115" t="s">
        <v>4438</v>
      </c>
      <c r="C1134" s="115" t="s">
        <v>4439</v>
      </c>
      <c r="D1134" s="115" t="s">
        <v>3601</v>
      </c>
      <c r="E1134" s="115" t="s">
        <v>29</v>
      </c>
      <c r="F1134" s="115">
        <v>1</v>
      </c>
    </row>
    <row r="1135" spans="2:6">
      <c r="B1135" s="115" t="s">
        <v>4440</v>
      </c>
      <c r="C1135" s="115" t="s">
        <v>4441</v>
      </c>
      <c r="D1135" s="115" t="s">
        <v>3601</v>
      </c>
      <c r="E1135" s="115" t="s">
        <v>29</v>
      </c>
      <c r="F1135" s="115">
        <v>1</v>
      </c>
    </row>
    <row r="1136" spans="2:6">
      <c r="B1136" s="115" t="s">
        <v>4442</v>
      </c>
      <c r="C1136" s="115" t="s">
        <v>4443</v>
      </c>
      <c r="D1136" s="115" t="s">
        <v>3601</v>
      </c>
      <c r="E1136" s="115" t="s">
        <v>29</v>
      </c>
      <c r="F1136" s="115">
        <v>2</v>
      </c>
    </row>
    <row r="1137" spans="2:6">
      <c r="B1137" s="115" t="s">
        <v>4444</v>
      </c>
      <c r="C1137" s="115" t="s">
        <v>4445</v>
      </c>
      <c r="D1137" s="115" t="s">
        <v>3601</v>
      </c>
      <c r="E1137" s="115" t="s">
        <v>29</v>
      </c>
      <c r="F1137" s="115">
        <v>1</v>
      </c>
    </row>
    <row r="1138" spans="2:6">
      <c r="B1138" s="115" t="s">
        <v>4446</v>
      </c>
      <c r="C1138" s="115" t="s">
        <v>4447</v>
      </c>
      <c r="D1138" s="115" t="s">
        <v>3601</v>
      </c>
      <c r="E1138" s="115" t="s">
        <v>29</v>
      </c>
      <c r="F1138" s="115">
        <v>1</v>
      </c>
    </row>
    <row r="1139" spans="2:6">
      <c r="B1139" s="115" t="s">
        <v>4448</v>
      </c>
      <c r="C1139" s="115" t="s">
        <v>4449</v>
      </c>
      <c r="D1139" s="115" t="s">
        <v>3601</v>
      </c>
      <c r="E1139" s="115" t="s">
        <v>29</v>
      </c>
      <c r="F1139" s="115">
        <v>1</v>
      </c>
    </row>
    <row r="1140" spans="2:6">
      <c r="B1140" s="115" t="s">
        <v>4450</v>
      </c>
      <c r="C1140" s="115" t="s">
        <v>4451</v>
      </c>
      <c r="D1140" s="115" t="s">
        <v>3601</v>
      </c>
      <c r="E1140" s="115" t="s">
        <v>29</v>
      </c>
      <c r="F1140" s="115">
        <v>3</v>
      </c>
    </row>
    <row r="1141" spans="2:6">
      <c r="B1141" s="115" t="s">
        <v>4452</v>
      </c>
      <c r="C1141" s="115" t="s">
        <v>4453</v>
      </c>
      <c r="D1141" s="115" t="s">
        <v>3601</v>
      </c>
      <c r="E1141" s="115" t="s">
        <v>29</v>
      </c>
      <c r="F1141" s="115">
        <v>2</v>
      </c>
    </row>
    <row r="1142" spans="2:6">
      <c r="B1142" s="115" t="s">
        <v>4454</v>
      </c>
      <c r="C1142" s="115" t="s">
        <v>4455</v>
      </c>
      <c r="D1142" s="115" t="s">
        <v>3601</v>
      </c>
      <c r="E1142" s="115" t="s">
        <v>29</v>
      </c>
      <c r="F1142" s="115">
        <v>1</v>
      </c>
    </row>
    <row r="1143" spans="2:6">
      <c r="B1143" s="115" t="s">
        <v>4456</v>
      </c>
      <c r="C1143" s="115" t="s">
        <v>4457</v>
      </c>
      <c r="D1143" s="115" t="s">
        <v>3601</v>
      </c>
      <c r="E1143" s="115" t="s">
        <v>29</v>
      </c>
      <c r="F1143" s="115">
        <v>2</v>
      </c>
    </row>
    <row r="1144" spans="2:6">
      <c r="B1144" s="115" t="s">
        <v>4458</v>
      </c>
      <c r="C1144" s="115" t="s">
        <v>4459</v>
      </c>
      <c r="D1144" s="115" t="s">
        <v>3601</v>
      </c>
      <c r="E1144" s="115" t="s">
        <v>29</v>
      </c>
      <c r="F1144" s="115">
        <v>1</v>
      </c>
    </row>
    <row r="1145" spans="2:6">
      <c r="B1145" s="115" t="s">
        <v>4460</v>
      </c>
      <c r="C1145" s="115" t="s">
        <v>4461</v>
      </c>
      <c r="D1145" s="115" t="s">
        <v>3601</v>
      </c>
      <c r="E1145" s="115" t="s">
        <v>29</v>
      </c>
      <c r="F1145" s="115">
        <v>2</v>
      </c>
    </row>
    <row r="1146" spans="2:6">
      <c r="B1146" s="115" t="s">
        <v>4462</v>
      </c>
      <c r="C1146" s="115" t="s">
        <v>4463</v>
      </c>
      <c r="D1146" s="115" t="s">
        <v>3601</v>
      </c>
      <c r="E1146" s="115" t="s">
        <v>29</v>
      </c>
      <c r="F1146" s="115">
        <v>3</v>
      </c>
    </row>
    <row r="1147" spans="2:6">
      <c r="B1147" s="115" t="s">
        <v>4464</v>
      </c>
      <c r="C1147" s="115" t="s">
        <v>4465</v>
      </c>
      <c r="D1147" s="115" t="s">
        <v>3601</v>
      </c>
      <c r="E1147" s="115" t="s">
        <v>29</v>
      </c>
      <c r="F1147" s="115">
        <v>1</v>
      </c>
    </row>
    <row r="1148" spans="2:6">
      <c r="B1148" s="115" t="s">
        <v>4466</v>
      </c>
      <c r="C1148" s="115" t="s">
        <v>4467</v>
      </c>
      <c r="D1148" s="115" t="s">
        <v>3601</v>
      </c>
      <c r="E1148" s="115" t="s">
        <v>29</v>
      </c>
      <c r="F1148" s="115">
        <v>2</v>
      </c>
    </row>
    <row r="1149" spans="2:6">
      <c r="B1149" s="115" t="s">
        <v>4468</v>
      </c>
      <c r="C1149" s="115" t="s">
        <v>4469</v>
      </c>
      <c r="D1149" s="115" t="s">
        <v>3601</v>
      </c>
      <c r="E1149" s="115" t="s">
        <v>29</v>
      </c>
      <c r="F1149" s="115">
        <v>1</v>
      </c>
    </row>
    <row r="1150" spans="2:6">
      <c r="B1150" s="115" t="s">
        <v>4470</v>
      </c>
      <c r="C1150" s="115" t="s">
        <v>4471</v>
      </c>
      <c r="D1150" s="115" t="s">
        <v>3601</v>
      </c>
      <c r="E1150" s="115" t="s">
        <v>29</v>
      </c>
      <c r="F1150" s="115">
        <v>1</v>
      </c>
    </row>
    <row r="1151" spans="2:6">
      <c r="B1151" s="115" t="s">
        <v>4472</v>
      </c>
      <c r="C1151" s="115" t="s">
        <v>4473</v>
      </c>
      <c r="D1151" s="115" t="s">
        <v>3601</v>
      </c>
      <c r="E1151" s="115" t="s">
        <v>29</v>
      </c>
      <c r="F1151" s="115">
        <v>2</v>
      </c>
    </row>
    <row r="1152" spans="2:6">
      <c r="B1152" s="115" t="s">
        <v>4474</v>
      </c>
      <c r="C1152" s="115" t="s">
        <v>4475</v>
      </c>
      <c r="D1152" s="115" t="s">
        <v>3601</v>
      </c>
      <c r="E1152" s="115" t="s">
        <v>29</v>
      </c>
      <c r="F1152" s="115">
        <v>1</v>
      </c>
    </row>
    <row r="1153" spans="2:6">
      <c r="B1153" s="115" t="s">
        <v>4476</v>
      </c>
      <c r="C1153" s="115" t="s">
        <v>4477</v>
      </c>
      <c r="D1153" s="115" t="s">
        <v>3601</v>
      </c>
      <c r="E1153" s="115" t="s">
        <v>29</v>
      </c>
      <c r="F1153" s="115">
        <v>1</v>
      </c>
    </row>
    <row r="1154" spans="2:6">
      <c r="B1154" s="115" t="s">
        <v>4478</v>
      </c>
      <c r="C1154" s="115" t="s">
        <v>4479</v>
      </c>
      <c r="D1154" s="115" t="s">
        <v>3601</v>
      </c>
      <c r="E1154" s="115" t="s">
        <v>29</v>
      </c>
      <c r="F1154" s="115">
        <v>1</v>
      </c>
    </row>
    <row r="1155" spans="2:6">
      <c r="B1155" s="115" t="s">
        <v>4480</v>
      </c>
      <c r="C1155" s="115" t="s">
        <v>4481</v>
      </c>
      <c r="D1155" s="115" t="s">
        <v>3601</v>
      </c>
      <c r="E1155" s="115" t="s">
        <v>29</v>
      </c>
      <c r="F1155" s="115">
        <v>2</v>
      </c>
    </row>
    <row r="1156" spans="2:6">
      <c r="B1156" s="115" t="s">
        <v>4482</v>
      </c>
      <c r="C1156" s="115" t="s">
        <v>4483</v>
      </c>
      <c r="D1156" s="115" t="s">
        <v>3601</v>
      </c>
      <c r="E1156" s="115" t="s">
        <v>29</v>
      </c>
      <c r="F1156" s="115">
        <v>2</v>
      </c>
    </row>
    <row r="1157" spans="2:6">
      <c r="B1157" s="115" t="s">
        <v>4484</v>
      </c>
      <c r="C1157" s="115" t="s">
        <v>4485</v>
      </c>
      <c r="D1157" s="115" t="s">
        <v>3601</v>
      </c>
      <c r="E1157" s="115" t="s">
        <v>29</v>
      </c>
      <c r="F1157" s="115">
        <v>1</v>
      </c>
    </row>
    <row r="1158" spans="2:6">
      <c r="B1158" s="115" t="s">
        <v>4486</v>
      </c>
      <c r="C1158" s="115" t="s">
        <v>4487</v>
      </c>
      <c r="D1158" s="115" t="s">
        <v>3601</v>
      </c>
      <c r="E1158" s="115" t="s">
        <v>29</v>
      </c>
      <c r="F1158" s="115">
        <v>1</v>
      </c>
    </row>
    <row r="1159" spans="2:6">
      <c r="B1159" s="115" t="s">
        <v>4488</v>
      </c>
      <c r="C1159" s="115" t="s">
        <v>4489</v>
      </c>
      <c r="D1159" s="115" t="s">
        <v>3601</v>
      </c>
      <c r="E1159" s="115" t="s">
        <v>29</v>
      </c>
      <c r="F1159" s="115">
        <v>1</v>
      </c>
    </row>
    <row r="1160" spans="2:6">
      <c r="B1160" s="115" t="s">
        <v>4490</v>
      </c>
      <c r="C1160" s="115" t="s">
        <v>4491</v>
      </c>
      <c r="D1160" s="115" t="s">
        <v>3601</v>
      </c>
      <c r="E1160" s="115" t="s">
        <v>29</v>
      </c>
      <c r="F1160" s="115">
        <v>3</v>
      </c>
    </row>
    <row r="1161" spans="2:6">
      <c r="B1161" s="115" t="s">
        <v>4492</v>
      </c>
      <c r="C1161" s="115" t="s">
        <v>4493</v>
      </c>
      <c r="D1161" s="115" t="s">
        <v>3601</v>
      </c>
      <c r="E1161" s="115" t="s">
        <v>29</v>
      </c>
      <c r="F1161" s="115">
        <v>1</v>
      </c>
    </row>
    <row r="1162" spans="2:6">
      <c r="B1162" s="115" t="s">
        <v>4494</v>
      </c>
      <c r="C1162" s="115" t="s">
        <v>4495</v>
      </c>
      <c r="D1162" s="115" t="s">
        <v>3601</v>
      </c>
      <c r="E1162" s="115" t="s">
        <v>29</v>
      </c>
      <c r="F1162" s="115">
        <v>3</v>
      </c>
    </row>
    <row r="1163" spans="2:6">
      <c r="B1163" s="115" t="s">
        <v>4496</v>
      </c>
      <c r="C1163" s="115" t="s">
        <v>4497</v>
      </c>
      <c r="D1163" s="115" t="s">
        <v>3601</v>
      </c>
      <c r="E1163" s="115" t="s">
        <v>29</v>
      </c>
      <c r="F1163" s="115">
        <v>1</v>
      </c>
    </row>
    <row r="1164" spans="2:6">
      <c r="B1164" s="115" t="s">
        <v>4498</v>
      </c>
      <c r="C1164" s="115" t="s">
        <v>4499</v>
      </c>
      <c r="D1164" s="115" t="s">
        <v>3601</v>
      </c>
      <c r="E1164" s="115" t="s">
        <v>29</v>
      </c>
      <c r="F1164" s="115">
        <v>1</v>
      </c>
    </row>
    <row r="1165" spans="2:6">
      <c r="B1165" s="115" t="s">
        <v>4500</v>
      </c>
      <c r="C1165" s="115" t="s">
        <v>4501</v>
      </c>
      <c r="D1165" s="115" t="s">
        <v>3601</v>
      </c>
      <c r="E1165" s="115" t="s">
        <v>29</v>
      </c>
      <c r="F1165" s="115">
        <v>3</v>
      </c>
    </row>
    <row r="1166" spans="2:6">
      <c r="B1166" s="115" t="s">
        <v>4502</v>
      </c>
      <c r="C1166" s="115" t="s">
        <v>4503</v>
      </c>
      <c r="D1166" s="115" t="s">
        <v>3601</v>
      </c>
      <c r="E1166" s="115" t="s">
        <v>29</v>
      </c>
      <c r="F1166" s="115">
        <v>1</v>
      </c>
    </row>
    <row r="1167" spans="2:6">
      <c r="B1167" s="115" t="s">
        <v>4504</v>
      </c>
      <c r="C1167" s="115" t="s">
        <v>4505</v>
      </c>
      <c r="D1167" s="115" t="s">
        <v>3601</v>
      </c>
      <c r="E1167" s="115" t="s">
        <v>29</v>
      </c>
      <c r="F1167" s="115">
        <v>1</v>
      </c>
    </row>
    <row r="1168" spans="2:6">
      <c r="B1168" s="115" t="s">
        <v>4506</v>
      </c>
      <c r="C1168" s="115" t="s">
        <v>4507</v>
      </c>
      <c r="D1168" s="115" t="s">
        <v>3601</v>
      </c>
      <c r="E1168" s="115" t="s">
        <v>29</v>
      </c>
      <c r="F1168" s="115">
        <v>1</v>
      </c>
    </row>
    <row r="1169" spans="2:6">
      <c r="B1169" s="115" t="s">
        <v>4508</v>
      </c>
      <c r="C1169" s="115" t="s">
        <v>4509</v>
      </c>
      <c r="D1169" s="115" t="s">
        <v>3601</v>
      </c>
      <c r="E1169" s="115" t="s">
        <v>29</v>
      </c>
      <c r="F1169" s="115">
        <v>3</v>
      </c>
    </row>
    <row r="1170" spans="2:6">
      <c r="B1170" s="115" t="s">
        <v>4510</v>
      </c>
      <c r="C1170" s="115" t="s">
        <v>4511</v>
      </c>
      <c r="D1170" s="115" t="s">
        <v>3601</v>
      </c>
      <c r="E1170" s="115" t="s">
        <v>29</v>
      </c>
      <c r="F1170" s="115">
        <v>3</v>
      </c>
    </row>
    <row r="1171" spans="2:6">
      <c r="B1171" s="115" t="s">
        <v>4512</v>
      </c>
      <c r="C1171" s="115" t="s">
        <v>4513</v>
      </c>
      <c r="D1171" s="115" t="s">
        <v>3601</v>
      </c>
      <c r="E1171" s="115" t="s">
        <v>29</v>
      </c>
      <c r="F1171" s="115">
        <v>3</v>
      </c>
    </row>
    <row r="1172" spans="2:6">
      <c r="B1172" s="115" t="s">
        <v>4514</v>
      </c>
      <c r="C1172" s="115" t="s">
        <v>4515</v>
      </c>
      <c r="D1172" s="115" t="s">
        <v>3601</v>
      </c>
      <c r="E1172" s="115" t="s">
        <v>29</v>
      </c>
      <c r="F1172" s="115">
        <v>1</v>
      </c>
    </row>
    <row r="1173" spans="2:6">
      <c r="B1173" s="115" t="s">
        <v>4516</v>
      </c>
      <c r="C1173" s="115" t="s">
        <v>4517</v>
      </c>
      <c r="D1173" s="115" t="s">
        <v>3601</v>
      </c>
      <c r="E1173" s="115" t="s">
        <v>29</v>
      </c>
      <c r="F1173" s="115">
        <v>3</v>
      </c>
    </row>
    <row r="1174" spans="2:6">
      <c r="B1174" s="115" t="s">
        <v>4518</v>
      </c>
      <c r="C1174" s="115" t="s">
        <v>4519</v>
      </c>
      <c r="D1174" s="115" t="s">
        <v>3601</v>
      </c>
      <c r="E1174" s="115" t="s">
        <v>29</v>
      </c>
      <c r="F1174" s="115">
        <v>3</v>
      </c>
    </row>
    <row r="1175" spans="2:6">
      <c r="B1175" s="115" t="s">
        <v>4520</v>
      </c>
      <c r="C1175" s="115" t="s">
        <v>4521</v>
      </c>
      <c r="D1175" s="115" t="s">
        <v>3601</v>
      </c>
      <c r="E1175" s="115" t="s">
        <v>29</v>
      </c>
      <c r="F1175" s="115">
        <v>3</v>
      </c>
    </row>
    <row r="1176" spans="2:6">
      <c r="B1176" s="115" t="s">
        <v>4522</v>
      </c>
      <c r="C1176" s="115" t="s">
        <v>4523</v>
      </c>
      <c r="D1176" s="115" t="s">
        <v>3601</v>
      </c>
      <c r="E1176" s="115" t="s">
        <v>29</v>
      </c>
      <c r="F1176" s="115">
        <v>2</v>
      </c>
    </row>
    <row r="1177" spans="2:6">
      <c r="B1177" s="115" t="s">
        <v>4524</v>
      </c>
      <c r="C1177" s="115" t="s">
        <v>4525</v>
      </c>
      <c r="D1177" s="115" t="s">
        <v>3601</v>
      </c>
      <c r="E1177" s="115" t="s">
        <v>29</v>
      </c>
      <c r="F1177" s="115">
        <v>3</v>
      </c>
    </row>
    <row r="1178" spans="2:6">
      <c r="B1178" s="115" t="s">
        <v>4526</v>
      </c>
      <c r="C1178" s="115" t="s">
        <v>4527</v>
      </c>
      <c r="D1178" s="115" t="s">
        <v>3601</v>
      </c>
      <c r="E1178" s="115" t="s">
        <v>29</v>
      </c>
      <c r="F1178" s="115">
        <v>2</v>
      </c>
    </row>
    <row r="1179" spans="2:6">
      <c r="B1179" s="115" t="s">
        <v>4528</v>
      </c>
      <c r="C1179" s="115" t="s">
        <v>4529</v>
      </c>
      <c r="D1179" s="115" t="s">
        <v>3601</v>
      </c>
      <c r="E1179" s="115" t="s">
        <v>29</v>
      </c>
      <c r="F1179" s="115">
        <v>3</v>
      </c>
    </row>
    <row r="1180" spans="2:6">
      <c r="B1180" s="115" t="s">
        <v>4530</v>
      </c>
      <c r="C1180" s="115" t="s">
        <v>4531</v>
      </c>
      <c r="D1180" s="115" t="s">
        <v>3601</v>
      </c>
      <c r="E1180" s="115" t="s">
        <v>29</v>
      </c>
      <c r="F1180" s="115">
        <v>1</v>
      </c>
    </row>
    <row r="1181" spans="2:6">
      <c r="B1181" s="115" t="s">
        <v>4532</v>
      </c>
      <c r="C1181" s="115" t="s">
        <v>4533</v>
      </c>
      <c r="D1181" s="115" t="s">
        <v>3601</v>
      </c>
      <c r="E1181" s="115" t="s">
        <v>29</v>
      </c>
      <c r="F1181" s="115">
        <v>3</v>
      </c>
    </row>
    <row r="1182" spans="2:6">
      <c r="B1182" s="115" t="s">
        <v>4534</v>
      </c>
      <c r="C1182" s="115" t="s">
        <v>4535</v>
      </c>
      <c r="D1182" s="115" t="s">
        <v>3601</v>
      </c>
      <c r="E1182" s="115" t="s">
        <v>29</v>
      </c>
      <c r="F1182" s="115">
        <v>3</v>
      </c>
    </row>
    <row r="1183" spans="2:6">
      <c r="B1183" s="115" t="s">
        <v>4536</v>
      </c>
      <c r="C1183" s="115" t="s">
        <v>4537</v>
      </c>
      <c r="D1183" s="115" t="s">
        <v>3601</v>
      </c>
      <c r="E1183" s="115" t="s">
        <v>29</v>
      </c>
      <c r="F1183" s="115">
        <v>3</v>
      </c>
    </row>
    <row r="1184" spans="2:6">
      <c r="B1184" s="115" t="s">
        <v>4538</v>
      </c>
      <c r="C1184" s="115" t="s">
        <v>4539</v>
      </c>
      <c r="D1184" s="115" t="s">
        <v>3601</v>
      </c>
      <c r="E1184" s="115" t="s">
        <v>29</v>
      </c>
      <c r="F1184" s="115">
        <v>2</v>
      </c>
    </row>
    <row r="1185" spans="2:6">
      <c r="B1185" s="115" t="s">
        <v>4540</v>
      </c>
      <c r="C1185" s="115" t="s">
        <v>4541</v>
      </c>
      <c r="D1185" s="115" t="s">
        <v>3601</v>
      </c>
      <c r="E1185" s="115" t="s">
        <v>29</v>
      </c>
      <c r="F1185" s="115">
        <v>3</v>
      </c>
    </row>
    <row r="1186" spans="2:6">
      <c r="B1186" s="115" t="s">
        <v>4542</v>
      </c>
      <c r="C1186" s="115" t="s">
        <v>4543</v>
      </c>
      <c r="D1186" s="115" t="s">
        <v>3601</v>
      </c>
      <c r="E1186" s="115" t="s">
        <v>29</v>
      </c>
      <c r="F1186" s="115">
        <v>3</v>
      </c>
    </row>
    <row r="1187" spans="2:6">
      <c r="B1187" s="115" t="s">
        <v>4544</v>
      </c>
      <c r="C1187" s="115" t="s">
        <v>4545</v>
      </c>
      <c r="D1187" s="115" t="s">
        <v>3601</v>
      </c>
      <c r="E1187" s="115" t="s">
        <v>29</v>
      </c>
      <c r="F1187" s="115">
        <v>1</v>
      </c>
    </row>
    <row r="1188" spans="2:6">
      <c r="B1188" s="115" t="s">
        <v>4546</v>
      </c>
      <c r="C1188" s="115" t="s">
        <v>4547</v>
      </c>
      <c r="D1188" s="115" t="s">
        <v>3601</v>
      </c>
      <c r="E1188" s="115" t="s">
        <v>29</v>
      </c>
      <c r="F1188" s="115">
        <v>3</v>
      </c>
    </row>
    <row r="1189" spans="2:6">
      <c r="B1189" s="115" t="s">
        <v>4548</v>
      </c>
      <c r="C1189" s="115" t="s">
        <v>4549</v>
      </c>
      <c r="D1189" s="115" t="s">
        <v>3601</v>
      </c>
      <c r="E1189" s="115" t="s">
        <v>29</v>
      </c>
      <c r="F1189" s="115">
        <v>3</v>
      </c>
    </row>
    <row r="1190" spans="2:6">
      <c r="B1190" s="115" t="s">
        <v>4550</v>
      </c>
      <c r="C1190" s="115" t="s">
        <v>4551</v>
      </c>
      <c r="D1190" s="115" t="s">
        <v>3601</v>
      </c>
      <c r="E1190" s="115" t="s">
        <v>29</v>
      </c>
      <c r="F1190" s="115">
        <v>1</v>
      </c>
    </row>
    <row r="1191" spans="2:6">
      <c r="B1191" s="115" t="s">
        <v>4552</v>
      </c>
      <c r="C1191" s="115" t="s">
        <v>4553</v>
      </c>
      <c r="D1191" s="115" t="s">
        <v>3601</v>
      </c>
      <c r="E1191" s="115" t="s">
        <v>29</v>
      </c>
      <c r="F1191" s="115">
        <v>1</v>
      </c>
    </row>
    <row r="1192" spans="2:6">
      <c r="B1192" s="115" t="s">
        <v>4554</v>
      </c>
      <c r="C1192" s="115" t="s">
        <v>4555</v>
      </c>
      <c r="D1192" s="115" t="s">
        <v>3601</v>
      </c>
      <c r="E1192" s="115" t="s">
        <v>29</v>
      </c>
      <c r="F1192" s="115">
        <v>2</v>
      </c>
    </row>
    <row r="1193" spans="2:6">
      <c r="B1193" s="115" t="s">
        <v>4556</v>
      </c>
      <c r="C1193" s="115" t="s">
        <v>4557</v>
      </c>
      <c r="D1193" s="115" t="s">
        <v>3601</v>
      </c>
      <c r="E1193" s="115" t="s">
        <v>29</v>
      </c>
      <c r="F1193" s="115">
        <v>2</v>
      </c>
    </row>
    <row r="1194" spans="2:6">
      <c r="B1194" s="115" t="s">
        <v>4558</v>
      </c>
      <c r="C1194" s="115" t="s">
        <v>4559</v>
      </c>
      <c r="D1194" s="115" t="s">
        <v>3601</v>
      </c>
      <c r="E1194" s="115" t="s">
        <v>29</v>
      </c>
      <c r="F1194" s="115">
        <v>3</v>
      </c>
    </row>
    <row r="1195" spans="2:6">
      <c r="B1195" s="115" t="s">
        <v>4560</v>
      </c>
      <c r="C1195" s="115" t="s">
        <v>4561</v>
      </c>
      <c r="D1195" s="115" t="s">
        <v>3601</v>
      </c>
      <c r="E1195" s="115" t="s">
        <v>29</v>
      </c>
      <c r="F1195" s="115">
        <v>1</v>
      </c>
    </row>
    <row r="1196" spans="2:6">
      <c r="B1196" s="115" t="s">
        <v>4562</v>
      </c>
      <c r="C1196" s="115" t="s">
        <v>4563</v>
      </c>
      <c r="D1196" s="115" t="s">
        <v>3601</v>
      </c>
      <c r="E1196" s="115" t="s">
        <v>29</v>
      </c>
      <c r="F1196" s="115">
        <v>1</v>
      </c>
    </row>
    <row r="1197" spans="2:6">
      <c r="B1197" s="115" t="s">
        <v>4564</v>
      </c>
      <c r="C1197" s="115" t="s">
        <v>4565</v>
      </c>
      <c r="D1197" s="115" t="s">
        <v>3601</v>
      </c>
      <c r="E1197" s="115" t="s">
        <v>29</v>
      </c>
      <c r="F1197" s="115">
        <v>3</v>
      </c>
    </row>
    <row r="1198" spans="2:6">
      <c r="B1198" s="115" t="s">
        <v>4566</v>
      </c>
      <c r="C1198" s="115" t="s">
        <v>4567</v>
      </c>
      <c r="D1198" s="115" t="s">
        <v>3601</v>
      </c>
      <c r="E1198" s="115" t="s">
        <v>29</v>
      </c>
      <c r="F1198" s="115">
        <v>3</v>
      </c>
    </row>
    <row r="1199" spans="2:6">
      <c r="B1199" s="115" t="s">
        <v>4568</v>
      </c>
      <c r="C1199" s="115" t="s">
        <v>4569</v>
      </c>
      <c r="D1199" s="115" t="s">
        <v>3601</v>
      </c>
      <c r="E1199" s="115" t="s">
        <v>29</v>
      </c>
      <c r="F1199" s="115">
        <v>1</v>
      </c>
    </row>
    <row r="1200" spans="2:6">
      <c r="B1200" s="115" t="s">
        <v>4570</v>
      </c>
      <c r="C1200" s="115" t="s">
        <v>4571</v>
      </c>
      <c r="D1200" s="115" t="s">
        <v>3601</v>
      </c>
      <c r="E1200" s="115" t="s">
        <v>29</v>
      </c>
      <c r="F1200" s="115">
        <v>3</v>
      </c>
    </row>
    <row r="1201" spans="2:6">
      <c r="B1201" s="115" t="s">
        <v>4572</v>
      </c>
      <c r="C1201" s="115" t="s">
        <v>4573</v>
      </c>
      <c r="D1201" s="115" t="s">
        <v>3601</v>
      </c>
      <c r="E1201" s="115" t="s">
        <v>29</v>
      </c>
      <c r="F1201" s="115">
        <v>2</v>
      </c>
    </row>
    <row r="1202" spans="2:6">
      <c r="B1202" s="115" t="s">
        <v>4574</v>
      </c>
      <c r="C1202" s="115" t="s">
        <v>4575</v>
      </c>
      <c r="D1202" s="115" t="s">
        <v>3601</v>
      </c>
      <c r="E1202" s="115" t="s">
        <v>29</v>
      </c>
      <c r="F1202" s="115">
        <v>3</v>
      </c>
    </row>
    <row r="1203" spans="2:6">
      <c r="B1203" s="115" t="s">
        <v>4576</v>
      </c>
      <c r="C1203" s="115" t="s">
        <v>4577</v>
      </c>
      <c r="D1203" s="115" t="s">
        <v>3601</v>
      </c>
      <c r="E1203" s="115" t="s">
        <v>29</v>
      </c>
      <c r="F1203" s="115">
        <v>3</v>
      </c>
    </row>
    <row r="1204" spans="2:6">
      <c r="B1204" s="115" t="s">
        <v>4578</v>
      </c>
      <c r="C1204" s="115" t="s">
        <v>4579</v>
      </c>
      <c r="D1204" s="115" t="s">
        <v>3601</v>
      </c>
      <c r="E1204" s="115" t="s">
        <v>29</v>
      </c>
      <c r="F1204" s="115">
        <v>2</v>
      </c>
    </row>
    <row r="1205" spans="2:6">
      <c r="B1205" s="115" t="s">
        <v>4580</v>
      </c>
      <c r="C1205" s="115" t="s">
        <v>4581</v>
      </c>
      <c r="D1205" s="115" t="s">
        <v>3601</v>
      </c>
      <c r="E1205" s="115" t="s">
        <v>29</v>
      </c>
      <c r="F1205" s="115">
        <v>1</v>
      </c>
    </row>
    <row r="1206" spans="2:6">
      <c r="B1206" s="115" t="s">
        <v>4582</v>
      </c>
      <c r="C1206" s="115" t="s">
        <v>4583</v>
      </c>
      <c r="D1206" s="115" t="s">
        <v>3601</v>
      </c>
      <c r="E1206" s="115" t="s">
        <v>29</v>
      </c>
      <c r="F1206" s="115">
        <v>2</v>
      </c>
    </row>
    <row r="1207" spans="2:6">
      <c r="B1207" s="115" t="s">
        <v>4584</v>
      </c>
      <c r="C1207" s="115" t="s">
        <v>4585</v>
      </c>
      <c r="D1207" s="115" t="s">
        <v>3601</v>
      </c>
      <c r="E1207" s="115" t="s">
        <v>29</v>
      </c>
      <c r="F1207" s="115">
        <v>3</v>
      </c>
    </row>
    <row r="1208" spans="2:6">
      <c r="B1208" s="115" t="s">
        <v>4586</v>
      </c>
      <c r="C1208" s="115" t="s">
        <v>4587</v>
      </c>
      <c r="D1208" s="115" t="s">
        <v>3601</v>
      </c>
      <c r="E1208" s="115" t="s">
        <v>29</v>
      </c>
      <c r="F1208" s="115">
        <v>3</v>
      </c>
    </row>
    <row r="1209" spans="2:6">
      <c r="B1209" s="115" t="s">
        <v>4588</v>
      </c>
      <c r="C1209" s="115" t="s">
        <v>4589</v>
      </c>
      <c r="D1209" s="115" t="s">
        <v>3601</v>
      </c>
      <c r="E1209" s="115" t="s">
        <v>29</v>
      </c>
      <c r="F1209" s="115">
        <v>3</v>
      </c>
    </row>
    <row r="1210" spans="2:6">
      <c r="B1210" s="115" t="s">
        <v>4590</v>
      </c>
      <c r="C1210" s="115" t="s">
        <v>4591</v>
      </c>
      <c r="D1210" s="115" t="s">
        <v>3601</v>
      </c>
      <c r="E1210" s="115" t="s">
        <v>29</v>
      </c>
      <c r="F1210" s="115">
        <v>3</v>
      </c>
    </row>
    <row r="1211" spans="2:6">
      <c r="B1211" s="115" t="s">
        <v>4592</v>
      </c>
      <c r="C1211" s="115" t="s">
        <v>4593</v>
      </c>
      <c r="D1211" s="115" t="s">
        <v>3601</v>
      </c>
      <c r="E1211" s="115" t="s">
        <v>29</v>
      </c>
      <c r="F1211" s="115">
        <v>3</v>
      </c>
    </row>
    <row r="1212" spans="2:6">
      <c r="B1212" s="115" t="s">
        <v>4594</v>
      </c>
      <c r="C1212" s="115" t="s">
        <v>4595</v>
      </c>
      <c r="D1212" s="115" t="s">
        <v>3601</v>
      </c>
      <c r="E1212" s="115" t="s">
        <v>29</v>
      </c>
      <c r="F1212" s="115">
        <v>3</v>
      </c>
    </row>
    <row r="1213" spans="2:6">
      <c r="B1213" s="115" t="s">
        <v>4596</v>
      </c>
      <c r="C1213" s="115" t="s">
        <v>4597</v>
      </c>
      <c r="D1213" s="115" t="s">
        <v>3601</v>
      </c>
      <c r="E1213" s="115" t="s">
        <v>29</v>
      </c>
      <c r="F1213" s="115">
        <v>2</v>
      </c>
    </row>
    <row r="1214" spans="2:6">
      <c r="B1214" s="115" t="s">
        <v>4598</v>
      </c>
      <c r="C1214" s="115" t="s">
        <v>4599</v>
      </c>
      <c r="D1214" s="115" t="s">
        <v>3601</v>
      </c>
      <c r="E1214" s="115" t="s">
        <v>29</v>
      </c>
      <c r="F1214" s="115">
        <v>1</v>
      </c>
    </row>
    <row r="1215" spans="2:6">
      <c r="B1215" s="115" t="s">
        <v>4600</v>
      </c>
      <c r="C1215" s="115" t="s">
        <v>4601</v>
      </c>
      <c r="D1215" s="115" t="s">
        <v>3601</v>
      </c>
      <c r="E1215" s="115" t="s">
        <v>29</v>
      </c>
      <c r="F1215" s="115">
        <v>1</v>
      </c>
    </row>
    <row r="1216" spans="2:6">
      <c r="B1216" s="115" t="s">
        <v>4602</v>
      </c>
      <c r="C1216" s="115" t="s">
        <v>4603</v>
      </c>
      <c r="D1216" s="115" t="s">
        <v>3601</v>
      </c>
      <c r="E1216" s="115" t="s">
        <v>29</v>
      </c>
      <c r="F1216" s="115">
        <v>1</v>
      </c>
    </row>
    <row r="1217" spans="2:6">
      <c r="B1217" s="115" t="s">
        <v>4604</v>
      </c>
      <c r="C1217" s="115" t="s">
        <v>4605</v>
      </c>
      <c r="D1217" s="115" t="s">
        <v>3601</v>
      </c>
      <c r="E1217" s="115" t="s">
        <v>29</v>
      </c>
      <c r="F1217" s="115">
        <v>1</v>
      </c>
    </row>
    <row r="1218" spans="2:6">
      <c r="B1218" s="115" t="s">
        <v>4606</v>
      </c>
      <c r="C1218" s="115" t="s">
        <v>4607</v>
      </c>
      <c r="D1218" s="115" t="s">
        <v>3601</v>
      </c>
      <c r="E1218" s="115" t="s">
        <v>29</v>
      </c>
      <c r="F1218" s="115">
        <v>3</v>
      </c>
    </row>
    <row r="1219" spans="2:6">
      <c r="B1219" s="115" t="s">
        <v>4608</v>
      </c>
      <c r="C1219" s="115" t="s">
        <v>4609</v>
      </c>
      <c r="D1219" s="115" t="s">
        <v>3601</v>
      </c>
      <c r="E1219" s="115" t="s">
        <v>29</v>
      </c>
      <c r="F1219" s="115">
        <v>2</v>
      </c>
    </row>
    <row r="1220" spans="2:6">
      <c r="B1220" s="115" t="s">
        <v>4610</v>
      </c>
      <c r="C1220" s="115" t="s">
        <v>4611</v>
      </c>
      <c r="D1220" s="115" t="s">
        <v>3601</v>
      </c>
      <c r="E1220" s="115" t="s">
        <v>29</v>
      </c>
      <c r="F1220" s="115">
        <v>1</v>
      </c>
    </row>
    <row r="1221" spans="2:6">
      <c r="B1221" s="115" t="s">
        <v>4612</v>
      </c>
      <c r="C1221" s="115" t="s">
        <v>4613</v>
      </c>
      <c r="D1221" s="115" t="s">
        <v>3601</v>
      </c>
      <c r="E1221" s="115" t="s">
        <v>29</v>
      </c>
      <c r="F1221" s="115">
        <v>3</v>
      </c>
    </row>
    <row r="1222" spans="2:6">
      <c r="B1222" s="115" t="s">
        <v>4614</v>
      </c>
      <c r="C1222" s="115" t="s">
        <v>4615</v>
      </c>
      <c r="D1222" s="115" t="s">
        <v>3601</v>
      </c>
      <c r="E1222" s="115" t="s">
        <v>29</v>
      </c>
      <c r="F1222" s="115">
        <v>3</v>
      </c>
    </row>
    <row r="1223" spans="2:6">
      <c r="B1223" s="115" t="s">
        <v>4616</v>
      </c>
      <c r="C1223" s="115" t="s">
        <v>4617</v>
      </c>
      <c r="D1223" s="115" t="s">
        <v>3601</v>
      </c>
      <c r="E1223" s="115" t="s">
        <v>29</v>
      </c>
      <c r="F1223" s="115">
        <v>3</v>
      </c>
    </row>
    <row r="1224" spans="2:6">
      <c r="B1224" s="115" t="s">
        <v>4618</v>
      </c>
      <c r="C1224" s="115" t="s">
        <v>4619</v>
      </c>
      <c r="D1224" s="115" t="s">
        <v>3601</v>
      </c>
      <c r="E1224" s="115" t="s">
        <v>29</v>
      </c>
      <c r="F1224" s="115">
        <v>3</v>
      </c>
    </row>
    <row r="1225" spans="2:6">
      <c r="B1225" s="115" t="s">
        <v>4620</v>
      </c>
      <c r="C1225" s="115" t="s">
        <v>4621</v>
      </c>
      <c r="D1225" s="115" t="s">
        <v>3601</v>
      </c>
      <c r="E1225" s="115" t="s">
        <v>29</v>
      </c>
      <c r="F1225" s="115">
        <v>3</v>
      </c>
    </row>
    <row r="1226" spans="2:6">
      <c r="B1226" s="115" t="s">
        <v>4622</v>
      </c>
      <c r="C1226" s="115" t="s">
        <v>4623</v>
      </c>
      <c r="D1226" s="115" t="s">
        <v>3601</v>
      </c>
      <c r="E1226" s="115" t="s">
        <v>29</v>
      </c>
      <c r="F1226" s="115">
        <v>2</v>
      </c>
    </row>
    <row r="1227" spans="2:6">
      <c r="B1227" s="115" t="s">
        <v>4624</v>
      </c>
      <c r="C1227" s="115" t="s">
        <v>4625</v>
      </c>
      <c r="D1227" s="115" t="s">
        <v>3601</v>
      </c>
      <c r="E1227" s="115" t="s">
        <v>29</v>
      </c>
      <c r="F1227" s="115">
        <v>3</v>
      </c>
    </row>
    <row r="1228" spans="2:6">
      <c r="B1228" s="115" t="s">
        <v>4626</v>
      </c>
      <c r="C1228" s="115" t="s">
        <v>4627</v>
      </c>
      <c r="D1228" s="115" t="s">
        <v>3601</v>
      </c>
      <c r="E1228" s="115" t="s">
        <v>29</v>
      </c>
      <c r="F1228" s="115">
        <v>3</v>
      </c>
    </row>
    <row r="1229" spans="2:6">
      <c r="B1229" s="115" t="s">
        <v>4628</v>
      </c>
      <c r="C1229" s="115" t="s">
        <v>4629</v>
      </c>
      <c r="D1229" s="115" t="s">
        <v>3601</v>
      </c>
      <c r="E1229" s="115" t="s">
        <v>29</v>
      </c>
      <c r="F1229" s="115">
        <v>1</v>
      </c>
    </row>
    <row r="1230" spans="2:6">
      <c r="B1230" s="115" t="s">
        <v>4630</v>
      </c>
      <c r="C1230" s="115" t="s">
        <v>4631</v>
      </c>
      <c r="D1230" s="115" t="s">
        <v>3601</v>
      </c>
      <c r="E1230" s="115" t="s">
        <v>29</v>
      </c>
      <c r="F1230" s="115">
        <v>3</v>
      </c>
    </row>
    <row r="1231" spans="2:6">
      <c r="B1231" s="115" t="s">
        <v>4632</v>
      </c>
      <c r="C1231" s="115" t="s">
        <v>4633</v>
      </c>
      <c r="D1231" s="115" t="s">
        <v>3601</v>
      </c>
      <c r="E1231" s="115" t="s">
        <v>29</v>
      </c>
      <c r="F1231" s="115">
        <v>3</v>
      </c>
    </row>
    <row r="1232" spans="2:6">
      <c r="B1232" s="115" t="s">
        <v>4634</v>
      </c>
      <c r="C1232" s="115" t="s">
        <v>4635</v>
      </c>
      <c r="D1232" s="115" t="s">
        <v>3601</v>
      </c>
      <c r="E1232" s="115" t="s">
        <v>29</v>
      </c>
      <c r="F1232" s="115">
        <v>1</v>
      </c>
    </row>
    <row r="1233" spans="2:6">
      <c r="B1233" s="115" t="s">
        <v>4636</v>
      </c>
      <c r="C1233" s="115" t="s">
        <v>4637</v>
      </c>
      <c r="D1233" s="115" t="s">
        <v>3601</v>
      </c>
      <c r="E1233" s="115" t="s">
        <v>29</v>
      </c>
      <c r="F1233" s="115">
        <v>1</v>
      </c>
    </row>
    <row r="1234" spans="2:6">
      <c r="B1234" s="115" t="s">
        <v>4638</v>
      </c>
      <c r="C1234" s="115" t="s">
        <v>4639</v>
      </c>
      <c r="D1234" s="115" t="s">
        <v>3601</v>
      </c>
      <c r="E1234" s="115" t="s">
        <v>29</v>
      </c>
      <c r="F1234" s="115">
        <v>3</v>
      </c>
    </row>
    <row r="1235" spans="2:6">
      <c r="B1235" s="115" t="s">
        <v>4640</v>
      </c>
      <c r="C1235" s="115" t="s">
        <v>4641</v>
      </c>
      <c r="D1235" s="115" t="s">
        <v>3601</v>
      </c>
      <c r="E1235" s="115" t="s">
        <v>29</v>
      </c>
      <c r="F1235" s="115">
        <v>3</v>
      </c>
    </row>
    <row r="1236" spans="2:6">
      <c r="B1236" s="115" t="s">
        <v>4642</v>
      </c>
      <c r="C1236" s="115" t="s">
        <v>4643</v>
      </c>
      <c r="D1236" s="115" t="s">
        <v>3601</v>
      </c>
      <c r="E1236" s="115" t="s">
        <v>29</v>
      </c>
      <c r="F1236" s="115">
        <v>2</v>
      </c>
    </row>
    <row r="1237" spans="2:6">
      <c r="B1237" s="115" t="s">
        <v>4644</v>
      </c>
      <c r="C1237" s="115" t="s">
        <v>4645</v>
      </c>
      <c r="D1237" s="115" t="s">
        <v>3601</v>
      </c>
      <c r="E1237" s="115" t="s">
        <v>29</v>
      </c>
      <c r="F1237" s="115">
        <v>3</v>
      </c>
    </row>
    <row r="1238" spans="2:6">
      <c r="B1238" s="115" t="s">
        <v>4646</v>
      </c>
      <c r="C1238" s="115" t="s">
        <v>4647</v>
      </c>
      <c r="D1238" s="115" t="s">
        <v>3601</v>
      </c>
      <c r="E1238" s="115" t="s">
        <v>29</v>
      </c>
      <c r="F1238" s="115">
        <v>1</v>
      </c>
    </row>
    <row r="1239" spans="2:6">
      <c r="B1239" s="115" t="s">
        <v>4648</v>
      </c>
      <c r="C1239" s="115" t="s">
        <v>4649</v>
      </c>
      <c r="D1239" s="115" t="s">
        <v>3601</v>
      </c>
      <c r="E1239" s="115" t="s">
        <v>29</v>
      </c>
      <c r="F1239" s="115">
        <v>1</v>
      </c>
    </row>
    <row r="1240" spans="2:6">
      <c r="B1240" s="115" t="s">
        <v>4650</v>
      </c>
      <c r="C1240" s="115" t="s">
        <v>4651</v>
      </c>
      <c r="D1240" s="115" t="s">
        <v>3601</v>
      </c>
      <c r="E1240" s="115" t="s">
        <v>29</v>
      </c>
      <c r="F1240" s="115">
        <v>1</v>
      </c>
    </row>
    <row r="1241" spans="2:6">
      <c r="B1241" s="115" t="s">
        <v>4652</v>
      </c>
      <c r="C1241" s="115" t="s">
        <v>4653</v>
      </c>
      <c r="D1241" s="115" t="s">
        <v>3601</v>
      </c>
      <c r="E1241" s="115" t="s">
        <v>29</v>
      </c>
      <c r="F1241" s="115">
        <v>1</v>
      </c>
    </row>
    <row r="1242" spans="2:6">
      <c r="B1242" s="115" t="s">
        <v>4654</v>
      </c>
      <c r="C1242" s="115" t="s">
        <v>4655</v>
      </c>
      <c r="D1242" s="115" t="s">
        <v>3601</v>
      </c>
      <c r="E1242" s="115" t="s">
        <v>29</v>
      </c>
      <c r="F1242" s="115">
        <v>1</v>
      </c>
    </row>
    <row r="1243" spans="2:6">
      <c r="B1243" s="115" t="s">
        <v>4656</v>
      </c>
      <c r="C1243" s="115" t="s">
        <v>4657</v>
      </c>
      <c r="D1243" s="115" t="s">
        <v>3601</v>
      </c>
      <c r="E1243" s="115" t="s">
        <v>29</v>
      </c>
      <c r="F1243" s="115">
        <v>3</v>
      </c>
    </row>
    <row r="1244" spans="2:6">
      <c r="B1244" s="115" t="s">
        <v>4658</v>
      </c>
      <c r="C1244" s="115" t="s">
        <v>4659</v>
      </c>
      <c r="D1244" s="115" t="s">
        <v>3601</v>
      </c>
      <c r="E1244" s="115" t="s">
        <v>29</v>
      </c>
      <c r="F1244" s="115">
        <v>1</v>
      </c>
    </row>
    <row r="1245" spans="2:6">
      <c r="B1245" s="115" t="s">
        <v>4660</v>
      </c>
      <c r="C1245" s="115" t="s">
        <v>4661</v>
      </c>
      <c r="D1245" s="115" t="s">
        <v>3601</v>
      </c>
      <c r="E1245" s="115" t="s">
        <v>29</v>
      </c>
      <c r="F1245" s="115">
        <v>1</v>
      </c>
    </row>
    <row r="1246" spans="2:6">
      <c r="B1246" s="115" t="s">
        <v>4662</v>
      </c>
      <c r="C1246" s="115" t="s">
        <v>4663</v>
      </c>
      <c r="D1246" s="115" t="s">
        <v>3601</v>
      </c>
      <c r="E1246" s="115" t="s">
        <v>29</v>
      </c>
      <c r="F1246" s="115">
        <v>1</v>
      </c>
    </row>
    <row r="1247" spans="2:6">
      <c r="B1247" s="115" t="s">
        <v>4664</v>
      </c>
      <c r="C1247" s="115" t="s">
        <v>4665</v>
      </c>
      <c r="D1247" s="115" t="s">
        <v>3601</v>
      </c>
      <c r="E1247" s="115" t="s">
        <v>29</v>
      </c>
      <c r="F1247" s="115">
        <v>1</v>
      </c>
    </row>
    <row r="1248" spans="2:6">
      <c r="B1248" s="115" t="s">
        <v>4666</v>
      </c>
      <c r="C1248" s="115" t="s">
        <v>4667</v>
      </c>
      <c r="D1248" s="115" t="s">
        <v>3601</v>
      </c>
      <c r="E1248" s="115" t="s">
        <v>29</v>
      </c>
      <c r="F1248" s="115">
        <v>1</v>
      </c>
    </row>
    <row r="1249" spans="2:6">
      <c r="B1249" s="115" t="s">
        <v>4668</v>
      </c>
      <c r="C1249" s="115" t="s">
        <v>4669</v>
      </c>
      <c r="D1249" s="115" t="s">
        <v>3601</v>
      </c>
      <c r="E1249" s="115" t="s">
        <v>29</v>
      </c>
      <c r="F1249" s="115">
        <v>1</v>
      </c>
    </row>
    <row r="1250" spans="2:6">
      <c r="B1250" s="115" t="s">
        <v>4670</v>
      </c>
      <c r="C1250" s="115" t="s">
        <v>4671</v>
      </c>
      <c r="D1250" s="115" t="s">
        <v>3601</v>
      </c>
      <c r="E1250" s="115" t="s">
        <v>29</v>
      </c>
      <c r="F1250" s="115">
        <v>1</v>
      </c>
    </row>
    <row r="1251" spans="2:6">
      <c r="B1251" s="115" t="s">
        <v>4672</v>
      </c>
      <c r="C1251" s="115" t="s">
        <v>4673</v>
      </c>
      <c r="D1251" s="115" t="s">
        <v>3601</v>
      </c>
      <c r="E1251" s="115" t="s">
        <v>29</v>
      </c>
      <c r="F1251" s="115">
        <v>3</v>
      </c>
    </row>
    <row r="1252" spans="2:6">
      <c r="B1252" s="115" t="s">
        <v>4674</v>
      </c>
      <c r="C1252" s="115" t="s">
        <v>4675</v>
      </c>
      <c r="D1252" s="115" t="s">
        <v>3601</v>
      </c>
      <c r="E1252" s="115" t="s">
        <v>29</v>
      </c>
      <c r="F1252" s="115">
        <v>3</v>
      </c>
    </row>
    <row r="1253" spans="2:6">
      <c r="B1253" s="115" t="s">
        <v>4676</v>
      </c>
      <c r="C1253" s="115" t="s">
        <v>4677</v>
      </c>
      <c r="D1253" s="115" t="s">
        <v>3601</v>
      </c>
      <c r="E1253" s="115" t="s">
        <v>29</v>
      </c>
      <c r="F1253" s="115">
        <v>3</v>
      </c>
    </row>
    <row r="1254" spans="2:6">
      <c r="B1254" s="115" t="s">
        <v>4678</v>
      </c>
      <c r="C1254" s="115" t="s">
        <v>4679</v>
      </c>
      <c r="D1254" s="115" t="s">
        <v>3601</v>
      </c>
      <c r="E1254" s="115" t="s">
        <v>29</v>
      </c>
      <c r="F1254" s="115">
        <v>3</v>
      </c>
    </row>
    <row r="1255" spans="2:6">
      <c r="B1255" s="115" t="s">
        <v>4680</v>
      </c>
      <c r="C1255" s="115" t="s">
        <v>4681</v>
      </c>
      <c r="D1255" s="115" t="s">
        <v>3601</v>
      </c>
      <c r="E1255" s="115" t="s">
        <v>29</v>
      </c>
      <c r="F1255" s="115">
        <v>3</v>
      </c>
    </row>
    <row r="1256" spans="2:6">
      <c r="B1256" s="115" t="s">
        <v>4682</v>
      </c>
      <c r="C1256" s="115" t="s">
        <v>4683</v>
      </c>
      <c r="D1256" s="115" t="s">
        <v>3601</v>
      </c>
      <c r="E1256" s="115" t="s">
        <v>29</v>
      </c>
      <c r="F1256" s="115">
        <v>1</v>
      </c>
    </row>
    <row r="1257" spans="2:6">
      <c r="B1257" s="115" t="s">
        <v>4684</v>
      </c>
      <c r="C1257" s="115" t="s">
        <v>4685</v>
      </c>
      <c r="D1257" s="115" t="s">
        <v>3601</v>
      </c>
      <c r="E1257" s="115" t="s">
        <v>29</v>
      </c>
      <c r="F1257" s="115">
        <v>1</v>
      </c>
    </row>
    <row r="1258" spans="2:6">
      <c r="B1258" s="115" t="s">
        <v>4686</v>
      </c>
      <c r="C1258" s="115" t="s">
        <v>4687</v>
      </c>
      <c r="D1258" s="115" t="s">
        <v>3601</v>
      </c>
      <c r="E1258" s="115" t="s">
        <v>29</v>
      </c>
      <c r="F1258" s="115">
        <v>1</v>
      </c>
    </row>
    <row r="1259" spans="2:6">
      <c r="B1259" s="115" t="s">
        <v>4688</v>
      </c>
      <c r="C1259" s="115" t="s">
        <v>4689</v>
      </c>
      <c r="D1259" s="115" t="s">
        <v>3601</v>
      </c>
      <c r="E1259" s="115" t="s">
        <v>29</v>
      </c>
      <c r="F1259" s="115">
        <v>1</v>
      </c>
    </row>
    <row r="1260" spans="2:6">
      <c r="B1260" s="115" t="s">
        <v>4690</v>
      </c>
      <c r="C1260" s="115" t="s">
        <v>4691</v>
      </c>
      <c r="D1260" s="115" t="s">
        <v>3601</v>
      </c>
      <c r="E1260" s="115" t="s">
        <v>29</v>
      </c>
      <c r="F1260" s="115">
        <v>2</v>
      </c>
    </row>
    <row r="1261" spans="2:6">
      <c r="B1261" s="115" t="s">
        <v>4692</v>
      </c>
      <c r="C1261" s="115" t="s">
        <v>4693</v>
      </c>
      <c r="D1261" s="115" t="s">
        <v>3601</v>
      </c>
      <c r="E1261" s="115" t="s">
        <v>29</v>
      </c>
      <c r="F1261" s="115">
        <v>1</v>
      </c>
    </row>
    <row r="1262" spans="2:6">
      <c r="B1262" s="115" t="s">
        <v>4694</v>
      </c>
      <c r="C1262" s="115" t="s">
        <v>4695</v>
      </c>
      <c r="D1262" s="115" t="s">
        <v>3601</v>
      </c>
      <c r="E1262" s="115" t="s">
        <v>29</v>
      </c>
      <c r="F1262" s="115">
        <v>1</v>
      </c>
    </row>
    <row r="1263" spans="2:6">
      <c r="B1263" s="115" t="s">
        <v>4696</v>
      </c>
      <c r="C1263" s="115" t="s">
        <v>4697</v>
      </c>
      <c r="D1263" s="115" t="s">
        <v>3601</v>
      </c>
      <c r="E1263" s="115" t="s">
        <v>29</v>
      </c>
      <c r="F1263" s="115">
        <v>1</v>
      </c>
    </row>
    <row r="1264" spans="2:6">
      <c r="B1264" s="115" t="s">
        <v>4698</v>
      </c>
      <c r="C1264" s="115" t="s">
        <v>4699</v>
      </c>
      <c r="D1264" s="115" t="s">
        <v>3601</v>
      </c>
      <c r="E1264" s="115" t="s">
        <v>29</v>
      </c>
      <c r="F1264" s="115">
        <v>3</v>
      </c>
    </row>
    <row r="1265" spans="2:6">
      <c r="B1265" s="115" t="s">
        <v>4700</v>
      </c>
      <c r="C1265" s="115" t="s">
        <v>4701</v>
      </c>
      <c r="D1265" s="115" t="s">
        <v>3601</v>
      </c>
      <c r="E1265" s="115" t="s">
        <v>29</v>
      </c>
      <c r="F1265" s="115">
        <v>3</v>
      </c>
    </row>
    <row r="1266" spans="2:6">
      <c r="B1266" s="115" t="s">
        <v>4702</v>
      </c>
      <c r="C1266" s="115" t="s">
        <v>4703</v>
      </c>
      <c r="D1266" s="115" t="s">
        <v>3601</v>
      </c>
      <c r="E1266" s="115" t="s">
        <v>29</v>
      </c>
      <c r="F1266" s="115">
        <v>1</v>
      </c>
    </row>
    <row r="1267" spans="2:6">
      <c r="B1267" s="115" t="s">
        <v>4704</v>
      </c>
      <c r="C1267" s="115" t="s">
        <v>4705</v>
      </c>
      <c r="D1267" s="115" t="s">
        <v>3601</v>
      </c>
      <c r="E1267" s="115" t="s">
        <v>29</v>
      </c>
      <c r="F1267" s="115">
        <v>1</v>
      </c>
    </row>
    <row r="1268" spans="2:6">
      <c r="B1268" s="115" t="s">
        <v>4706</v>
      </c>
      <c r="C1268" s="115" t="s">
        <v>4707</v>
      </c>
      <c r="D1268" s="115" t="s">
        <v>3601</v>
      </c>
      <c r="E1268" s="115" t="s">
        <v>29</v>
      </c>
      <c r="F1268" s="115">
        <v>2</v>
      </c>
    </row>
    <row r="1269" spans="2:6">
      <c r="B1269" s="115" t="s">
        <v>4708</v>
      </c>
      <c r="C1269" s="115" t="s">
        <v>4709</v>
      </c>
      <c r="D1269" s="115" t="s">
        <v>3601</v>
      </c>
      <c r="E1269" s="115" t="s">
        <v>29</v>
      </c>
      <c r="F1269" s="115">
        <v>2</v>
      </c>
    </row>
    <row r="1270" spans="2:6">
      <c r="B1270" s="115" t="s">
        <v>4710</v>
      </c>
      <c r="C1270" s="115" t="s">
        <v>4711</v>
      </c>
      <c r="D1270" s="115" t="s">
        <v>3601</v>
      </c>
      <c r="E1270" s="115" t="s">
        <v>29</v>
      </c>
      <c r="F1270" s="115">
        <v>1</v>
      </c>
    </row>
    <row r="1271" spans="2:6">
      <c r="B1271" s="115" t="s">
        <v>4712</v>
      </c>
      <c r="C1271" s="115" t="s">
        <v>4713</v>
      </c>
      <c r="D1271" s="115" t="s">
        <v>3601</v>
      </c>
      <c r="E1271" s="115" t="s">
        <v>29</v>
      </c>
      <c r="F1271" s="115">
        <v>1</v>
      </c>
    </row>
    <row r="1272" spans="2:6">
      <c r="B1272" s="115" t="s">
        <v>4714</v>
      </c>
      <c r="C1272" s="115" t="s">
        <v>4715</v>
      </c>
      <c r="D1272" s="115" t="s">
        <v>3601</v>
      </c>
      <c r="E1272" s="115" t="s">
        <v>29</v>
      </c>
      <c r="F1272" s="115">
        <v>3</v>
      </c>
    </row>
    <row r="1273" spans="2:6">
      <c r="B1273" s="115" t="s">
        <v>4716</v>
      </c>
      <c r="C1273" s="115" t="s">
        <v>4717</v>
      </c>
      <c r="D1273" s="115" t="s">
        <v>3601</v>
      </c>
      <c r="E1273" s="115" t="s">
        <v>29</v>
      </c>
      <c r="F1273" s="115">
        <v>2</v>
      </c>
    </row>
    <row r="1274" spans="2:6">
      <c r="B1274" s="115" t="s">
        <v>4718</v>
      </c>
      <c r="C1274" s="115" t="s">
        <v>4719</v>
      </c>
      <c r="D1274" s="115" t="s">
        <v>3601</v>
      </c>
      <c r="E1274" s="115" t="s">
        <v>29</v>
      </c>
      <c r="F1274" s="115">
        <v>3</v>
      </c>
    </row>
    <row r="1275" spans="2:6">
      <c r="B1275" s="115" t="s">
        <v>4720</v>
      </c>
      <c r="C1275" s="115" t="s">
        <v>4721</v>
      </c>
      <c r="D1275" s="115" t="s">
        <v>3601</v>
      </c>
      <c r="E1275" s="115" t="s">
        <v>29</v>
      </c>
      <c r="F1275" s="115">
        <v>2</v>
      </c>
    </row>
    <row r="1276" spans="2:6">
      <c r="B1276" s="115" t="s">
        <v>4722</v>
      </c>
      <c r="C1276" s="115" t="s">
        <v>4723</v>
      </c>
      <c r="D1276" s="115" t="s">
        <v>3601</v>
      </c>
      <c r="E1276" s="115" t="s">
        <v>29</v>
      </c>
      <c r="F1276" s="115">
        <v>2</v>
      </c>
    </row>
    <row r="1277" spans="2:6">
      <c r="B1277" s="115" t="s">
        <v>4724</v>
      </c>
      <c r="C1277" s="115" t="s">
        <v>4725</v>
      </c>
      <c r="D1277" s="115" t="s">
        <v>3601</v>
      </c>
      <c r="E1277" s="115" t="s">
        <v>29</v>
      </c>
      <c r="F1277" s="115">
        <v>3</v>
      </c>
    </row>
    <row r="1278" spans="2:6">
      <c r="B1278" s="115" t="s">
        <v>4726</v>
      </c>
      <c r="C1278" s="115" t="s">
        <v>4727</v>
      </c>
      <c r="D1278" s="115" t="s">
        <v>3601</v>
      </c>
      <c r="E1278" s="115" t="s">
        <v>29</v>
      </c>
      <c r="F1278" s="115">
        <v>3</v>
      </c>
    </row>
    <row r="1279" spans="2:6">
      <c r="B1279" s="115" t="s">
        <v>4728</v>
      </c>
      <c r="C1279" s="115" t="s">
        <v>4729</v>
      </c>
      <c r="D1279" s="115" t="s">
        <v>3601</v>
      </c>
      <c r="E1279" s="115" t="s">
        <v>29</v>
      </c>
      <c r="F1279" s="115">
        <v>3</v>
      </c>
    </row>
    <row r="1280" spans="2:6">
      <c r="B1280" s="115" t="s">
        <v>4730</v>
      </c>
      <c r="C1280" s="115" t="s">
        <v>4731</v>
      </c>
      <c r="D1280" s="115" t="s">
        <v>3601</v>
      </c>
      <c r="E1280" s="115" t="s">
        <v>29</v>
      </c>
      <c r="F1280" s="115">
        <v>3</v>
      </c>
    </row>
    <row r="1281" spans="2:6">
      <c r="B1281" s="115" t="s">
        <v>4732</v>
      </c>
      <c r="C1281" s="115" t="s">
        <v>4733</v>
      </c>
      <c r="D1281" s="115" t="s">
        <v>3601</v>
      </c>
      <c r="E1281" s="115" t="s">
        <v>29</v>
      </c>
      <c r="F1281" s="115">
        <v>2</v>
      </c>
    </row>
    <row r="1282" spans="2:6">
      <c r="B1282" s="115" t="s">
        <v>4734</v>
      </c>
      <c r="C1282" s="115" t="s">
        <v>4735</v>
      </c>
      <c r="D1282" s="115" t="s">
        <v>3601</v>
      </c>
      <c r="E1282" s="115" t="s">
        <v>29</v>
      </c>
      <c r="F1282" s="115">
        <v>2</v>
      </c>
    </row>
    <row r="1283" spans="2:6">
      <c r="B1283" s="115" t="s">
        <v>4736</v>
      </c>
      <c r="C1283" s="115" t="s">
        <v>4737</v>
      </c>
      <c r="D1283" s="115" t="s">
        <v>3601</v>
      </c>
      <c r="E1283" s="115" t="s">
        <v>29</v>
      </c>
      <c r="F1283" s="115">
        <v>2</v>
      </c>
    </row>
    <row r="1284" spans="2:6">
      <c r="B1284" s="115" t="s">
        <v>4738</v>
      </c>
      <c r="C1284" s="115" t="s">
        <v>4739</v>
      </c>
      <c r="D1284" s="115" t="s">
        <v>3601</v>
      </c>
      <c r="E1284" s="115" t="s">
        <v>29</v>
      </c>
      <c r="F1284" s="115">
        <v>3</v>
      </c>
    </row>
    <row r="1285" spans="2:6">
      <c r="B1285" s="115" t="s">
        <v>4740</v>
      </c>
      <c r="C1285" s="115" t="s">
        <v>4741</v>
      </c>
      <c r="D1285" s="115" t="s">
        <v>3601</v>
      </c>
      <c r="E1285" s="115" t="s">
        <v>29</v>
      </c>
      <c r="F1285" s="115">
        <v>3</v>
      </c>
    </row>
    <row r="1286" spans="2:6">
      <c r="B1286" s="115" t="s">
        <v>4742</v>
      </c>
      <c r="C1286" s="115" t="s">
        <v>4743</v>
      </c>
      <c r="D1286" s="115" t="s">
        <v>3601</v>
      </c>
      <c r="E1286" s="115" t="s">
        <v>29</v>
      </c>
      <c r="F1286" s="115">
        <v>1</v>
      </c>
    </row>
    <row r="1287" spans="2:6">
      <c r="B1287" s="115" t="s">
        <v>4744</v>
      </c>
      <c r="C1287" s="115" t="s">
        <v>4745</v>
      </c>
      <c r="D1287" s="115" t="s">
        <v>3601</v>
      </c>
      <c r="E1287" s="115" t="s">
        <v>29</v>
      </c>
      <c r="F1287" s="115">
        <v>2</v>
      </c>
    </row>
    <row r="1288" spans="2:6">
      <c r="B1288" s="115" t="s">
        <v>4746</v>
      </c>
      <c r="C1288" s="115" t="s">
        <v>4747</v>
      </c>
      <c r="D1288" s="115" t="s">
        <v>3601</v>
      </c>
      <c r="E1288" s="115" t="s">
        <v>29</v>
      </c>
      <c r="F1288" s="115">
        <v>1</v>
      </c>
    </row>
    <row r="1289" spans="2:6">
      <c r="B1289" s="115" t="s">
        <v>4748</v>
      </c>
      <c r="C1289" s="115" t="s">
        <v>4749</v>
      </c>
      <c r="D1289" s="115" t="s">
        <v>3601</v>
      </c>
      <c r="E1289" s="115" t="s">
        <v>29</v>
      </c>
      <c r="F1289" s="115">
        <v>1</v>
      </c>
    </row>
    <row r="1290" spans="2:6">
      <c r="B1290" s="115" t="s">
        <v>4750</v>
      </c>
      <c r="C1290" s="115" t="s">
        <v>4751</v>
      </c>
      <c r="D1290" s="115" t="s">
        <v>3601</v>
      </c>
      <c r="E1290" s="115" t="s">
        <v>29</v>
      </c>
      <c r="F1290" s="115">
        <v>3</v>
      </c>
    </row>
    <row r="1291" spans="2:6">
      <c r="B1291" s="115" t="s">
        <v>4752</v>
      </c>
      <c r="C1291" s="115" t="s">
        <v>4753</v>
      </c>
      <c r="D1291" s="115" t="s">
        <v>3601</v>
      </c>
      <c r="E1291" s="115" t="s">
        <v>29</v>
      </c>
      <c r="F1291" s="115">
        <v>3</v>
      </c>
    </row>
    <row r="1292" spans="2:6">
      <c r="B1292" s="115" t="s">
        <v>4754</v>
      </c>
      <c r="C1292" s="115" t="s">
        <v>4755</v>
      </c>
      <c r="D1292" s="115" t="s">
        <v>3601</v>
      </c>
      <c r="E1292" s="115" t="s">
        <v>29</v>
      </c>
      <c r="F1292" s="115">
        <v>3</v>
      </c>
    </row>
    <row r="1293" spans="2:6">
      <c r="B1293" s="115" t="s">
        <v>4756</v>
      </c>
      <c r="C1293" s="115" t="s">
        <v>4757</v>
      </c>
      <c r="D1293" s="115" t="s">
        <v>3601</v>
      </c>
      <c r="E1293" s="115" t="s">
        <v>29</v>
      </c>
      <c r="F1293" s="115">
        <v>1</v>
      </c>
    </row>
    <row r="1294" spans="2:6">
      <c r="B1294" s="115" t="s">
        <v>4758</v>
      </c>
      <c r="C1294" s="115" t="s">
        <v>4759</v>
      </c>
      <c r="D1294" s="115" t="s">
        <v>3601</v>
      </c>
      <c r="E1294" s="115" t="s">
        <v>29</v>
      </c>
      <c r="F1294" s="115">
        <v>1</v>
      </c>
    </row>
    <row r="1295" spans="2:6">
      <c r="B1295" s="115" t="s">
        <v>4760</v>
      </c>
      <c r="C1295" s="115" t="s">
        <v>4761</v>
      </c>
      <c r="D1295" s="115" t="s">
        <v>3601</v>
      </c>
      <c r="E1295" s="115" t="s">
        <v>29</v>
      </c>
      <c r="F1295" s="115">
        <v>2</v>
      </c>
    </row>
    <row r="1296" spans="2:6">
      <c r="B1296" s="115" t="s">
        <v>4762</v>
      </c>
      <c r="C1296" s="115" t="s">
        <v>4763</v>
      </c>
      <c r="D1296" s="115" t="s">
        <v>3601</v>
      </c>
      <c r="E1296" s="115" t="s">
        <v>29</v>
      </c>
      <c r="F1296" s="115">
        <v>1</v>
      </c>
    </row>
    <row r="1297" spans="2:6">
      <c r="B1297" s="115" t="s">
        <v>4764</v>
      </c>
      <c r="C1297" s="115" t="s">
        <v>4765</v>
      </c>
      <c r="D1297" s="115" t="s">
        <v>3601</v>
      </c>
      <c r="E1297" s="115" t="s">
        <v>29</v>
      </c>
      <c r="F1297" s="115">
        <v>3</v>
      </c>
    </row>
    <row r="1298" spans="2:6">
      <c r="B1298" s="115" t="s">
        <v>4766</v>
      </c>
      <c r="C1298" s="115" t="s">
        <v>4767</v>
      </c>
      <c r="D1298" s="115" t="s">
        <v>3601</v>
      </c>
      <c r="E1298" s="115" t="s">
        <v>29</v>
      </c>
      <c r="F1298" s="115">
        <v>3</v>
      </c>
    </row>
    <row r="1299" spans="2:6">
      <c r="B1299" s="115" t="s">
        <v>4768</v>
      </c>
      <c r="C1299" s="115" t="s">
        <v>4769</v>
      </c>
      <c r="D1299" s="115" t="s">
        <v>3601</v>
      </c>
      <c r="E1299" s="115" t="s">
        <v>29</v>
      </c>
      <c r="F1299" s="115">
        <v>3</v>
      </c>
    </row>
    <row r="1300" spans="2:6">
      <c r="B1300" s="115" t="s">
        <v>4770</v>
      </c>
      <c r="C1300" s="115" t="s">
        <v>4771</v>
      </c>
      <c r="D1300" s="115" t="s">
        <v>3601</v>
      </c>
      <c r="E1300" s="115" t="s">
        <v>29</v>
      </c>
      <c r="F1300" s="115">
        <v>1</v>
      </c>
    </row>
    <row r="1301" spans="2:6">
      <c r="B1301" s="115" t="s">
        <v>4772</v>
      </c>
      <c r="C1301" s="115" t="s">
        <v>4773</v>
      </c>
      <c r="D1301" s="115" t="s">
        <v>3601</v>
      </c>
      <c r="E1301" s="115" t="s">
        <v>29</v>
      </c>
      <c r="F1301" s="115">
        <v>3</v>
      </c>
    </row>
    <row r="1302" spans="2:6">
      <c r="B1302" s="115" t="s">
        <v>4774</v>
      </c>
      <c r="C1302" s="115" t="s">
        <v>4775</v>
      </c>
      <c r="D1302" s="115" t="s">
        <v>3601</v>
      </c>
      <c r="E1302" s="115" t="s">
        <v>29</v>
      </c>
      <c r="F1302" s="115">
        <v>3</v>
      </c>
    </row>
    <row r="1303" spans="2:6">
      <c r="B1303" s="115" t="s">
        <v>4776</v>
      </c>
      <c r="C1303" s="115" t="s">
        <v>4777</v>
      </c>
      <c r="D1303" s="115" t="s">
        <v>3601</v>
      </c>
      <c r="E1303" s="115" t="s">
        <v>29</v>
      </c>
      <c r="F1303" s="115">
        <v>3</v>
      </c>
    </row>
    <row r="1304" spans="2:6">
      <c r="B1304" s="115" t="s">
        <v>4778</v>
      </c>
      <c r="C1304" s="115" t="s">
        <v>4779</v>
      </c>
      <c r="D1304" s="115" t="s">
        <v>3601</v>
      </c>
      <c r="E1304" s="115" t="s">
        <v>29</v>
      </c>
      <c r="F1304" s="115">
        <v>3</v>
      </c>
    </row>
    <row r="1305" spans="2:6">
      <c r="B1305" s="115" t="s">
        <v>4780</v>
      </c>
      <c r="C1305" s="115" t="s">
        <v>4781</v>
      </c>
      <c r="D1305" s="115" t="s">
        <v>3601</v>
      </c>
      <c r="E1305" s="115" t="s">
        <v>29</v>
      </c>
      <c r="F1305" s="115">
        <v>3</v>
      </c>
    </row>
    <row r="1306" spans="2:6">
      <c r="B1306" s="115" t="s">
        <v>4782</v>
      </c>
      <c r="C1306" s="115" t="s">
        <v>4783</v>
      </c>
      <c r="D1306" s="115" t="s">
        <v>3601</v>
      </c>
      <c r="E1306" s="115" t="s">
        <v>29</v>
      </c>
      <c r="F1306" s="115">
        <v>3</v>
      </c>
    </row>
    <row r="1307" spans="2:6">
      <c r="B1307" s="115" t="s">
        <v>4784</v>
      </c>
      <c r="C1307" s="115" t="s">
        <v>4785</v>
      </c>
      <c r="D1307" s="115" t="s">
        <v>3601</v>
      </c>
      <c r="E1307" s="115" t="s">
        <v>29</v>
      </c>
      <c r="F1307" s="115">
        <v>3</v>
      </c>
    </row>
    <row r="1308" spans="2:6">
      <c r="B1308" s="115" t="s">
        <v>4786</v>
      </c>
      <c r="C1308" s="115" t="s">
        <v>4787</v>
      </c>
      <c r="D1308" s="115" t="s">
        <v>3601</v>
      </c>
      <c r="E1308" s="115" t="s">
        <v>29</v>
      </c>
      <c r="F1308" s="115">
        <v>3</v>
      </c>
    </row>
    <row r="1309" spans="2:6">
      <c r="B1309" s="115" t="s">
        <v>4788</v>
      </c>
      <c r="C1309" s="115" t="s">
        <v>4789</v>
      </c>
      <c r="D1309" s="115" t="s">
        <v>3601</v>
      </c>
      <c r="E1309" s="115" t="s">
        <v>29</v>
      </c>
      <c r="F1309" s="115">
        <v>3</v>
      </c>
    </row>
    <row r="1310" spans="2:6">
      <c r="B1310" s="115" t="s">
        <v>4790</v>
      </c>
      <c r="C1310" s="115" t="s">
        <v>4791</v>
      </c>
      <c r="D1310" s="115" t="s">
        <v>3601</v>
      </c>
      <c r="E1310" s="115" t="s">
        <v>29</v>
      </c>
      <c r="F1310" s="115">
        <v>3</v>
      </c>
    </row>
    <row r="1311" spans="2:6">
      <c r="B1311" s="115" t="s">
        <v>4792</v>
      </c>
      <c r="C1311" s="115" t="s">
        <v>4793</v>
      </c>
      <c r="D1311" s="115" t="s">
        <v>3601</v>
      </c>
      <c r="E1311" s="115" t="s">
        <v>29</v>
      </c>
      <c r="F1311" s="115">
        <v>3</v>
      </c>
    </row>
    <row r="1312" spans="2:6">
      <c r="B1312" s="115" t="s">
        <v>4794</v>
      </c>
      <c r="C1312" s="115" t="s">
        <v>4795</v>
      </c>
      <c r="D1312" s="115" t="s">
        <v>3601</v>
      </c>
      <c r="E1312" s="115" t="s">
        <v>29</v>
      </c>
      <c r="F1312" s="115">
        <v>1</v>
      </c>
    </row>
    <row r="1313" spans="2:6">
      <c r="B1313" s="115" t="s">
        <v>4796</v>
      </c>
      <c r="C1313" s="115" t="s">
        <v>4797</v>
      </c>
      <c r="D1313" s="115" t="s">
        <v>3601</v>
      </c>
      <c r="E1313" s="115" t="s">
        <v>29</v>
      </c>
      <c r="F1313" s="115">
        <v>3</v>
      </c>
    </row>
    <row r="1314" spans="2:6">
      <c r="B1314" s="115" t="s">
        <v>4798</v>
      </c>
      <c r="C1314" s="115" t="s">
        <v>4799</v>
      </c>
      <c r="D1314" s="115" t="s">
        <v>3601</v>
      </c>
      <c r="E1314" s="115" t="s">
        <v>29</v>
      </c>
      <c r="F1314" s="115">
        <v>3</v>
      </c>
    </row>
    <row r="1315" spans="2:6">
      <c r="B1315" s="115" t="s">
        <v>4800</v>
      </c>
      <c r="C1315" s="115" t="s">
        <v>4801</v>
      </c>
      <c r="D1315" s="115" t="s">
        <v>3601</v>
      </c>
      <c r="E1315" s="115" t="s">
        <v>29</v>
      </c>
      <c r="F1315" s="115">
        <v>3</v>
      </c>
    </row>
    <row r="1316" spans="2:6">
      <c r="B1316" s="115" t="s">
        <v>4802</v>
      </c>
      <c r="C1316" s="115" t="s">
        <v>4803</v>
      </c>
      <c r="D1316" s="115" t="s">
        <v>3601</v>
      </c>
      <c r="E1316" s="115" t="s">
        <v>29</v>
      </c>
      <c r="F1316" s="115">
        <v>1</v>
      </c>
    </row>
    <row r="1317" spans="2:6">
      <c r="B1317" s="115" t="s">
        <v>4804</v>
      </c>
      <c r="C1317" s="115" t="s">
        <v>4805</v>
      </c>
      <c r="D1317" s="115" t="s">
        <v>3601</v>
      </c>
      <c r="E1317" s="115" t="s">
        <v>29</v>
      </c>
      <c r="F1317" s="115">
        <v>1</v>
      </c>
    </row>
    <row r="1318" spans="2:6">
      <c r="B1318" s="115" t="s">
        <v>4806</v>
      </c>
      <c r="C1318" s="115" t="s">
        <v>4807</v>
      </c>
      <c r="D1318" s="115" t="s">
        <v>3601</v>
      </c>
      <c r="E1318" s="115" t="s">
        <v>29</v>
      </c>
      <c r="F1318" s="115">
        <v>2</v>
      </c>
    </row>
    <row r="1319" spans="2:6">
      <c r="B1319" s="115" t="s">
        <v>4808</v>
      </c>
      <c r="C1319" s="115" t="s">
        <v>4809</v>
      </c>
      <c r="D1319" s="115" t="s">
        <v>3601</v>
      </c>
      <c r="E1319" s="115" t="s">
        <v>29</v>
      </c>
      <c r="F1319" s="115">
        <v>1</v>
      </c>
    </row>
    <row r="1320" spans="2:6">
      <c r="B1320" s="115" t="s">
        <v>4810</v>
      </c>
      <c r="C1320" s="115" t="s">
        <v>4811</v>
      </c>
      <c r="D1320" s="115" t="s">
        <v>3601</v>
      </c>
      <c r="E1320" s="115" t="s">
        <v>29</v>
      </c>
      <c r="F1320" s="115">
        <v>2</v>
      </c>
    </row>
    <row r="1321" spans="2:6">
      <c r="B1321" s="115" t="s">
        <v>4812</v>
      </c>
      <c r="C1321" s="115" t="s">
        <v>4813</v>
      </c>
      <c r="D1321" s="115" t="s">
        <v>3601</v>
      </c>
      <c r="E1321" s="115" t="s">
        <v>29</v>
      </c>
      <c r="F1321" s="115">
        <v>3</v>
      </c>
    </row>
    <row r="1322" spans="2:6">
      <c r="B1322" s="115" t="s">
        <v>4814</v>
      </c>
      <c r="C1322" s="115" t="s">
        <v>4815</v>
      </c>
      <c r="D1322" s="115" t="s">
        <v>3601</v>
      </c>
      <c r="E1322" s="115" t="s">
        <v>29</v>
      </c>
      <c r="F1322" s="115">
        <v>1</v>
      </c>
    </row>
    <row r="1323" spans="2:6">
      <c r="B1323" s="115" t="s">
        <v>4816</v>
      </c>
      <c r="C1323" s="115" t="s">
        <v>4817</v>
      </c>
      <c r="D1323" s="115" t="s">
        <v>3601</v>
      </c>
      <c r="E1323" s="115" t="s">
        <v>29</v>
      </c>
      <c r="F1323" s="115">
        <v>3</v>
      </c>
    </row>
    <row r="1324" spans="2:6">
      <c r="B1324" s="115" t="s">
        <v>4818</v>
      </c>
      <c r="C1324" s="115" t="s">
        <v>4819</v>
      </c>
      <c r="D1324" s="115" t="s">
        <v>3601</v>
      </c>
      <c r="E1324" s="115" t="s">
        <v>29</v>
      </c>
      <c r="F1324" s="115">
        <v>1</v>
      </c>
    </row>
    <row r="1325" spans="2:6">
      <c r="B1325" s="115" t="s">
        <v>4820</v>
      </c>
      <c r="C1325" s="115" t="s">
        <v>4821</v>
      </c>
      <c r="D1325" s="115" t="s">
        <v>3601</v>
      </c>
      <c r="E1325" s="115" t="s">
        <v>29</v>
      </c>
      <c r="F1325" s="115">
        <v>1</v>
      </c>
    </row>
    <row r="1326" spans="2:6">
      <c r="B1326" s="115" t="s">
        <v>4822</v>
      </c>
      <c r="C1326" s="115" t="s">
        <v>4823</v>
      </c>
      <c r="D1326" s="115" t="s">
        <v>3601</v>
      </c>
      <c r="E1326" s="115" t="s">
        <v>29</v>
      </c>
      <c r="F1326" s="115">
        <v>2</v>
      </c>
    </row>
    <row r="1327" spans="2:6">
      <c r="B1327" s="115" t="s">
        <v>4824</v>
      </c>
      <c r="C1327" s="115" t="s">
        <v>4825</v>
      </c>
      <c r="D1327" s="115" t="s">
        <v>3601</v>
      </c>
      <c r="E1327" s="115" t="s">
        <v>29</v>
      </c>
      <c r="F1327" s="115">
        <v>2</v>
      </c>
    </row>
    <row r="1328" spans="2:6">
      <c r="B1328" s="115" t="s">
        <v>4826</v>
      </c>
      <c r="C1328" s="115" t="s">
        <v>4827</v>
      </c>
      <c r="D1328" s="115" t="s">
        <v>3601</v>
      </c>
      <c r="E1328" s="115" t="s">
        <v>29</v>
      </c>
      <c r="F1328" s="115">
        <v>3</v>
      </c>
    </row>
    <row r="1329" spans="2:6">
      <c r="B1329" s="115" t="s">
        <v>4828</v>
      </c>
      <c r="C1329" s="115" t="s">
        <v>4829</v>
      </c>
      <c r="D1329" s="115" t="s">
        <v>3601</v>
      </c>
      <c r="E1329" s="115" t="s">
        <v>29</v>
      </c>
      <c r="F1329" s="115">
        <v>1</v>
      </c>
    </row>
    <row r="1330" spans="2:6">
      <c r="B1330" s="115" t="s">
        <v>4830</v>
      </c>
      <c r="C1330" s="115" t="s">
        <v>4831</v>
      </c>
      <c r="D1330" s="115" t="s">
        <v>3601</v>
      </c>
      <c r="E1330" s="115" t="s">
        <v>29</v>
      </c>
      <c r="F1330" s="115">
        <v>3</v>
      </c>
    </row>
    <row r="1331" spans="2:6">
      <c r="B1331" s="115" t="s">
        <v>4832</v>
      </c>
      <c r="C1331" s="115" t="s">
        <v>4833</v>
      </c>
      <c r="D1331" s="115" t="s">
        <v>3601</v>
      </c>
      <c r="E1331" s="115" t="s">
        <v>29</v>
      </c>
      <c r="F1331" s="115">
        <v>3</v>
      </c>
    </row>
    <row r="1332" spans="2:6">
      <c r="B1332" s="115" t="s">
        <v>4834</v>
      </c>
      <c r="C1332" s="115" t="s">
        <v>4835</v>
      </c>
      <c r="D1332" s="115" t="s">
        <v>3601</v>
      </c>
      <c r="E1332" s="115" t="s">
        <v>29</v>
      </c>
      <c r="F1332" s="115">
        <v>1</v>
      </c>
    </row>
    <row r="1333" spans="2:6">
      <c r="B1333" s="115" t="s">
        <v>4836</v>
      </c>
      <c r="C1333" s="115" t="s">
        <v>4837</v>
      </c>
      <c r="D1333" s="115" t="s">
        <v>3601</v>
      </c>
      <c r="E1333" s="115" t="s">
        <v>29</v>
      </c>
      <c r="F1333" s="115">
        <v>3</v>
      </c>
    </row>
    <row r="1334" spans="2:6">
      <c r="B1334" s="115" t="s">
        <v>4838</v>
      </c>
      <c r="C1334" s="115" t="s">
        <v>4839</v>
      </c>
      <c r="D1334" s="115" t="s">
        <v>3601</v>
      </c>
      <c r="E1334" s="115" t="s">
        <v>29</v>
      </c>
      <c r="F1334" s="115">
        <v>3</v>
      </c>
    </row>
    <row r="1335" spans="2:6">
      <c r="B1335" s="115" t="s">
        <v>4840</v>
      </c>
      <c r="C1335" s="115" t="s">
        <v>4841</v>
      </c>
      <c r="D1335" s="115" t="s">
        <v>3601</v>
      </c>
      <c r="E1335" s="115" t="s">
        <v>29</v>
      </c>
      <c r="F1335" s="115">
        <v>1</v>
      </c>
    </row>
    <row r="1336" spans="2:6">
      <c r="B1336" s="115" t="s">
        <v>4842</v>
      </c>
      <c r="C1336" s="115" t="s">
        <v>4843</v>
      </c>
      <c r="D1336" s="115" t="s">
        <v>3601</v>
      </c>
      <c r="E1336" s="115" t="s">
        <v>29</v>
      </c>
      <c r="F1336" s="115">
        <v>3</v>
      </c>
    </row>
    <row r="1337" spans="2:6">
      <c r="B1337" s="115" t="s">
        <v>4844</v>
      </c>
      <c r="C1337" s="115" t="s">
        <v>4845</v>
      </c>
      <c r="D1337" s="115" t="s">
        <v>3601</v>
      </c>
      <c r="E1337" s="115" t="s">
        <v>29</v>
      </c>
      <c r="F1337" s="115">
        <v>1</v>
      </c>
    </row>
    <row r="1338" spans="2:6">
      <c r="B1338" s="115" t="s">
        <v>4846</v>
      </c>
      <c r="C1338" s="115" t="s">
        <v>4847</v>
      </c>
      <c r="D1338" s="115" t="s">
        <v>3601</v>
      </c>
      <c r="E1338" s="115" t="s">
        <v>29</v>
      </c>
      <c r="F1338" s="115">
        <v>3</v>
      </c>
    </row>
    <row r="1339" spans="2:6">
      <c r="B1339" s="115" t="s">
        <v>4848</v>
      </c>
      <c r="C1339" s="115" t="s">
        <v>4849</v>
      </c>
      <c r="D1339" s="115" t="s">
        <v>3601</v>
      </c>
      <c r="E1339" s="115" t="s">
        <v>29</v>
      </c>
      <c r="F1339" s="115">
        <v>2</v>
      </c>
    </row>
    <row r="1340" spans="2:6">
      <c r="B1340" s="115" t="s">
        <v>4850</v>
      </c>
      <c r="C1340" s="115" t="s">
        <v>4851</v>
      </c>
      <c r="D1340" s="115" t="s">
        <v>3601</v>
      </c>
      <c r="E1340" s="115" t="s">
        <v>29</v>
      </c>
      <c r="F1340" s="115">
        <v>3</v>
      </c>
    </row>
    <row r="1341" spans="2:6">
      <c r="B1341" s="115" t="s">
        <v>4852</v>
      </c>
      <c r="C1341" s="115" t="s">
        <v>4853</v>
      </c>
      <c r="D1341" s="115" t="s">
        <v>3601</v>
      </c>
      <c r="E1341" s="115" t="s">
        <v>29</v>
      </c>
      <c r="F1341" s="115">
        <v>1</v>
      </c>
    </row>
    <row r="1342" spans="2:6">
      <c r="B1342" s="115" t="s">
        <v>4854</v>
      </c>
      <c r="C1342" s="115" t="s">
        <v>4855</v>
      </c>
      <c r="D1342" s="115" t="s">
        <v>3601</v>
      </c>
      <c r="E1342" s="115" t="s">
        <v>29</v>
      </c>
      <c r="F1342" s="115">
        <v>2</v>
      </c>
    </row>
    <row r="1343" spans="2:6">
      <c r="B1343" s="115" t="s">
        <v>4856</v>
      </c>
      <c r="C1343" s="115" t="s">
        <v>4857</v>
      </c>
      <c r="D1343" s="115" t="s">
        <v>3601</v>
      </c>
      <c r="E1343" s="115" t="s">
        <v>29</v>
      </c>
      <c r="F1343" s="115">
        <v>3</v>
      </c>
    </row>
    <row r="1344" spans="2:6">
      <c r="B1344" s="115" t="s">
        <v>4858</v>
      </c>
      <c r="C1344" s="115" t="s">
        <v>4859</v>
      </c>
      <c r="D1344" s="115" t="s">
        <v>3601</v>
      </c>
      <c r="E1344" s="115" t="s">
        <v>29</v>
      </c>
      <c r="F1344" s="115">
        <v>3</v>
      </c>
    </row>
    <row r="1345" spans="2:6">
      <c r="B1345" s="115" t="s">
        <v>4860</v>
      </c>
      <c r="C1345" s="115" t="s">
        <v>4861</v>
      </c>
      <c r="D1345" s="115" t="s">
        <v>3601</v>
      </c>
      <c r="E1345" s="115" t="s">
        <v>29</v>
      </c>
      <c r="F1345" s="115">
        <v>1</v>
      </c>
    </row>
    <row r="1346" spans="2:6">
      <c r="B1346" s="115" t="s">
        <v>4862</v>
      </c>
      <c r="C1346" s="115" t="s">
        <v>4863</v>
      </c>
      <c r="D1346" s="115" t="s">
        <v>3601</v>
      </c>
      <c r="E1346" s="115" t="s">
        <v>29</v>
      </c>
      <c r="F1346" s="115">
        <v>1</v>
      </c>
    </row>
    <row r="1347" spans="2:6">
      <c r="B1347" s="115" t="s">
        <v>4864</v>
      </c>
      <c r="C1347" s="115" t="s">
        <v>4865</v>
      </c>
      <c r="D1347" s="115" t="s">
        <v>3601</v>
      </c>
      <c r="E1347" s="115" t="s">
        <v>29</v>
      </c>
      <c r="F1347" s="115">
        <v>1</v>
      </c>
    </row>
    <row r="1348" spans="2:6">
      <c r="B1348" s="115" t="s">
        <v>4866</v>
      </c>
      <c r="C1348" s="115" t="s">
        <v>4867</v>
      </c>
      <c r="D1348" s="115" t="s">
        <v>3601</v>
      </c>
      <c r="E1348" s="115" t="s">
        <v>29</v>
      </c>
      <c r="F1348" s="115">
        <v>3</v>
      </c>
    </row>
    <row r="1349" spans="2:6">
      <c r="B1349" s="115" t="s">
        <v>4868</v>
      </c>
      <c r="C1349" s="115" t="s">
        <v>4869</v>
      </c>
      <c r="D1349" s="115" t="s">
        <v>3601</v>
      </c>
      <c r="E1349" s="115" t="s">
        <v>29</v>
      </c>
      <c r="F1349" s="115">
        <v>2</v>
      </c>
    </row>
    <row r="1350" spans="2:6">
      <c r="B1350" s="115" t="s">
        <v>4870</v>
      </c>
      <c r="C1350" s="115" t="s">
        <v>4871</v>
      </c>
      <c r="D1350" s="115" t="s">
        <v>3601</v>
      </c>
      <c r="E1350" s="115" t="s">
        <v>29</v>
      </c>
      <c r="F1350" s="115">
        <v>2</v>
      </c>
    </row>
    <row r="1351" spans="2:6">
      <c r="B1351" s="115" t="s">
        <v>4872</v>
      </c>
      <c r="C1351" s="115" t="s">
        <v>4873</v>
      </c>
      <c r="D1351" s="115" t="s">
        <v>3601</v>
      </c>
      <c r="E1351" s="115" t="s">
        <v>29</v>
      </c>
      <c r="F1351" s="115">
        <v>3</v>
      </c>
    </row>
    <row r="1352" spans="2:6">
      <c r="B1352" s="115" t="s">
        <v>4874</v>
      </c>
      <c r="C1352" s="115" t="s">
        <v>4875</v>
      </c>
      <c r="D1352" s="115" t="s">
        <v>3601</v>
      </c>
      <c r="E1352" s="115" t="s">
        <v>29</v>
      </c>
      <c r="F1352" s="115">
        <v>3</v>
      </c>
    </row>
    <row r="1353" spans="2:6">
      <c r="B1353" s="115" t="s">
        <v>4876</v>
      </c>
      <c r="C1353" s="115" t="s">
        <v>4877</v>
      </c>
      <c r="D1353" s="115" t="s">
        <v>3601</v>
      </c>
      <c r="E1353" s="115" t="s">
        <v>29</v>
      </c>
      <c r="F1353" s="115">
        <v>1</v>
      </c>
    </row>
    <row r="1354" spans="2:6">
      <c r="B1354" s="115" t="s">
        <v>4878</v>
      </c>
      <c r="C1354" s="115" t="s">
        <v>4879</v>
      </c>
      <c r="D1354" s="115" t="s">
        <v>3601</v>
      </c>
      <c r="E1354" s="115" t="s">
        <v>29</v>
      </c>
      <c r="F1354" s="115">
        <v>3</v>
      </c>
    </row>
    <row r="1355" spans="2:6">
      <c r="B1355" s="115" t="s">
        <v>4880</v>
      </c>
      <c r="C1355" s="115" t="s">
        <v>4881</v>
      </c>
      <c r="D1355" s="115" t="s">
        <v>3601</v>
      </c>
      <c r="E1355" s="115" t="s">
        <v>29</v>
      </c>
      <c r="F1355" s="115">
        <v>3</v>
      </c>
    </row>
    <row r="1356" spans="2:6">
      <c r="B1356" s="115" t="s">
        <v>4882</v>
      </c>
      <c r="C1356" s="115" t="s">
        <v>4883</v>
      </c>
      <c r="D1356" s="115" t="s">
        <v>3601</v>
      </c>
      <c r="E1356" s="115" t="s">
        <v>29</v>
      </c>
      <c r="F1356" s="115">
        <v>2</v>
      </c>
    </row>
    <row r="1357" spans="2:6">
      <c r="B1357" s="115" t="s">
        <v>4884</v>
      </c>
      <c r="C1357" s="115" t="s">
        <v>4885</v>
      </c>
      <c r="D1357" s="115" t="s">
        <v>3601</v>
      </c>
      <c r="E1357" s="115" t="s">
        <v>29</v>
      </c>
      <c r="F1357" s="115">
        <v>1</v>
      </c>
    </row>
    <row r="1358" spans="2:6">
      <c r="B1358" s="115" t="s">
        <v>4886</v>
      </c>
      <c r="C1358" s="115" t="s">
        <v>4887</v>
      </c>
      <c r="D1358" s="115" t="s">
        <v>3601</v>
      </c>
      <c r="E1358" s="115" t="s">
        <v>29</v>
      </c>
      <c r="F1358" s="115">
        <v>1</v>
      </c>
    </row>
    <row r="1359" spans="2:6">
      <c r="B1359" s="115" t="s">
        <v>4888</v>
      </c>
      <c r="C1359" s="115" t="s">
        <v>4889</v>
      </c>
      <c r="D1359" s="115" t="s">
        <v>3601</v>
      </c>
      <c r="E1359" s="115" t="s">
        <v>29</v>
      </c>
      <c r="F1359" s="115">
        <v>3</v>
      </c>
    </row>
    <row r="1360" spans="2:6">
      <c r="B1360" s="115" t="s">
        <v>4890</v>
      </c>
      <c r="C1360" s="115" t="s">
        <v>4891</v>
      </c>
      <c r="D1360" s="115" t="s">
        <v>3601</v>
      </c>
      <c r="E1360" s="115" t="s">
        <v>29</v>
      </c>
      <c r="F1360" s="115">
        <v>1</v>
      </c>
    </row>
    <row r="1361" spans="2:6">
      <c r="B1361" s="115" t="s">
        <v>4892</v>
      </c>
      <c r="C1361" s="115" t="s">
        <v>4893</v>
      </c>
      <c r="D1361" s="115" t="s">
        <v>3601</v>
      </c>
      <c r="E1361" s="115" t="s">
        <v>29</v>
      </c>
      <c r="F1361" s="115">
        <v>1</v>
      </c>
    </row>
    <row r="1362" spans="2:6">
      <c r="B1362" s="115" t="s">
        <v>4894</v>
      </c>
      <c r="C1362" s="115" t="s">
        <v>4895</v>
      </c>
      <c r="D1362" s="115" t="s">
        <v>3601</v>
      </c>
      <c r="E1362" s="115" t="s">
        <v>29</v>
      </c>
      <c r="F1362" s="115">
        <v>2</v>
      </c>
    </row>
    <row r="1363" spans="2:6">
      <c r="B1363" s="115" t="s">
        <v>4896</v>
      </c>
      <c r="C1363" s="115" t="s">
        <v>4897</v>
      </c>
      <c r="D1363" s="115" t="s">
        <v>3601</v>
      </c>
      <c r="E1363" s="115" t="s">
        <v>29</v>
      </c>
      <c r="F1363" s="115">
        <v>3</v>
      </c>
    </row>
    <row r="1364" spans="2:6">
      <c r="B1364" s="115" t="s">
        <v>4898</v>
      </c>
      <c r="C1364" s="115" t="s">
        <v>4899</v>
      </c>
      <c r="D1364" s="115" t="s">
        <v>3601</v>
      </c>
      <c r="E1364" s="115" t="s">
        <v>29</v>
      </c>
      <c r="F1364" s="115">
        <v>2</v>
      </c>
    </row>
    <row r="1365" spans="2:6">
      <c r="B1365" s="115" t="s">
        <v>4900</v>
      </c>
      <c r="C1365" s="115" t="s">
        <v>4901</v>
      </c>
      <c r="D1365" s="115" t="s">
        <v>3601</v>
      </c>
      <c r="E1365" s="115" t="s">
        <v>29</v>
      </c>
      <c r="F1365" s="115">
        <v>2</v>
      </c>
    </row>
    <row r="1366" spans="2:6">
      <c r="B1366" s="115" t="s">
        <v>4902</v>
      </c>
      <c r="C1366" s="115" t="s">
        <v>4903</v>
      </c>
      <c r="D1366" s="115" t="s">
        <v>3601</v>
      </c>
      <c r="E1366" s="115" t="s">
        <v>29</v>
      </c>
      <c r="F1366" s="115">
        <v>1</v>
      </c>
    </row>
    <row r="1367" spans="2:6">
      <c r="B1367" s="115" t="s">
        <v>4904</v>
      </c>
      <c r="C1367" s="115" t="s">
        <v>4905</v>
      </c>
      <c r="D1367" s="115" t="s">
        <v>3601</v>
      </c>
      <c r="E1367" s="115" t="s">
        <v>29</v>
      </c>
      <c r="F1367" s="115">
        <v>1</v>
      </c>
    </row>
    <row r="1368" spans="2:6">
      <c r="B1368" s="115" t="s">
        <v>4906</v>
      </c>
      <c r="C1368" s="115" t="s">
        <v>4907</v>
      </c>
      <c r="D1368" s="115" t="s">
        <v>3601</v>
      </c>
      <c r="E1368" s="115" t="s">
        <v>29</v>
      </c>
      <c r="F1368" s="115">
        <v>2</v>
      </c>
    </row>
    <row r="1369" spans="2:6">
      <c r="B1369" s="115" t="s">
        <v>4908</v>
      </c>
      <c r="C1369" s="115" t="s">
        <v>4909</v>
      </c>
      <c r="D1369" s="115" t="s">
        <v>3601</v>
      </c>
      <c r="E1369" s="115" t="s">
        <v>29</v>
      </c>
      <c r="F1369" s="115">
        <v>3</v>
      </c>
    </row>
    <row r="1370" spans="2:6">
      <c r="B1370" s="115" t="s">
        <v>4910</v>
      </c>
      <c r="C1370" s="115" t="s">
        <v>4911</v>
      </c>
      <c r="D1370" s="115" t="s">
        <v>3601</v>
      </c>
      <c r="E1370" s="115" t="s">
        <v>29</v>
      </c>
      <c r="F1370" s="115">
        <v>3</v>
      </c>
    </row>
    <row r="1371" spans="2:6">
      <c r="B1371" s="115" t="s">
        <v>4912</v>
      </c>
      <c r="C1371" s="115" t="s">
        <v>4913</v>
      </c>
      <c r="D1371" s="115" t="s">
        <v>3601</v>
      </c>
      <c r="E1371" s="115" t="s">
        <v>29</v>
      </c>
      <c r="F1371" s="115">
        <v>3</v>
      </c>
    </row>
    <row r="1372" spans="2:6">
      <c r="B1372" s="115" t="s">
        <v>4914</v>
      </c>
      <c r="C1372" s="115" t="s">
        <v>4915</v>
      </c>
      <c r="D1372" s="115" t="s">
        <v>3601</v>
      </c>
      <c r="E1372" s="115" t="s">
        <v>29</v>
      </c>
      <c r="F1372" s="115">
        <v>3</v>
      </c>
    </row>
    <row r="1373" spans="2:6">
      <c r="B1373" s="115" t="s">
        <v>4916</v>
      </c>
      <c r="C1373" s="115" t="s">
        <v>4917</v>
      </c>
      <c r="D1373" s="115" t="s">
        <v>3601</v>
      </c>
      <c r="E1373" s="115" t="s">
        <v>29</v>
      </c>
      <c r="F1373" s="115">
        <v>3</v>
      </c>
    </row>
    <row r="1374" spans="2:6">
      <c r="B1374" s="115" t="s">
        <v>4918</v>
      </c>
      <c r="C1374" s="115" t="s">
        <v>4919</v>
      </c>
      <c r="D1374" s="115" t="s">
        <v>3601</v>
      </c>
      <c r="E1374" s="115" t="s">
        <v>29</v>
      </c>
      <c r="F1374" s="115">
        <v>2</v>
      </c>
    </row>
    <row r="1375" spans="2:6">
      <c r="B1375" s="115" t="s">
        <v>4920</v>
      </c>
      <c r="C1375" s="115" t="s">
        <v>4921</v>
      </c>
      <c r="D1375" s="115" t="s">
        <v>3601</v>
      </c>
      <c r="E1375" s="115" t="s">
        <v>29</v>
      </c>
      <c r="F1375" s="115">
        <v>1</v>
      </c>
    </row>
    <row r="1376" spans="2:6">
      <c r="B1376" s="115" t="s">
        <v>4922</v>
      </c>
      <c r="C1376" s="115" t="s">
        <v>4923</v>
      </c>
      <c r="D1376" s="115" t="s">
        <v>3601</v>
      </c>
      <c r="E1376" s="115" t="s">
        <v>29</v>
      </c>
      <c r="F1376" s="115">
        <v>1</v>
      </c>
    </row>
    <row r="1377" spans="2:6">
      <c r="B1377" s="115" t="s">
        <v>4924</v>
      </c>
      <c r="C1377" s="115" t="s">
        <v>4925</v>
      </c>
      <c r="D1377" s="115" t="s">
        <v>3601</v>
      </c>
      <c r="E1377" s="115" t="s">
        <v>29</v>
      </c>
      <c r="F1377" s="115">
        <v>1</v>
      </c>
    </row>
    <row r="1378" spans="2:6">
      <c r="B1378" s="115" t="s">
        <v>4926</v>
      </c>
      <c r="C1378" s="115" t="s">
        <v>4927</v>
      </c>
      <c r="D1378" s="115" t="s">
        <v>3601</v>
      </c>
      <c r="E1378" s="115" t="s">
        <v>29</v>
      </c>
      <c r="F1378" s="115">
        <v>1</v>
      </c>
    </row>
    <row r="1379" spans="2:6">
      <c r="B1379" s="115" t="s">
        <v>4928</v>
      </c>
      <c r="C1379" s="115" t="s">
        <v>4929</v>
      </c>
      <c r="D1379" s="115" t="s">
        <v>3601</v>
      </c>
      <c r="E1379" s="115" t="s">
        <v>29</v>
      </c>
      <c r="F1379" s="115">
        <v>2</v>
      </c>
    </row>
    <row r="1380" spans="2:6">
      <c r="B1380" s="115" t="s">
        <v>4930</v>
      </c>
      <c r="C1380" s="115" t="s">
        <v>4931</v>
      </c>
      <c r="D1380" s="115" t="s">
        <v>3601</v>
      </c>
      <c r="E1380" s="115" t="s">
        <v>29</v>
      </c>
      <c r="F1380" s="115">
        <v>2</v>
      </c>
    </row>
    <row r="1381" spans="2:6">
      <c r="B1381" s="115" t="s">
        <v>4932</v>
      </c>
      <c r="C1381" s="115" t="s">
        <v>4933</v>
      </c>
      <c r="D1381" s="115" t="s">
        <v>3601</v>
      </c>
      <c r="E1381" s="115" t="s">
        <v>29</v>
      </c>
      <c r="F1381" s="115">
        <v>1</v>
      </c>
    </row>
    <row r="1382" spans="2:6">
      <c r="B1382" s="115" t="s">
        <v>4934</v>
      </c>
      <c r="C1382" s="115" t="s">
        <v>4935</v>
      </c>
      <c r="D1382" s="115" t="s">
        <v>3601</v>
      </c>
      <c r="E1382" s="115" t="s">
        <v>29</v>
      </c>
      <c r="F1382" s="115">
        <v>1</v>
      </c>
    </row>
    <row r="1383" spans="2:6">
      <c r="B1383" s="115" t="s">
        <v>4936</v>
      </c>
      <c r="C1383" s="115" t="s">
        <v>4937</v>
      </c>
      <c r="D1383" s="115" t="s">
        <v>3601</v>
      </c>
      <c r="E1383" s="115" t="s">
        <v>29</v>
      </c>
      <c r="F1383" s="115">
        <v>1</v>
      </c>
    </row>
    <row r="1384" spans="2:6">
      <c r="B1384" s="115" t="s">
        <v>4938</v>
      </c>
      <c r="C1384" s="115" t="s">
        <v>4939</v>
      </c>
      <c r="D1384" s="115" t="s">
        <v>3601</v>
      </c>
      <c r="E1384" s="115" t="s">
        <v>29</v>
      </c>
      <c r="F1384" s="115">
        <v>3</v>
      </c>
    </row>
    <row r="1385" spans="2:6">
      <c r="B1385" s="115" t="s">
        <v>4940</v>
      </c>
      <c r="C1385" s="115" t="s">
        <v>4941</v>
      </c>
      <c r="D1385" s="115" t="s">
        <v>3601</v>
      </c>
      <c r="E1385" s="115" t="s">
        <v>29</v>
      </c>
      <c r="F1385" s="115">
        <v>3</v>
      </c>
    </row>
    <row r="1386" spans="2:6">
      <c r="B1386" s="115" t="s">
        <v>4942</v>
      </c>
      <c r="C1386" s="115" t="s">
        <v>4943</v>
      </c>
      <c r="D1386" s="115" t="s">
        <v>3601</v>
      </c>
      <c r="E1386" s="115" t="s">
        <v>29</v>
      </c>
      <c r="F1386" s="115">
        <v>2</v>
      </c>
    </row>
    <row r="1387" spans="2:6">
      <c r="B1387" s="115" t="s">
        <v>4944</v>
      </c>
      <c r="C1387" s="115" t="s">
        <v>4945</v>
      </c>
      <c r="D1387" s="115" t="s">
        <v>3601</v>
      </c>
      <c r="E1387" s="115" t="s">
        <v>29</v>
      </c>
      <c r="F1387" s="115">
        <v>3</v>
      </c>
    </row>
    <row r="1388" spans="2:6">
      <c r="B1388" s="115" t="s">
        <v>4946</v>
      </c>
      <c r="C1388" s="115" t="s">
        <v>4947</v>
      </c>
      <c r="D1388" s="115" t="s">
        <v>3601</v>
      </c>
      <c r="E1388" s="115" t="s">
        <v>29</v>
      </c>
      <c r="F1388" s="115">
        <v>3</v>
      </c>
    </row>
    <row r="1389" spans="2:6">
      <c r="B1389" s="115" t="s">
        <v>4948</v>
      </c>
      <c r="C1389" s="115" t="s">
        <v>4949</v>
      </c>
      <c r="D1389" s="115" t="s">
        <v>3601</v>
      </c>
      <c r="E1389" s="115" t="s">
        <v>29</v>
      </c>
      <c r="F1389" s="115">
        <v>3</v>
      </c>
    </row>
    <row r="1390" spans="2:6">
      <c r="B1390" s="115" t="s">
        <v>4950</v>
      </c>
      <c r="C1390" s="115" t="s">
        <v>4951</v>
      </c>
      <c r="D1390" s="115" t="s">
        <v>3601</v>
      </c>
      <c r="E1390" s="115" t="s">
        <v>29</v>
      </c>
      <c r="F1390" s="115">
        <v>2</v>
      </c>
    </row>
    <row r="1391" spans="2:6">
      <c r="B1391" s="115" t="s">
        <v>4952</v>
      </c>
      <c r="C1391" s="115" t="s">
        <v>4953</v>
      </c>
      <c r="D1391" s="115" t="s">
        <v>3601</v>
      </c>
      <c r="E1391" s="115" t="s">
        <v>29</v>
      </c>
      <c r="F1391" s="115">
        <v>3</v>
      </c>
    </row>
    <row r="1392" spans="2:6">
      <c r="B1392" s="115" t="s">
        <v>4954</v>
      </c>
      <c r="C1392" s="115" t="s">
        <v>4955</v>
      </c>
      <c r="D1392" s="115" t="s">
        <v>3601</v>
      </c>
      <c r="E1392" s="115" t="s">
        <v>29</v>
      </c>
      <c r="F1392" s="115">
        <v>2</v>
      </c>
    </row>
    <row r="1393" spans="2:6">
      <c r="B1393" s="115" t="s">
        <v>4956</v>
      </c>
      <c r="C1393" s="115" t="s">
        <v>4957</v>
      </c>
      <c r="D1393" s="115" t="s">
        <v>3601</v>
      </c>
      <c r="E1393" s="115" t="s">
        <v>29</v>
      </c>
      <c r="F1393" s="115">
        <v>2</v>
      </c>
    </row>
    <row r="1394" spans="2:6">
      <c r="B1394" s="115" t="s">
        <v>4958</v>
      </c>
      <c r="C1394" s="115" t="s">
        <v>4959</v>
      </c>
      <c r="D1394" s="115" t="s">
        <v>3601</v>
      </c>
      <c r="E1394" s="115" t="s">
        <v>29</v>
      </c>
      <c r="F1394" s="115">
        <v>2</v>
      </c>
    </row>
    <row r="1395" spans="2:6">
      <c r="B1395" s="115" t="s">
        <v>4960</v>
      </c>
      <c r="C1395" s="115" t="s">
        <v>4961</v>
      </c>
      <c r="D1395" s="115" t="s">
        <v>3601</v>
      </c>
      <c r="E1395" s="115" t="s">
        <v>29</v>
      </c>
      <c r="F1395" s="115">
        <v>3</v>
      </c>
    </row>
    <row r="1396" spans="2:6">
      <c r="B1396" s="115" t="s">
        <v>4962</v>
      </c>
      <c r="C1396" s="115" t="s">
        <v>4963</v>
      </c>
      <c r="D1396" s="115" t="s">
        <v>3601</v>
      </c>
      <c r="E1396" s="115" t="s">
        <v>29</v>
      </c>
      <c r="F1396" s="115">
        <v>1</v>
      </c>
    </row>
    <row r="1397" spans="2:6">
      <c r="B1397" s="115" t="s">
        <v>4964</v>
      </c>
      <c r="C1397" s="115" t="s">
        <v>4965</v>
      </c>
      <c r="D1397" s="115" t="s">
        <v>3601</v>
      </c>
      <c r="E1397" s="115" t="s">
        <v>29</v>
      </c>
      <c r="F1397" s="115">
        <v>1</v>
      </c>
    </row>
    <row r="1398" spans="2:6">
      <c r="B1398" s="115" t="s">
        <v>4966</v>
      </c>
      <c r="C1398" s="115" t="s">
        <v>4967</v>
      </c>
      <c r="D1398" s="115" t="s">
        <v>3601</v>
      </c>
      <c r="E1398" s="115" t="s">
        <v>29</v>
      </c>
      <c r="F1398" s="115">
        <v>2</v>
      </c>
    </row>
    <row r="1399" spans="2:6">
      <c r="B1399" s="115" t="s">
        <v>4968</v>
      </c>
      <c r="C1399" s="115" t="s">
        <v>4969</v>
      </c>
      <c r="D1399" s="115" t="s">
        <v>3601</v>
      </c>
      <c r="E1399" s="115" t="s">
        <v>29</v>
      </c>
      <c r="F1399" s="115">
        <v>3</v>
      </c>
    </row>
    <row r="1400" spans="2:6">
      <c r="B1400" s="115" t="s">
        <v>4970</v>
      </c>
      <c r="C1400" s="115" t="s">
        <v>4971</v>
      </c>
      <c r="D1400" s="115" t="s">
        <v>3601</v>
      </c>
      <c r="E1400" s="115" t="s">
        <v>29</v>
      </c>
      <c r="F1400" s="115">
        <v>3</v>
      </c>
    </row>
    <row r="1401" spans="2:6">
      <c r="B1401" s="115" t="s">
        <v>4972</v>
      </c>
      <c r="C1401" s="115" t="s">
        <v>4973</v>
      </c>
      <c r="D1401" s="115" t="s">
        <v>3601</v>
      </c>
      <c r="E1401" s="115" t="s">
        <v>29</v>
      </c>
      <c r="F1401" s="115">
        <v>2</v>
      </c>
    </row>
    <row r="1402" spans="2:6">
      <c r="B1402" s="115" t="s">
        <v>4974</v>
      </c>
      <c r="C1402" s="115" t="s">
        <v>4975</v>
      </c>
      <c r="D1402" s="115" t="s">
        <v>3601</v>
      </c>
      <c r="E1402" s="115" t="s">
        <v>29</v>
      </c>
      <c r="F1402" s="115">
        <v>1</v>
      </c>
    </row>
    <row r="1403" spans="2:6">
      <c r="B1403" s="115" t="s">
        <v>4976</v>
      </c>
      <c r="C1403" s="115" t="s">
        <v>4977</v>
      </c>
      <c r="D1403" s="115" t="s">
        <v>3601</v>
      </c>
      <c r="E1403" s="115" t="s">
        <v>29</v>
      </c>
      <c r="F1403" s="115">
        <v>1</v>
      </c>
    </row>
    <row r="1404" spans="2:6">
      <c r="B1404" s="115" t="s">
        <v>4978</v>
      </c>
      <c r="C1404" s="115" t="s">
        <v>4979</v>
      </c>
      <c r="D1404" s="115" t="s">
        <v>3601</v>
      </c>
      <c r="E1404" s="115" t="s">
        <v>29</v>
      </c>
      <c r="F1404" s="115">
        <v>3</v>
      </c>
    </row>
    <row r="1405" spans="2:6">
      <c r="B1405" s="115" t="s">
        <v>4980</v>
      </c>
      <c r="C1405" s="115" t="s">
        <v>4981</v>
      </c>
      <c r="D1405" s="115" t="s">
        <v>3601</v>
      </c>
      <c r="E1405" s="115" t="s">
        <v>29</v>
      </c>
      <c r="F1405" s="115">
        <v>1</v>
      </c>
    </row>
    <row r="1406" spans="2:6">
      <c r="B1406" s="115" t="s">
        <v>4982</v>
      </c>
      <c r="C1406" s="115" t="s">
        <v>4983</v>
      </c>
      <c r="D1406" s="115" t="s">
        <v>3601</v>
      </c>
      <c r="E1406" s="115" t="s">
        <v>29</v>
      </c>
      <c r="F1406" s="115">
        <v>1</v>
      </c>
    </row>
    <row r="1407" spans="2:6">
      <c r="B1407" s="115" t="s">
        <v>4984</v>
      </c>
      <c r="C1407" s="115" t="s">
        <v>4985</v>
      </c>
      <c r="D1407" s="115" t="s">
        <v>3601</v>
      </c>
      <c r="E1407" s="115" t="s">
        <v>29</v>
      </c>
      <c r="F1407" s="115">
        <v>3</v>
      </c>
    </row>
    <row r="1408" spans="2:6">
      <c r="B1408" s="115" t="s">
        <v>4986</v>
      </c>
      <c r="C1408" s="115" t="s">
        <v>4987</v>
      </c>
      <c r="D1408" s="115" t="s">
        <v>3601</v>
      </c>
      <c r="E1408" s="115" t="s">
        <v>29</v>
      </c>
      <c r="F1408" s="115">
        <v>2</v>
      </c>
    </row>
    <row r="1409" spans="2:6">
      <c r="B1409" s="115" t="s">
        <v>4988</v>
      </c>
      <c r="C1409" s="115" t="s">
        <v>4989</v>
      </c>
      <c r="D1409" s="115" t="s">
        <v>3601</v>
      </c>
      <c r="E1409" s="115" t="s">
        <v>29</v>
      </c>
      <c r="F1409" s="115">
        <v>1</v>
      </c>
    </row>
    <row r="1410" spans="2:6">
      <c r="B1410" s="115" t="s">
        <v>4990</v>
      </c>
      <c r="C1410" s="115" t="s">
        <v>4991</v>
      </c>
      <c r="D1410" s="115" t="s">
        <v>3601</v>
      </c>
      <c r="E1410" s="115" t="s">
        <v>29</v>
      </c>
      <c r="F1410" s="115">
        <v>1</v>
      </c>
    </row>
    <row r="1411" spans="2:6">
      <c r="B1411" s="115" t="s">
        <v>4992</v>
      </c>
      <c r="C1411" s="115" t="s">
        <v>4993</v>
      </c>
      <c r="D1411" s="115" t="s">
        <v>3601</v>
      </c>
      <c r="E1411" s="115" t="s">
        <v>29</v>
      </c>
      <c r="F1411" s="115">
        <v>1</v>
      </c>
    </row>
    <row r="1412" spans="2:6">
      <c r="B1412" s="115" t="s">
        <v>4994</v>
      </c>
      <c r="C1412" s="115" t="s">
        <v>4995</v>
      </c>
      <c r="D1412" s="115" t="s">
        <v>3601</v>
      </c>
      <c r="E1412" s="115" t="s">
        <v>29</v>
      </c>
      <c r="F1412" s="115">
        <v>3</v>
      </c>
    </row>
    <row r="1413" spans="2:6">
      <c r="B1413" s="115" t="s">
        <v>4996</v>
      </c>
      <c r="C1413" s="115" t="s">
        <v>4997</v>
      </c>
      <c r="D1413" s="115" t="s">
        <v>3601</v>
      </c>
      <c r="E1413" s="115" t="s">
        <v>29</v>
      </c>
      <c r="F1413" s="115">
        <v>2</v>
      </c>
    </row>
    <row r="1414" spans="2:6">
      <c r="B1414" s="115" t="s">
        <v>4998</v>
      </c>
      <c r="C1414" s="115" t="s">
        <v>4999</v>
      </c>
      <c r="D1414" s="115" t="s">
        <v>3601</v>
      </c>
      <c r="E1414" s="115" t="s">
        <v>29</v>
      </c>
      <c r="F1414" s="115">
        <v>1</v>
      </c>
    </row>
    <row r="1415" spans="2:6">
      <c r="B1415" s="115" t="s">
        <v>5000</v>
      </c>
      <c r="C1415" s="115" t="s">
        <v>5001</v>
      </c>
      <c r="D1415" s="115" t="s">
        <v>3601</v>
      </c>
      <c r="E1415" s="115" t="s">
        <v>29</v>
      </c>
      <c r="F1415" s="115">
        <v>3</v>
      </c>
    </row>
    <row r="1416" spans="2:6">
      <c r="B1416" s="115" t="s">
        <v>5002</v>
      </c>
      <c r="C1416" s="115" t="s">
        <v>5003</v>
      </c>
      <c r="D1416" s="115" t="s">
        <v>3601</v>
      </c>
      <c r="E1416" s="115" t="s">
        <v>29</v>
      </c>
      <c r="F1416" s="115">
        <v>3</v>
      </c>
    </row>
    <row r="1417" spans="2:6">
      <c r="B1417" s="115" t="s">
        <v>5004</v>
      </c>
      <c r="C1417" s="115" t="s">
        <v>5005</v>
      </c>
      <c r="D1417" s="115" t="s">
        <v>3601</v>
      </c>
      <c r="E1417" s="115" t="s">
        <v>29</v>
      </c>
      <c r="F1417" s="115">
        <v>1</v>
      </c>
    </row>
    <row r="1418" spans="2:6">
      <c r="B1418" s="115" t="s">
        <v>5006</v>
      </c>
      <c r="C1418" s="115" t="s">
        <v>5007</v>
      </c>
      <c r="D1418" s="115" t="s">
        <v>3601</v>
      </c>
      <c r="E1418" s="115" t="s">
        <v>29</v>
      </c>
      <c r="F1418" s="115">
        <v>1</v>
      </c>
    </row>
    <row r="1419" spans="2:6">
      <c r="B1419" s="115" t="s">
        <v>5008</v>
      </c>
      <c r="C1419" s="115" t="s">
        <v>5009</v>
      </c>
      <c r="D1419" s="115" t="s">
        <v>3601</v>
      </c>
      <c r="E1419" s="115" t="s">
        <v>29</v>
      </c>
      <c r="F1419" s="115">
        <v>1</v>
      </c>
    </row>
    <row r="1420" spans="2:6">
      <c r="B1420" s="115" t="s">
        <v>5010</v>
      </c>
      <c r="C1420" s="115" t="s">
        <v>5011</v>
      </c>
      <c r="D1420" s="115" t="s">
        <v>3601</v>
      </c>
      <c r="E1420" s="115" t="s">
        <v>29</v>
      </c>
      <c r="F1420" s="115">
        <v>3</v>
      </c>
    </row>
    <row r="1421" spans="2:6">
      <c r="B1421" s="115" t="s">
        <v>5012</v>
      </c>
      <c r="C1421" s="115" t="s">
        <v>5013</v>
      </c>
      <c r="D1421" s="115" t="s">
        <v>3601</v>
      </c>
      <c r="E1421" s="115" t="s">
        <v>29</v>
      </c>
      <c r="F1421" s="115">
        <v>3</v>
      </c>
    </row>
    <row r="1422" spans="2:6">
      <c r="B1422" s="115" t="s">
        <v>5014</v>
      </c>
      <c r="C1422" s="115" t="s">
        <v>5015</v>
      </c>
      <c r="D1422" s="115" t="s">
        <v>3601</v>
      </c>
      <c r="E1422" s="115" t="s">
        <v>29</v>
      </c>
      <c r="F1422" s="115">
        <v>3</v>
      </c>
    </row>
    <row r="1423" spans="2:6">
      <c r="B1423" s="115" t="s">
        <v>5016</v>
      </c>
      <c r="C1423" s="115" t="s">
        <v>5017</v>
      </c>
      <c r="D1423" s="115" t="s">
        <v>3601</v>
      </c>
      <c r="E1423" s="115" t="s">
        <v>29</v>
      </c>
      <c r="F1423" s="115">
        <v>1</v>
      </c>
    </row>
    <row r="1424" spans="2:6">
      <c r="B1424" s="115" t="s">
        <v>5018</v>
      </c>
      <c r="C1424" s="115" t="s">
        <v>5019</v>
      </c>
      <c r="D1424" s="115" t="s">
        <v>3601</v>
      </c>
      <c r="E1424" s="115" t="s">
        <v>29</v>
      </c>
      <c r="F1424" s="115">
        <v>3</v>
      </c>
    </row>
    <row r="1425" spans="2:6">
      <c r="B1425" s="115" t="s">
        <v>5020</v>
      </c>
      <c r="C1425" s="115" t="s">
        <v>5021</v>
      </c>
      <c r="D1425" s="115" t="s">
        <v>3601</v>
      </c>
      <c r="E1425" s="115" t="s">
        <v>29</v>
      </c>
      <c r="F1425" s="115">
        <v>3</v>
      </c>
    </row>
    <row r="1426" spans="2:6">
      <c r="B1426" s="115" t="s">
        <v>5022</v>
      </c>
      <c r="C1426" s="115" t="s">
        <v>5023</v>
      </c>
      <c r="D1426" s="115" t="s">
        <v>3601</v>
      </c>
      <c r="E1426" s="115" t="s">
        <v>29</v>
      </c>
      <c r="F1426" s="115">
        <v>3</v>
      </c>
    </row>
    <row r="1427" spans="2:6">
      <c r="B1427" s="115" t="s">
        <v>5024</v>
      </c>
      <c r="C1427" s="115" t="s">
        <v>5025</v>
      </c>
      <c r="D1427" s="115" t="s">
        <v>3601</v>
      </c>
      <c r="E1427" s="115" t="s">
        <v>29</v>
      </c>
      <c r="F1427" s="115">
        <v>2</v>
      </c>
    </row>
    <row r="1428" spans="2:6">
      <c r="B1428" s="115" t="s">
        <v>5026</v>
      </c>
      <c r="C1428" s="115" t="s">
        <v>5027</v>
      </c>
      <c r="D1428" s="115" t="s">
        <v>3601</v>
      </c>
      <c r="E1428" s="115" t="s">
        <v>29</v>
      </c>
      <c r="F1428" s="115">
        <v>2</v>
      </c>
    </row>
    <row r="1429" spans="2:6">
      <c r="B1429" s="115" t="s">
        <v>5028</v>
      </c>
      <c r="C1429" s="115" t="s">
        <v>5029</v>
      </c>
      <c r="D1429" s="115" t="s">
        <v>3601</v>
      </c>
      <c r="E1429" s="115" t="s">
        <v>29</v>
      </c>
      <c r="F1429" s="115">
        <v>3</v>
      </c>
    </row>
    <row r="1430" spans="2:6">
      <c r="B1430" s="115" t="s">
        <v>5030</v>
      </c>
      <c r="C1430" s="115" t="s">
        <v>5031</v>
      </c>
      <c r="D1430" s="115" t="s">
        <v>3601</v>
      </c>
      <c r="E1430" s="115" t="s">
        <v>29</v>
      </c>
      <c r="F1430" s="115">
        <v>3</v>
      </c>
    </row>
    <row r="1431" spans="2:6">
      <c r="B1431" s="115" t="s">
        <v>5032</v>
      </c>
      <c r="C1431" s="115" t="s">
        <v>5033</v>
      </c>
      <c r="D1431" s="115" t="s">
        <v>3601</v>
      </c>
      <c r="E1431" s="115" t="s">
        <v>29</v>
      </c>
      <c r="F1431" s="115">
        <v>3</v>
      </c>
    </row>
    <row r="1432" spans="2:6">
      <c r="B1432" s="115" t="s">
        <v>5034</v>
      </c>
      <c r="C1432" s="115" t="s">
        <v>5035</v>
      </c>
      <c r="D1432" s="115" t="s">
        <v>3601</v>
      </c>
      <c r="E1432" s="115" t="s">
        <v>29</v>
      </c>
      <c r="F1432" s="115">
        <v>3</v>
      </c>
    </row>
    <row r="1433" spans="2:6">
      <c r="B1433" s="115" t="s">
        <v>5036</v>
      </c>
      <c r="C1433" s="115" t="s">
        <v>5037</v>
      </c>
      <c r="D1433" s="115" t="s">
        <v>3601</v>
      </c>
      <c r="E1433" s="115" t="s">
        <v>29</v>
      </c>
      <c r="F1433" s="115">
        <v>3</v>
      </c>
    </row>
    <row r="1434" spans="2:6">
      <c r="B1434" s="115" t="s">
        <v>5038</v>
      </c>
      <c r="C1434" s="115" t="s">
        <v>5039</v>
      </c>
      <c r="D1434" s="115" t="s">
        <v>3601</v>
      </c>
      <c r="E1434" s="115" t="s">
        <v>29</v>
      </c>
      <c r="F1434" s="115">
        <v>3</v>
      </c>
    </row>
    <row r="1435" spans="2:6">
      <c r="B1435" s="115" t="s">
        <v>5040</v>
      </c>
      <c r="C1435" s="115" t="s">
        <v>5041</v>
      </c>
      <c r="D1435" s="115" t="s">
        <v>3601</v>
      </c>
      <c r="E1435" s="115" t="s">
        <v>29</v>
      </c>
      <c r="F1435" s="115">
        <v>3</v>
      </c>
    </row>
    <row r="1436" spans="2:6">
      <c r="B1436" s="115" t="s">
        <v>5042</v>
      </c>
      <c r="C1436" s="115" t="s">
        <v>5043</v>
      </c>
      <c r="D1436" s="115" t="s">
        <v>3601</v>
      </c>
      <c r="E1436" s="115" t="s">
        <v>29</v>
      </c>
      <c r="F1436" s="115">
        <v>3</v>
      </c>
    </row>
    <row r="1437" spans="2:6">
      <c r="B1437" s="115" t="s">
        <v>5044</v>
      </c>
      <c r="C1437" s="115" t="s">
        <v>5045</v>
      </c>
      <c r="D1437" s="115" t="s">
        <v>3601</v>
      </c>
      <c r="E1437" s="115" t="s">
        <v>29</v>
      </c>
      <c r="F1437" s="115">
        <v>3</v>
      </c>
    </row>
    <row r="1438" spans="2:6">
      <c r="B1438" s="115" t="s">
        <v>5046</v>
      </c>
      <c r="C1438" s="115" t="s">
        <v>5047</v>
      </c>
      <c r="D1438" s="115" t="s">
        <v>3601</v>
      </c>
      <c r="E1438" s="115" t="s">
        <v>29</v>
      </c>
      <c r="F1438" s="115">
        <v>3</v>
      </c>
    </row>
    <row r="1439" spans="2:6">
      <c r="B1439" s="115" t="s">
        <v>5048</v>
      </c>
      <c r="C1439" s="115" t="s">
        <v>5049</v>
      </c>
      <c r="D1439" s="115" t="s">
        <v>3601</v>
      </c>
      <c r="E1439" s="115" t="s">
        <v>29</v>
      </c>
      <c r="F1439" s="115">
        <v>1</v>
      </c>
    </row>
    <row r="1440" spans="2:6">
      <c r="B1440" s="115" t="s">
        <v>5050</v>
      </c>
      <c r="C1440" s="115" t="s">
        <v>5051</v>
      </c>
      <c r="D1440" s="115" t="s">
        <v>3601</v>
      </c>
      <c r="E1440" s="115" t="s">
        <v>29</v>
      </c>
      <c r="F1440" s="115">
        <v>1</v>
      </c>
    </row>
    <row r="1441" spans="2:6">
      <c r="B1441" s="115" t="s">
        <v>5052</v>
      </c>
      <c r="C1441" s="115" t="s">
        <v>5053</v>
      </c>
      <c r="D1441" s="115" t="s">
        <v>3601</v>
      </c>
      <c r="E1441" s="115" t="s">
        <v>29</v>
      </c>
      <c r="F1441" s="115">
        <v>1</v>
      </c>
    </row>
    <row r="1442" spans="2:6">
      <c r="B1442" s="115" t="s">
        <v>5054</v>
      </c>
      <c r="C1442" s="115" t="s">
        <v>5055</v>
      </c>
      <c r="D1442" s="115" t="s">
        <v>3601</v>
      </c>
      <c r="E1442" s="115" t="s">
        <v>29</v>
      </c>
      <c r="F1442" s="115">
        <v>1</v>
      </c>
    </row>
    <row r="1443" spans="2:6">
      <c r="B1443" s="115" t="s">
        <v>5056</v>
      </c>
      <c r="C1443" s="115" t="s">
        <v>5057</v>
      </c>
      <c r="D1443" s="115" t="s">
        <v>3601</v>
      </c>
      <c r="E1443" s="115" t="s">
        <v>29</v>
      </c>
      <c r="F1443" s="115">
        <v>1</v>
      </c>
    </row>
    <row r="1444" spans="2:6">
      <c r="B1444" s="115" t="s">
        <v>5058</v>
      </c>
      <c r="C1444" s="115" t="s">
        <v>5059</v>
      </c>
      <c r="D1444" s="115" t="s">
        <v>3601</v>
      </c>
      <c r="E1444" s="115" t="s">
        <v>29</v>
      </c>
      <c r="F1444" s="115">
        <v>2</v>
      </c>
    </row>
    <row r="1445" spans="2:6">
      <c r="B1445" s="115" t="s">
        <v>5060</v>
      </c>
      <c r="C1445" s="115" t="s">
        <v>5061</v>
      </c>
      <c r="D1445" s="115" t="s">
        <v>3601</v>
      </c>
      <c r="E1445" s="115" t="s">
        <v>29</v>
      </c>
      <c r="F1445" s="115">
        <v>3</v>
      </c>
    </row>
    <row r="1446" spans="2:6">
      <c r="B1446" s="115" t="s">
        <v>5062</v>
      </c>
      <c r="C1446" s="115" t="s">
        <v>5063</v>
      </c>
      <c r="D1446" s="115" t="s">
        <v>3601</v>
      </c>
      <c r="E1446" s="115" t="s">
        <v>29</v>
      </c>
      <c r="F1446" s="115">
        <v>2</v>
      </c>
    </row>
    <row r="1447" spans="2:6">
      <c r="B1447" s="115" t="s">
        <v>5064</v>
      </c>
      <c r="C1447" s="115" t="s">
        <v>5065</v>
      </c>
      <c r="D1447" s="115" t="s">
        <v>3601</v>
      </c>
      <c r="E1447" s="115" t="s">
        <v>29</v>
      </c>
      <c r="F1447" s="115">
        <v>3</v>
      </c>
    </row>
    <row r="1448" spans="2:6">
      <c r="B1448" s="115" t="s">
        <v>5066</v>
      </c>
      <c r="C1448" s="115" t="s">
        <v>5067</v>
      </c>
      <c r="D1448" s="115" t="s">
        <v>3601</v>
      </c>
      <c r="E1448" s="115" t="s">
        <v>29</v>
      </c>
      <c r="F1448" s="115">
        <v>1</v>
      </c>
    </row>
    <row r="1449" spans="2:6">
      <c r="B1449" s="115" t="s">
        <v>5068</v>
      </c>
      <c r="C1449" s="115" t="s">
        <v>5069</v>
      </c>
      <c r="D1449" s="115" t="s">
        <v>3601</v>
      </c>
      <c r="E1449" s="115" t="s">
        <v>29</v>
      </c>
      <c r="F1449" s="115">
        <v>1</v>
      </c>
    </row>
    <row r="1450" spans="2:6">
      <c r="B1450" s="115" t="s">
        <v>5070</v>
      </c>
      <c r="C1450" s="115" t="s">
        <v>5071</v>
      </c>
      <c r="D1450" s="115" t="s">
        <v>3601</v>
      </c>
      <c r="E1450" s="115" t="s">
        <v>29</v>
      </c>
      <c r="F1450" s="115">
        <v>3</v>
      </c>
    </row>
    <row r="1451" spans="2:6">
      <c r="B1451" s="115" t="s">
        <v>5072</v>
      </c>
      <c r="C1451" s="115" t="s">
        <v>5073</v>
      </c>
      <c r="D1451" s="115" t="s">
        <v>3601</v>
      </c>
      <c r="E1451" s="115" t="s">
        <v>29</v>
      </c>
      <c r="F1451" s="115">
        <v>3</v>
      </c>
    </row>
    <row r="1452" spans="2:6">
      <c r="B1452" s="115" t="s">
        <v>5074</v>
      </c>
      <c r="C1452" s="115" t="s">
        <v>5075</v>
      </c>
      <c r="D1452" s="115" t="s">
        <v>3601</v>
      </c>
      <c r="E1452" s="115" t="s">
        <v>29</v>
      </c>
      <c r="F1452" s="115">
        <v>1</v>
      </c>
    </row>
    <row r="1453" spans="2:6">
      <c r="B1453" s="115" t="s">
        <v>5076</v>
      </c>
      <c r="C1453" s="115" t="s">
        <v>5077</v>
      </c>
      <c r="D1453" s="115" t="s">
        <v>3601</v>
      </c>
      <c r="E1453" s="115" t="s">
        <v>29</v>
      </c>
      <c r="F1453" s="115">
        <v>2</v>
      </c>
    </row>
    <row r="1454" spans="2:6">
      <c r="B1454" s="115" t="s">
        <v>5078</v>
      </c>
      <c r="C1454" s="115" t="s">
        <v>5079</v>
      </c>
      <c r="D1454" s="115" t="s">
        <v>3601</v>
      </c>
      <c r="E1454" s="115" t="s">
        <v>29</v>
      </c>
      <c r="F1454" s="115">
        <v>3</v>
      </c>
    </row>
    <row r="1455" spans="2:6">
      <c r="B1455" s="115" t="s">
        <v>5080</v>
      </c>
      <c r="C1455" s="115" t="s">
        <v>5081</v>
      </c>
      <c r="D1455" s="115" t="s">
        <v>3601</v>
      </c>
      <c r="E1455" s="115" t="s">
        <v>29</v>
      </c>
      <c r="F1455" s="115">
        <v>3</v>
      </c>
    </row>
    <row r="1456" spans="2:6">
      <c r="B1456" s="115" t="s">
        <v>5082</v>
      </c>
      <c r="C1456" s="115" t="s">
        <v>5083</v>
      </c>
      <c r="D1456" s="115" t="s">
        <v>3601</v>
      </c>
      <c r="E1456" s="115" t="s">
        <v>29</v>
      </c>
      <c r="F1456" s="115">
        <v>1</v>
      </c>
    </row>
    <row r="1457" spans="2:6">
      <c r="B1457" s="115" t="s">
        <v>5084</v>
      </c>
      <c r="C1457" s="115" t="s">
        <v>5085</v>
      </c>
      <c r="D1457" s="115" t="s">
        <v>3601</v>
      </c>
      <c r="E1457" s="115" t="s">
        <v>29</v>
      </c>
      <c r="F1457" s="115">
        <v>3</v>
      </c>
    </row>
    <row r="1458" spans="2:6">
      <c r="B1458" s="115" t="s">
        <v>5086</v>
      </c>
      <c r="C1458" s="115" t="s">
        <v>5087</v>
      </c>
      <c r="D1458" s="115" t="s">
        <v>3601</v>
      </c>
      <c r="E1458" s="115" t="s">
        <v>29</v>
      </c>
      <c r="F1458" s="115">
        <v>3</v>
      </c>
    </row>
    <row r="1459" spans="2:6">
      <c r="B1459" s="115" t="s">
        <v>5088</v>
      </c>
      <c r="C1459" s="115" t="s">
        <v>5089</v>
      </c>
      <c r="D1459" s="115" t="s">
        <v>3601</v>
      </c>
      <c r="E1459" s="115" t="s">
        <v>29</v>
      </c>
      <c r="F1459" s="115">
        <v>3</v>
      </c>
    </row>
    <row r="1460" spans="2:6">
      <c r="B1460" s="115" t="s">
        <v>5090</v>
      </c>
      <c r="C1460" s="115" t="s">
        <v>5091</v>
      </c>
      <c r="D1460" s="115" t="s">
        <v>3601</v>
      </c>
      <c r="E1460" s="115" t="s">
        <v>29</v>
      </c>
      <c r="F1460" s="115">
        <v>3</v>
      </c>
    </row>
    <row r="1461" spans="2:6">
      <c r="B1461" s="115" t="s">
        <v>5092</v>
      </c>
      <c r="C1461" s="115" t="s">
        <v>5093</v>
      </c>
      <c r="D1461" s="115" t="s">
        <v>3601</v>
      </c>
      <c r="E1461" s="115" t="s">
        <v>29</v>
      </c>
      <c r="F1461" s="115">
        <v>3</v>
      </c>
    </row>
    <row r="1462" spans="2:6">
      <c r="B1462" s="115" t="s">
        <v>5094</v>
      </c>
      <c r="C1462" s="115" t="s">
        <v>5095</v>
      </c>
      <c r="D1462" s="115" t="s">
        <v>3601</v>
      </c>
      <c r="E1462" s="115" t="s">
        <v>29</v>
      </c>
      <c r="F1462" s="115">
        <v>3</v>
      </c>
    </row>
    <row r="1463" spans="2:6">
      <c r="B1463" s="115" t="s">
        <v>5096</v>
      </c>
      <c r="C1463" s="115" t="s">
        <v>5097</v>
      </c>
      <c r="D1463" s="115" t="s">
        <v>3601</v>
      </c>
      <c r="E1463" s="115" t="s">
        <v>29</v>
      </c>
      <c r="F1463" s="115">
        <v>1</v>
      </c>
    </row>
    <row r="1464" spans="2:6">
      <c r="B1464" s="115" t="s">
        <v>5098</v>
      </c>
      <c r="C1464" s="115" t="s">
        <v>5099</v>
      </c>
      <c r="D1464" s="115" t="s">
        <v>3601</v>
      </c>
      <c r="E1464" s="115" t="s">
        <v>29</v>
      </c>
      <c r="F1464" s="115">
        <v>3</v>
      </c>
    </row>
    <row r="1465" spans="2:6">
      <c r="B1465" s="115" t="s">
        <v>5100</v>
      </c>
      <c r="C1465" s="115" t="s">
        <v>5101</v>
      </c>
      <c r="D1465" s="115" t="s">
        <v>3601</v>
      </c>
      <c r="E1465" s="115" t="s">
        <v>29</v>
      </c>
      <c r="F1465" s="115">
        <v>3</v>
      </c>
    </row>
    <row r="1466" spans="2:6">
      <c r="B1466" s="115" t="s">
        <v>5102</v>
      </c>
      <c r="C1466" s="115" t="s">
        <v>5103</v>
      </c>
      <c r="D1466" s="115" t="s">
        <v>3601</v>
      </c>
      <c r="E1466" s="115" t="s">
        <v>29</v>
      </c>
      <c r="F1466" s="115">
        <v>1</v>
      </c>
    </row>
    <row r="1467" spans="2:6">
      <c r="B1467" s="115" t="s">
        <v>5104</v>
      </c>
      <c r="C1467" s="115" t="s">
        <v>5105</v>
      </c>
      <c r="D1467" s="115" t="s">
        <v>3601</v>
      </c>
      <c r="E1467" s="115" t="s">
        <v>29</v>
      </c>
      <c r="F1467" s="115">
        <v>3</v>
      </c>
    </row>
    <row r="1468" spans="2:6">
      <c r="B1468" s="115" t="s">
        <v>5106</v>
      </c>
      <c r="C1468" s="115" t="s">
        <v>5107</v>
      </c>
      <c r="D1468" s="115" t="s">
        <v>3601</v>
      </c>
      <c r="E1468" s="115" t="s">
        <v>29</v>
      </c>
      <c r="F1468" s="115">
        <v>2</v>
      </c>
    </row>
    <row r="1469" spans="2:6">
      <c r="B1469" s="115" t="s">
        <v>5108</v>
      </c>
      <c r="C1469" s="115" t="s">
        <v>5109</v>
      </c>
      <c r="D1469" s="115" t="s">
        <v>3601</v>
      </c>
      <c r="E1469" s="115" t="s">
        <v>29</v>
      </c>
      <c r="F1469" s="115">
        <v>3</v>
      </c>
    </row>
    <row r="1470" spans="2:6">
      <c r="B1470" s="115" t="s">
        <v>5110</v>
      </c>
      <c r="C1470" s="115" t="s">
        <v>5111</v>
      </c>
      <c r="D1470" s="115" t="s">
        <v>3601</v>
      </c>
      <c r="E1470" s="115" t="s">
        <v>29</v>
      </c>
      <c r="F1470" s="115">
        <v>3</v>
      </c>
    </row>
    <row r="1471" spans="2:6">
      <c r="B1471" s="115" t="s">
        <v>5112</v>
      </c>
      <c r="C1471" s="115" t="s">
        <v>5113</v>
      </c>
      <c r="D1471" s="115" t="s">
        <v>3601</v>
      </c>
      <c r="E1471" s="115" t="s">
        <v>29</v>
      </c>
      <c r="F1471" s="115">
        <v>3</v>
      </c>
    </row>
    <row r="1472" spans="2:6">
      <c r="B1472" s="115" t="s">
        <v>5114</v>
      </c>
      <c r="C1472" s="115" t="s">
        <v>5115</v>
      </c>
      <c r="D1472" s="115" t="s">
        <v>3601</v>
      </c>
      <c r="E1472" s="115" t="s">
        <v>29</v>
      </c>
      <c r="F1472" s="115">
        <v>3</v>
      </c>
    </row>
    <row r="1473" spans="2:6">
      <c r="B1473" s="115" t="s">
        <v>5116</v>
      </c>
      <c r="C1473" s="115" t="s">
        <v>5117</v>
      </c>
      <c r="D1473" s="115" t="s">
        <v>3601</v>
      </c>
      <c r="E1473" s="115" t="s">
        <v>29</v>
      </c>
      <c r="F1473" s="115">
        <v>3</v>
      </c>
    </row>
    <row r="1474" spans="2:6">
      <c r="B1474" s="115" t="s">
        <v>5118</v>
      </c>
      <c r="C1474" s="115" t="s">
        <v>5119</v>
      </c>
      <c r="D1474" s="115" t="s">
        <v>3601</v>
      </c>
      <c r="E1474" s="115" t="s">
        <v>29</v>
      </c>
      <c r="F1474" s="115">
        <v>2</v>
      </c>
    </row>
    <row r="1475" spans="2:6">
      <c r="B1475" s="115" t="s">
        <v>5120</v>
      </c>
      <c r="C1475" s="115" t="s">
        <v>5121</v>
      </c>
      <c r="D1475" s="115" t="s">
        <v>3601</v>
      </c>
      <c r="E1475" s="115" t="s">
        <v>29</v>
      </c>
      <c r="F1475" s="115">
        <v>1</v>
      </c>
    </row>
    <row r="1476" spans="2:6">
      <c r="B1476" s="115" t="s">
        <v>5122</v>
      </c>
      <c r="C1476" s="115" t="s">
        <v>5123</v>
      </c>
      <c r="D1476" s="115" t="s">
        <v>3601</v>
      </c>
      <c r="E1476" s="115" t="s">
        <v>29</v>
      </c>
      <c r="F1476" s="115">
        <v>1</v>
      </c>
    </row>
    <row r="1477" spans="2:6">
      <c r="B1477" s="115" t="s">
        <v>5124</v>
      </c>
      <c r="C1477" s="115" t="s">
        <v>5125</v>
      </c>
      <c r="D1477" s="115" t="s">
        <v>3601</v>
      </c>
      <c r="E1477" s="115" t="s">
        <v>29</v>
      </c>
      <c r="F1477" s="115">
        <v>2</v>
      </c>
    </row>
    <row r="1478" spans="2:6">
      <c r="B1478" s="115" t="s">
        <v>5126</v>
      </c>
      <c r="C1478" s="115" t="s">
        <v>5127</v>
      </c>
      <c r="D1478" s="115" t="s">
        <v>3601</v>
      </c>
      <c r="E1478" s="115" t="s">
        <v>29</v>
      </c>
      <c r="F1478" s="115">
        <v>3</v>
      </c>
    </row>
    <row r="1479" spans="2:6">
      <c r="B1479" s="115" t="s">
        <v>5128</v>
      </c>
      <c r="C1479" s="115" t="s">
        <v>5129</v>
      </c>
      <c r="D1479" s="115" t="s">
        <v>3601</v>
      </c>
      <c r="E1479" s="115" t="s">
        <v>29</v>
      </c>
      <c r="F1479" s="115">
        <v>3</v>
      </c>
    </row>
    <row r="1480" spans="2:6">
      <c r="B1480" s="115" t="s">
        <v>5130</v>
      </c>
      <c r="C1480" s="115" t="s">
        <v>5131</v>
      </c>
      <c r="D1480" s="115" t="s">
        <v>3601</v>
      </c>
      <c r="E1480" s="115" t="s">
        <v>29</v>
      </c>
      <c r="F1480" s="115">
        <v>3</v>
      </c>
    </row>
    <row r="1481" spans="2:6">
      <c r="B1481" s="115" t="s">
        <v>5132</v>
      </c>
      <c r="C1481" s="115" t="s">
        <v>5133</v>
      </c>
      <c r="D1481" s="115" t="s">
        <v>3601</v>
      </c>
      <c r="E1481" s="115" t="s">
        <v>29</v>
      </c>
      <c r="F1481" s="115">
        <v>3</v>
      </c>
    </row>
    <row r="1482" spans="2:6">
      <c r="B1482" s="115" t="s">
        <v>5134</v>
      </c>
      <c r="C1482" s="115" t="s">
        <v>5135</v>
      </c>
      <c r="D1482" s="115" t="s">
        <v>3601</v>
      </c>
      <c r="E1482" s="115" t="s">
        <v>29</v>
      </c>
      <c r="F1482" s="115">
        <v>3</v>
      </c>
    </row>
    <row r="1483" spans="2:6">
      <c r="B1483" s="115" t="s">
        <v>5136</v>
      </c>
      <c r="C1483" s="115" t="s">
        <v>5137</v>
      </c>
      <c r="D1483" s="115" t="s">
        <v>3601</v>
      </c>
      <c r="E1483" s="115" t="s">
        <v>29</v>
      </c>
      <c r="F1483" s="115">
        <v>3</v>
      </c>
    </row>
    <row r="1484" spans="2:6">
      <c r="B1484" s="115" t="s">
        <v>5138</v>
      </c>
      <c r="C1484" s="115" t="s">
        <v>5139</v>
      </c>
      <c r="D1484" s="115" t="s">
        <v>3601</v>
      </c>
      <c r="E1484" s="115" t="s">
        <v>29</v>
      </c>
      <c r="F1484" s="115">
        <v>1</v>
      </c>
    </row>
    <row r="1485" spans="2:6">
      <c r="B1485" s="115" t="s">
        <v>5140</v>
      </c>
      <c r="C1485" s="115" t="s">
        <v>5141</v>
      </c>
      <c r="D1485" s="115" t="s">
        <v>3601</v>
      </c>
      <c r="E1485" s="115" t="s">
        <v>29</v>
      </c>
      <c r="F1485" s="115">
        <v>3</v>
      </c>
    </row>
    <row r="1486" spans="2:6">
      <c r="B1486" s="115" t="s">
        <v>5142</v>
      </c>
      <c r="C1486" s="115" t="s">
        <v>5143</v>
      </c>
      <c r="D1486" s="115" t="s">
        <v>3601</v>
      </c>
      <c r="E1486" s="115" t="s">
        <v>29</v>
      </c>
      <c r="F1486" s="115">
        <v>3</v>
      </c>
    </row>
    <row r="1487" spans="2:6">
      <c r="B1487" s="115" t="s">
        <v>5144</v>
      </c>
      <c r="C1487" s="115" t="s">
        <v>5145</v>
      </c>
      <c r="D1487" s="115" t="s">
        <v>3601</v>
      </c>
      <c r="E1487" s="115" t="s">
        <v>29</v>
      </c>
      <c r="F1487" s="115">
        <v>3</v>
      </c>
    </row>
    <row r="1488" spans="2:6">
      <c r="B1488" s="115" t="s">
        <v>5146</v>
      </c>
      <c r="C1488" s="115" t="s">
        <v>5147</v>
      </c>
      <c r="D1488" s="115" t="s">
        <v>3601</v>
      </c>
      <c r="E1488" s="115" t="s">
        <v>29</v>
      </c>
      <c r="F1488" s="115">
        <v>3</v>
      </c>
    </row>
    <row r="1489" spans="2:6">
      <c r="B1489" s="115" t="s">
        <v>5148</v>
      </c>
      <c r="C1489" s="115" t="s">
        <v>5149</v>
      </c>
      <c r="D1489" s="115" t="s">
        <v>3601</v>
      </c>
      <c r="E1489" s="115" t="s">
        <v>29</v>
      </c>
      <c r="F1489" s="115">
        <v>3</v>
      </c>
    </row>
    <row r="1490" spans="2:6">
      <c r="B1490" s="115" t="s">
        <v>5150</v>
      </c>
      <c r="C1490" s="115" t="s">
        <v>5151</v>
      </c>
      <c r="D1490" s="115" t="s">
        <v>3601</v>
      </c>
      <c r="E1490" s="115" t="s">
        <v>29</v>
      </c>
      <c r="F1490" s="115">
        <v>3</v>
      </c>
    </row>
    <row r="1491" spans="2:6">
      <c r="B1491" s="115" t="s">
        <v>5152</v>
      </c>
      <c r="C1491" s="115" t="s">
        <v>5153</v>
      </c>
      <c r="D1491" s="115" t="s">
        <v>3601</v>
      </c>
      <c r="E1491" s="115" t="s">
        <v>29</v>
      </c>
      <c r="F1491" s="115">
        <v>2</v>
      </c>
    </row>
    <row r="1492" spans="2:6">
      <c r="B1492" s="115" t="s">
        <v>5154</v>
      </c>
      <c r="C1492" s="115" t="s">
        <v>5155</v>
      </c>
      <c r="D1492" s="115" t="s">
        <v>3601</v>
      </c>
      <c r="E1492" s="115" t="s">
        <v>29</v>
      </c>
      <c r="F1492" s="115">
        <v>1</v>
      </c>
    </row>
    <row r="1493" spans="2:6">
      <c r="B1493" s="115" t="s">
        <v>5156</v>
      </c>
      <c r="C1493" s="115" t="s">
        <v>5157</v>
      </c>
      <c r="D1493" s="115" t="s">
        <v>3601</v>
      </c>
      <c r="E1493" s="115" t="s">
        <v>29</v>
      </c>
      <c r="F1493" s="115">
        <v>3</v>
      </c>
    </row>
    <row r="1494" spans="2:6">
      <c r="B1494" s="115" t="s">
        <v>5158</v>
      </c>
      <c r="C1494" s="115" t="s">
        <v>5159</v>
      </c>
      <c r="D1494" s="115" t="s">
        <v>3601</v>
      </c>
      <c r="E1494" s="115" t="s">
        <v>29</v>
      </c>
      <c r="F1494" s="115">
        <v>3</v>
      </c>
    </row>
    <row r="1495" spans="2:6">
      <c r="B1495" s="115" t="s">
        <v>5160</v>
      </c>
      <c r="C1495" s="115" t="s">
        <v>5161</v>
      </c>
      <c r="D1495" s="115" t="s">
        <v>3601</v>
      </c>
      <c r="E1495" s="115" t="s">
        <v>29</v>
      </c>
      <c r="F1495" s="115">
        <v>2</v>
      </c>
    </row>
    <row r="1496" spans="2:6">
      <c r="B1496" s="115" t="s">
        <v>5162</v>
      </c>
      <c r="C1496" s="115" t="s">
        <v>5163</v>
      </c>
      <c r="D1496" s="115" t="s">
        <v>3601</v>
      </c>
      <c r="E1496" s="115" t="s">
        <v>29</v>
      </c>
      <c r="F1496" s="115">
        <v>3</v>
      </c>
    </row>
    <row r="1497" spans="2:6">
      <c r="B1497" s="115" t="s">
        <v>5164</v>
      </c>
      <c r="C1497" s="115" t="s">
        <v>5165</v>
      </c>
      <c r="D1497" s="115" t="s">
        <v>3601</v>
      </c>
      <c r="E1497" s="115" t="s">
        <v>29</v>
      </c>
      <c r="F1497" s="115">
        <v>2</v>
      </c>
    </row>
    <row r="1498" spans="2:6">
      <c r="B1498" s="115" t="s">
        <v>5166</v>
      </c>
      <c r="C1498" s="115" t="s">
        <v>5167</v>
      </c>
      <c r="D1498" s="115" t="s">
        <v>3601</v>
      </c>
      <c r="E1498" s="115" t="s">
        <v>29</v>
      </c>
      <c r="F1498" s="115">
        <v>1</v>
      </c>
    </row>
    <row r="1499" spans="2:6">
      <c r="B1499" s="115" t="s">
        <v>5168</v>
      </c>
      <c r="C1499" s="115" t="s">
        <v>5169</v>
      </c>
      <c r="D1499" s="115" t="s">
        <v>3601</v>
      </c>
      <c r="E1499" s="115" t="s">
        <v>29</v>
      </c>
      <c r="F1499" s="115">
        <v>3</v>
      </c>
    </row>
    <row r="1500" spans="2:6">
      <c r="B1500" s="115" t="s">
        <v>5170</v>
      </c>
      <c r="C1500" s="115" t="s">
        <v>5171</v>
      </c>
      <c r="D1500" s="115" t="s">
        <v>3601</v>
      </c>
      <c r="E1500" s="115" t="s">
        <v>29</v>
      </c>
      <c r="F1500" s="115">
        <v>3</v>
      </c>
    </row>
    <row r="1501" spans="2:6">
      <c r="B1501" s="115" t="s">
        <v>5172</v>
      </c>
      <c r="C1501" s="115" t="s">
        <v>5173</v>
      </c>
      <c r="D1501" s="115" t="s">
        <v>3601</v>
      </c>
      <c r="E1501" s="115" t="s">
        <v>29</v>
      </c>
      <c r="F1501" s="115">
        <v>3</v>
      </c>
    </row>
    <row r="1502" spans="2:6">
      <c r="B1502" s="115" t="s">
        <v>5174</v>
      </c>
      <c r="C1502" s="115" t="s">
        <v>5175</v>
      </c>
      <c r="D1502" s="115" t="s">
        <v>3601</v>
      </c>
      <c r="E1502" s="115" t="s">
        <v>29</v>
      </c>
      <c r="F1502" s="115">
        <v>1</v>
      </c>
    </row>
    <row r="1503" spans="2:6">
      <c r="B1503" s="115" t="s">
        <v>5176</v>
      </c>
      <c r="C1503" s="115" t="s">
        <v>5177</v>
      </c>
      <c r="D1503" s="115" t="s">
        <v>3601</v>
      </c>
      <c r="E1503" s="115" t="s">
        <v>29</v>
      </c>
      <c r="F1503" s="115">
        <v>3</v>
      </c>
    </row>
    <row r="1504" spans="2:6">
      <c r="B1504" s="115" t="s">
        <v>5178</v>
      </c>
      <c r="C1504" s="115" t="s">
        <v>5179</v>
      </c>
      <c r="D1504" s="115" t="s">
        <v>3601</v>
      </c>
      <c r="E1504" s="115" t="s">
        <v>29</v>
      </c>
      <c r="F1504" s="115">
        <v>3</v>
      </c>
    </row>
    <row r="1505" spans="2:6">
      <c r="B1505" s="115" t="s">
        <v>5180</v>
      </c>
      <c r="C1505" s="115" t="s">
        <v>5181</v>
      </c>
      <c r="D1505" s="115" t="s">
        <v>3601</v>
      </c>
      <c r="E1505" s="115" t="s">
        <v>29</v>
      </c>
      <c r="F1505" s="115">
        <v>1</v>
      </c>
    </row>
    <row r="1506" spans="2:6">
      <c r="B1506" s="115" t="s">
        <v>5182</v>
      </c>
      <c r="C1506" s="115" t="s">
        <v>5183</v>
      </c>
      <c r="D1506" s="115" t="s">
        <v>3601</v>
      </c>
      <c r="E1506" s="115" t="s">
        <v>29</v>
      </c>
      <c r="F1506" s="115">
        <v>2</v>
      </c>
    </row>
    <row r="1507" spans="2:6">
      <c r="B1507" s="115" t="s">
        <v>5184</v>
      </c>
      <c r="C1507" s="115" t="s">
        <v>5185</v>
      </c>
      <c r="D1507" s="115" t="s">
        <v>3601</v>
      </c>
      <c r="E1507" s="115" t="s">
        <v>29</v>
      </c>
      <c r="F1507" s="115">
        <v>2</v>
      </c>
    </row>
    <row r="1508" spans="2:6">
      <c r="B1508" s="115" t="s">
        <v>5186</v>
      </c>
      <c r="C1508" s="115" t="s">
        <v>5187</v>
      </c>
      <c r="D1508" s="115" t="s">
        <v>3601</v>
      </c>
      <c r="E1508" s="115" t="s">
        <v>29</v>
      </c>
      <c r="F1508" s="115">
        <v>1</v>
      </c>
    </row>
    <row r="1509" spans="2:6">
      <c r="B1509" s="115" t="s">
        <v>5188</v>
      </c>
      <c r="C1509" s="115" t="s">
        <v>5189</v>
      </c>
      <c r="D1509" s="115" t="s">
        <v>3601</v>
      </c>
      <c r="E1509" s="115" t="s">
        <v>29</v>
      </c>
      <c r="F1509" s="115">
        <v>3</v>
      </c>
    </row>
    <row r="1510" spans="2:6">
      <c r="B1510" s="115" t="s">
        <v>5190</v>
      </c>
      <c r="C1510" s="115" t="s">
        <v>5191</v>
      </c>
      <c r="D1510" s="115" t="s">
        <v>3601</v>
      </c>
      <c r="E1510" s="115" t="s">
        <v>29</v>
      </c>
      <c r="F1510" s="115">
        <v>3</v>
      </c>
    </row>
    <row r="1511" spans="2:6">
      <c r="B1511" s="115" t="s">
        <v>5192</v>
      </c>
      <c r="C1511" s="115" t="s">
        <v>5193</v>
      </c>
      <c r="D1511" s="115" t="s">
        <v>3601</v>
      </c>
      <c r="E1511" s="115" t="s">
        <v>29</v>
      </c>
      <c r="F1511" s="115">
        <v>1</v>
      </c>
    </row>
    <row r="1512" spans="2:6">
      <c r="B1512" s="115" t="s">
        <v>5194</v>
      </c>
      <c r="C1512" s="115" t="s">
        <v>5195</v>
      </c>
      <c r="D1512" s="115" t="s">
        <v>3601</v>
      </c>
      <c r="E1512" s="115" t="s">
        <v>29</v>
      </c>
      <c r="F1512" s="115">
        <v>3</v>
      </c>
    </row>
    <row r="1513" spans="2:6">
      <c r="B1513" s="115" t="s">
        <v>5196</v>
      </c>
      <c r="C1513" s="115" t="s">
        <v>5197</v>
      </c>
      <c r="D1513" s="115" t="s">
        <v>3601</v>
      </c>
      <c r="E1513" s="115" t="s">
        <v>29</v>
      </c>
      <c r="F1513" s="115">
        <v>1</v>
      </c>
    </row>
    <row r="1514" spans="2:6">
      <c r="B1514" s="115" t="s">
        <v>5198</v>
      </c>
      <c r="C1514" s="115" t="s">
        <v>5199</v>
      </c>
      <c r="D1514" s="115" t="s">
        <v>3601</v>
      </c>
      <c r="E1514" s="115" t="s">
        <v>29</v>
      </c>
      <c r="F1514" s="115">
        <v>2</v>
      </c>
    </row>
    <row r="1515" spans="2:6">
      <c r="B1515" s="115" t="s">
        <v>5200</v>
      </c>
      <c r="C1515" s="115" t="s">
        <v>5201</v>
      </c>
      <c r="D1515" s="115" t="s">
        <v>3601</v>
      </c>
      <c r="E1515" s="115" t="s">
        <v>29</v>
      </c>
      <c r="F1515" s="115">
        <v>3</v>
      </c>
    </row>
    <row r="1516" spans="2:6">
      <c r="B1516" s="115" t="s">
        <v>5202</v>
      </c>
      <c r="C1516" s="115" t="s">
        <v>5203</v>
      </c>
      <c r="D1516" s="115" t="s">
        <v>3601</v>
      </c>
      <c r="E1516" s="115" t="s">
        <v>29</v>
      </c>
      <c r="F1516" s="115">
        <v>3</v>
      </c>
    </row>
    <row r="1517" spans="2:6">
      <c r="B1517" s="115" t="s">
        <v>5204</v>
      </c>
      <c r="C1517" s="115" t="s">
        <v>5205</v>
      </c>
      <c r="D1517" s="115" t="s">
        <v>3601</v>
      </c>
      <c r="E1517" s="115" t="s">
        <v>29</v>
      </c>
      <c r="F1517" s="115">
        <v>3</v>
      </c>
    </row>
    <row r="1518" spans="2:6">
      <c r="B1518" s="115" t="s">
        <v>5206</v>
      </c>
      <c r="C1518" s="115" t="s">
        <v>5207</v>
      </c>
      <c r="D1518" s="115" t="s">
        <v>3601</v>
      </c>
      <c r="E1518" s="115" t="s">
        <v>29</v>
      </c>
      <c r="F1518" s="115">
        <v>2</v>
      </c>
    </row>
    <row r="1519" spans="2:6">
      <c r="B1519" s="115" t="s">
        <v>5208</v>
      </c>
      <c r="C1519" s="115" t="s">
        <v>5209</v>
      </c>
      <c r="D1519" s="115" t="s">
        <v>3601</v>
      </c>
      <c r="E1519" s="115" t="s">
        <v>29</v>
      </c>
      <c r="F1519" s="115">
        <v>2</v>
      </c>
    </row>
    <row r="1520" spans="2:6">
      <c r="B1520" s="115" t="s">
        <v>5210</v>
      </c>
      <c r="C1520" s="115" t="s">
        <v>5211</v>
      </c>
      <c r="D1520" s="115" t="s">
        <v>3601</v>
      </c>
      <c r="E1520" s="115" t="s">
        <v>29</v>
      </c>
      <c r="F1520" s="115">
        <v>1</v>
      </c>
    </row>
    <row r="1521" spans="2:6">
      <c r="B1521" s="115" t="s">
        <v>5212</v>
      </c>
      <c r="C1521" s="115" t="s">
        <v>5213</v>
      </c>
      <c r="D1521" s="115" t="s">
        <v>3601</v>
      </c>
      <c r="E1521" s="115" t="s">
        <v>29</v>
      </c>
      <c r="F1521" s="115">
        <v>3</v>
      </c>
    </row>
    <row r="1522" spans="2:6">
      <c r="B1522" s="115" t="s">
        <v>5214</v>
      </c>
      <c r="C1522" s="115" t="s">
        <v>5215</v>
      </c>
      <c r="D1522" s="115" t="s">
        <v>3601</v>
      </c>
      <c r="E1522" s="115" t="s">
        <v>29</v>
      </c>
      <c r="F1522" s="115">
        <v>1</v>
      </c>
    </row>
    <row r="1523" spans="2:6">
      <c r="B1523" s="115" t="s">
        <v>5216</v>
      </c>
      <c r="C1523" s="115" t="s">
        <v>5217</v>
      </c>
      <c r="D1523" s="115" t="s">
        <v>3601</v>
      </c>
      <c r="E1523" s="115" t="s">
        <v>29</v>
      </c>
      <c r="F1523" s="115">
        <v>3</v>
      </c>
    </row>
    <row r="1524" spans="2:6">
      <c r="B1524" s="115" t="s">
        <v>5218</v>
      </c>
      <c r="C1524" s="115" t="s">
        <v>5219</v>
      </c>
      <c r="D1524" s="115" t="s">
        <v>3601</v>
      </c>
      <c r="E1524" s="115" t="s">
        <v>29</v>
      </c>
      <c r="F1524" s="115">
        <v>2</v>
      </c>
    </row>
    <row r="1525" spans="2:6">
      <c r="B1525" s="115" t="s">
        <v>5220</v>
      </c>
      <c r="C1525" s="115" t="s">
        <v>5221</v>
      </c>
      <c r="D1525" s="115" t="s">
        <v>3601</v>
      </c>
      <c r="E1525" s="115" t="s">
        <v>29</v>
      </c>
      <c r="F1525" s="115">
        <v>2</v>
      </c>
    </row>
    <row r="1526" spans="2:6">
      <c r="B1526" s="115" t="s">
        <v>5222</v>
      </c>
      <c r="C1526" s="115" t="s">
        <v>5223</v>
      </c>
      <c r="D1526" s="115" t="s">
        <v>3601</v>
      </c>
      <c r="E1526" s="115" t="s">
        <v>29</v>
      </c>
      <c r="F1526" s="115">
        <v>3</v>
      </c>
    </row>
    <row r="1527" spans="2:6">
      <c r="B1527" s="115" t="s">
        <v>5224</v>
      </c>
      <c r="C1527" s="115" t="s">
        <v>5225</v>
      </c>
      <c r="D1527" s="115" t="s">
        <v>3601</v>
      </c>
      <c r="E1527" s="115" t="s">
        <v>29</v>
      </c>
      <c r="F1527" s="115">
        <v>1</v>
      </c>
    </row>
    <row r="1528" spans="2:6">
      <c r="B1528" s="115" t="s">
        <v>5226</v>
      </c>
      <c r="C1528" s="115" t="s">
        <v>5227</v>
      </c>
      <c r="D1528" s="115" t="s">
        <v>3601</v>
      </c>
      <c r="E1528" s="115" t="s">
        <v>29</v>
      </c>
      <c r="F1528" s="115">
        <v>3</v>
      </c>
    </row>
    <row r="1529" spans="2:6">
      <c r="B1529" s="115" t="s">
        <v>5228</v>
      </c>
      <c r="C1529" s="115" t="s">
        <v>5229</v>
      </c>
      <c r="D1529" s="115" t="s">
        <v>3601</v>
      </c>
      <c r="E1529" s="115" t="s">
        <v>29</v>
      </c>
      <c r="F1529" s="115">
        <v>2</v>
      </c>
    </row>
    <row r="1530" spans="2:6">
      <c r="B1530" s="115" t="s">
        <v>5230</v>
      </c>
      <c r="C1530" s="115" t="s">
        <v>5231</v>
      </c>
      <c r="D1530" s="115" t="s">
        <v>3601</v>
      </c>
      <c r="E1530" s="115" t="s">
        <v>29</v>
      </c>
      <c r="F1530" s="115">
        <v>3</v>
      </c>
    </row>
    <row r="1531" spans="2:6">
      <c r="B1531" s="115" t="s">
        <v>5232</v>
      </c>
      <c r="C1531" s="115" t="s">
        <v>5233</v>
      </c>
      <c r="D1531" s="115" t="s">
        <v>3601</v>
      </c>
      <c r="E1531" s="115" t="s">
        <v>29</v>
      </c>
      <c r="F1531" s="115">
        <v>3</v>
      </c>
    </row>
    <row r="1532" spans="2:6">
      <c r="B1532" s="115" t="s">
        <v>5234</v>
      </c>
      <c r="C1532" s="115" t="s">
        <v>5235</v>
      </c>
      <c r="D1532" s="115" t="s">
        <v>3601</v>
      </c>
      <c r="E1532" s="115" t="s">
        <v>29</v>
      </c>
      <c r="F1532" s="115">
        <v>3</v>
      </c>
    </row>
    <row r="1533" spans="2:6">
      <c r="B1533" s="115" t="s">
        <v>5236</v>
      </c>
      <c r="C1533" s="115" t="s">
        <v>5237</v>
      </c>
      <c r="D1533" s="115" t="s">
        <v>3601</v>
      </c>
      <c r="E1533" s="115" t="s">
        <v>29</v>
      </c>
      <c r="F1533" s="115">
        <v>3</v>
      </c>
    </row>
    <row r="1534" spans="2:6">
      <c r="B1534" s="115" t="s">
        <v>5238</v>
      </c>
      <c r="C1534" s="115" t="s">
        <v>5239</v>
      </c>
      <c r="D1534" s="115" t="s">
        <v>3601</v>
      </c>
      <c r="E1534" s="115" t="s">
        <v>29</v>
      </c>
      <c r="F1534" s="115">
        <v>3</v>
      </c>
    </row>
    <row r="1535" spans="2:6">
      <c r="B1535" s="115" t="s">
        <v>5240</v>
      </c>
      <c r="C1535" s="115" t="s">
        <v>5241</v>
      </c>
      <c r="D1535" s="115" t="s">
        <v>3601</v>
      </c>
      <c r="E1535" s="115" t="s">
        <v>29</v>
      </c>
      <c r="F1535" s="115">
        <v>3</v>
      </c>
    </row>
    <row r="1536" spans="2:6">
      <c r="B1536" s="115" t="s">
        <v>5242</v>
      </c>
      <c r="C1536" s="115" t="s">
        <v>5243</v>
      </c>
      <c r="D1536" s="115" t="s">
        <v>3601</v>
      </c>
      <c r="E1536" s="115" t="s">
        <v>29</v>
      </c>
      <c r="F1536" s="115">
        <v>3</v>
      </c>
    </row>
    <row r="1537" spans="2:6">
      <c r="B1537" s="115" t="s">
        <v>5244</v>
      </c>
      <c r="C1537" s="115" t="s">
        <v>5245</v>
      </c>
      <c r="D1537" s="115" t="s">
        <v>3601</v>
      </c>
      <c r="E1537" s="115" t="s">
        <v>29</v>
      </c>
      <c r="F1537" s="115">
        <v>3</v>
      </c>
    </row>
    <row r="1538" spans="2:6">
      <c r="B1538" s="115" t="s">
        <v>5246</v>
      </c>
      <c r="C1538" s="115" t="s">
        <v>5247</v>
      </c>
      <c r="D1538" s="115" t="s">
        <v>3601</v>
      </c>
      <c r="E1538" s="115" t="s">
        <v>29</v>
      </c>
      <c r="F1538" s="115">
        <v>3</v>
      </c>
    </row>
    <row r="1539" spans="2:6">
      <c r="B1539" s="115" t="s">
        <v>5248</v>
      </c>
      <c r="C1539" s="115" t="s">
        <v>5249</v>
      </c>
      <c r="D1539" s="115" t="s">
        <v>3601</v>
      </c>
      <c r="E1539" s="115" t="s">
        <v>29</v>
      </c>
      <c r="F1539" s="115">
        <v>3</v>
      </c>
    </row>
    <row r="1540" spans="2:6">
      <c r="B1540" s="115" t="s">
        <v>5250</v>
      </c>
      <c r="C1540" s="115" t="s">
        <v>5251</v>
      </c>
      <c r="D1540" s="115" t="s">
        <v>3601</v>
      </c>
      <c r="E1540" s="115" t="s">
        <v>29</v>
      </c>
      <c r="F1540" s="115">
        <v>3</v>
      </c>
    </row>
    <row r="1541" spans="2:6">
      <c r="B1541" s="115" t="s">
        <v>5252</v>
      </c>
      <c r="C1541" s="115" t="s">
        <v>5253</v>
      </c>
      <c r="D1541" s="115" t="s">
        <v>3601</v>
      </c>
      <c r="E1541" s="115" t="s">
        <v>29</v>
      </c>
      <c r="F1541" s="115">
        <v>3</v>
      </c>
    </row>
    <row r="1542" spans="2:6">
      <c r="B1542" s="115" t="s">
        <v>5254</v>
      </c>
      <c r="C1542" s="115" t="s">
        <v>5255</v>
      </c>
      <c r="D1542" s="115" t="s">
        <v>3601</v>
      </c>
      <c r="E1542" s="115" t="s">
        <v>29</v>
      </c>
      <c r="F1542" s="115">
        <v>3</v>
      </c>
    </row>
    <row r="1543" spans="2:6">
      <c r="B1543" s="115" t="s">
        <v>5256</v>
      </c>
      <c r="C1543" s="115" t="s">
        <v>5257</v>
      </c>
      <c r="D1543" s="115" t="s">
        <v>3601</v>
      </c>
      <c r="E1543" s="115" t="s">
        <v>29</v>
      </c>
      <c r="F1543" s="115">
        <v>3</v>
      </c>
    </row>
    <row r="1544" spans="2:6">
      <c r="B1544" s="115" t="s">
        <v>5258</v>
      </c>
      <c r="C1544" s="115" t="s">
        <v>5259</v>
      </c>
      <c r="D1544" s="115" t="s">
        <v>3601</v>
      </c>
      <c r="E1544" s="115" t="s">
        <v>29</v>
      </c>
      <c r="F1544" s="115">
        <v>3</v>
      </c>
    </row>
    <row r="1545" spans="2:6">
      <c r="B1545" s="115" t="s">
        <v>5260</v>
      </c>
      <c r="C1545" s="115" t="s">
        <v>5261</v>
      </c>
      <c r="D1545" s="115" t="s">
        <v>3601</v>
      </c>
      <c r="E1545" s="115" t="s">
        <v>29</v>
      </c>
      <c r="F1545" s="115">
        <v>3</v>
      </c>
    </row>
    <row r="1546" spans="2:6">
      <c r="B1546" s="115" t="s">
        <v>5262</v>
      </c>
      <c r="C1546" s="115" t="s">
        <v>5263</v>
      </c>
      <c r="D1546" s="115" t="s">
        <v>3601</v>
      </c>
      <c r="E1546" s="115" t="s">
        <v>29</v>
      </c>
      <c r="F1546" s="115">
        <v>3</v>
      </c>
    </row>
    <row r="1547" spans="2:6">
      <c r="B1547" s="115" t="s">
        <v>5264</v>
      </c>
      <c r="C1547" s="115" t="s">
        <v>5265</v>
      </c>
      <c r="D1547" s="115" t="s">
        <v>3601</v>
      </c>
      <c r="E1547" s="115" t="s">
        <v>29</v>
      </c>
      <c r="F1547" s="115">
        <v>3</v>
      </c>
    </row>
    <row r="1548" spans="2:6">
      <c r="B1548" s="115" t="s">
        <v>5266</v>
      </c>
      <c r="C1548" s="115" t="s">
        <v>5267</v>
      </c>
      <c r="D1548" s="115" t="s">
        <v>3601</v>
      </c>
      <c r="E1548" s="115" t="s">
        <v>29</v>
      </c>
      <c r="F1548" s="115">
        <v>3</v>
      </c>
    </row>
    <row r="1549" spans="2:6">
      <c r="B1549" s="115" t="s">
        <v>5268</v>
      </c>
      <c r="C1549" s="115" t="s">
        <v>5269</v>
      </c>
      <c r="D1549" s="115" t="s">
        <v>3601</v>
      </c>
      <c r="E1549" s="115" t="s">
        <v>29</v>
      </c>
      <c r="F1549" s="115">
        <v>3</v>
      </c>
    </row>
    <row r="1550" spans="2:6">
      <c r="B1550" s="115" t="s">
        <v>5270</v>
      </c>
      <c r="C1550" s="115" t="s">
        <v>5271</v>
      </c>
      <c r="D1550" s="115" t="s">
        <v>3601</v>
      </c>
      <c r="E1550" s="115" t="s">
        <v>29</v>
      </c>
      <c r="F1550" s="115">
        <v>1</v>
      </c>
    </row>
    <row r="1551" spans="2:6">
      <c r="B1551" s="115" t="s">
        <v>5272</v>
      </c>
      <c r="C1551" s="115" t="s">
        <v>5273</v>
      </c>
      <c r="D1551" s="115" t="s">
        <v>3601</v>
      </c>
      <c r="E1551" s="115" t="s">
        <v>29</v>
      </c>
      <c r="F1551" s="115">
        <v>3</v>
      </c>
    </row>
    <row r="1552" spans="2:6">
      <c r="B1552" s="115" t="s">
        <v>5274</v>
      </c>
      <c r="C1552" s="115" t="s">
        <v>5275</v>
      </c>
      <c r="D1552" s="115" t="s">
        <v>3601</v>
      </c>
      <c r="E1552" s="115" t="s">
        <v>29</v>
      </c>
      <c r="F1552" s="115">
        <v>1</v>
      </c>
    </row>
    <row r="1553" spans="2:6">
      <c r="B1553" s="115" t="s">
        <v>5276</v>
      </c>
      <c r="C1553" s="115" t="s">
        <v>5277</v>
      </c>
      <c r="D1553" s="115" t="s">
        <v>3601</v>
      </c>
      <c r="E1553" s="115" t="s">
        <v>29</v>
      </c>
      <c r="F1553" s="115">
        <v>1</v>
      </c>
    </row>
    <row r="1554" spans="2:6">
      <c r="B1554" s="115" t="s">
        <v>5278</v>
      </c>
      <c r="C1554" s="115" t="s">
        <v>5279</v>
      </c>
      <c r="D1554" s="115" t="s">
        <v>3601</v>
      </c>
      <c r="E1554" s="115" t="s">
        <v>29</v>
      </c>
      <c r="F1554" s="115">
        <v>2</v>
      </c>
    </row>
    <row r="1555" spans="2:6">
      <c r="B1555" s="115" t="s">
        <v>5280</v>
      </c>
      <c r="C1555" s="115" t="s">
        <v>5281</v>
      </c>
      <c r="D1555" s="115" t="s">
        <v>3601</v>
      </c>
      <c r="E1555" s="115" t="s">
        <v>29</v>
      </c>
      <c r="F1555" s="115">
        <v>3</v>
      </c>
    </row>
    <row r="1556" spans="2:6">
      <c r="B1556" s="115" t="s">
        <v>5282</v>
      </c>
      <c r="C1556" s="115" t="s">
        <v>5283</v>
      </c>
      <c r="D1556" s="115" t="s">
        <v>3601</v>
      </c>
      <c r="E1556" s="115" t="s">
        <v>29</v>
      </c>
      <c r="F1556" s="115">
        <v>1</v>
      </c>
    </row>
    <row r="1557" spans="2:6">
      <c r="B1557" s="115" t="s">
        <v>5284</v>
      </c>
      <c r="C1557" s="115" t="s">
        <v>5285</v>
      </c>
      <c r="D1557" s="115" t="s">
        <v>3601</v>
      </c>
      <c r="E1557" s="115" t="s">
        <v>29</v>
      </c>
      <c r="F1557" s="115">
        <v>1</v>
      </c>
    </row>
    <row r="1558" spans="2:6">
      <c r="B1558" s="115" t="s">
        <v>5286</v>
      </c>
      <c r="C1558" s="115" t="s">
        <v>5287</v>
      </c>
      <c r="D1558" s="115" t="s">
        <v>3601</v>
      </c>
      <c r="E1558" s="115" t="s">
        <v>29</v>
      </c>
      <c r="F1558" s="115">
        <v>3</v>
      </c>
    </row>
    <row r="1559" spans="2:6">
      <c r="B1559" s="115" t="s">
        <v>5288</v>
      </c>
      <c r="C1559" s="115" t="s">
        <v>5289</v>
      </c>
      <c r="D1559" s="115" t="s">
        <v>3601</v>
      </c>
      <c r="E1559" s="115" t="s">
        <v>29</v>
      </c>
      <c r="F1559" s="115">
        <v>2</v>
      </c>
    </row>
    <row r="1560" spans="2:6">
      <c r="B1560" s="115" t="s">
        <v>5290</v>
      </c>
      <c r="C1560" s="115" t="s">
        <v>5291</v>
      </c>
      <c r="D1560" s="115" t="s">
        <v>3601</v>
      </c>
      <c r="E1560" s="115" t="s">
        <v>29</v>
      </c>
      <c r="F1560" s="115">
        <v>3</v>
      </c>
    </row>
    <row r="1561" spans="2:6">
      <c r="B1561" s="115" t="s">
        <v>5292</v>
      </c>
      <c r="C1561" s="115" t="s">
        <v>5293</v>
      </c>
      <c r="D1561" s="115" t="s">
        <v>3601</v>
      </c>
      <c r="E1561" s="115" t="s">
        <v>29</v>
      </c>
      <c r="F1561" s="115">
        <v>2</v>
      </c>
    </row>
    <row r="1562" spans="2:6">
      <c r="B1562" s="115" t="s">
        <v>5294</v>
      </c>
      <c r="C1562" s="115" t="s">
        <v>5295</v>
      </c>
      <c r="D1562" s="115" t="s">
        <v>3601</v>
      </c>
      <c r="E1562" s="115" t="s">
        <v>29</v>
      </c>
      <c r="F1562" s="115">
        <v>3</v>
      </c>
    </row>
    <row r="1563" spans="2:6">
      <c r="B1563" s="115" t="s">
        <v>5296</v>
      </c>
      <c r="C1563" s="115" t="s">
        <v>5297</v>
      </c>
      <c r="D1563" s="115" t="s">
        <v>3601</v>
      </c>
      <c r="E1563" s="115" t="s">
        <v>29</v>
      </c>
      <c r="F1563" s="115">
        <v>3</v>
      </c>
    </row>
    <row r="1564" spans="2:6">
      <c r="B1564" s="115" t="s">
        <v>5298</v>
      </c>
      <c r="C1564" s="115" t="s">
        <v>5299</v>
      </c>
      <c r="D1564" s="115" t="s">
        <v>3601</v>
      </c>
      <c r="E1564" s="115" t="s">
        <v>29</v>
      </c>
      <c r="F1564" s="115">
        <v>3</v>
      </c>
    </row>
    <row r="1565" spans="2:6">
      <c r="B1565" s="115" t="s">
        <v>5300</v>
      </c>
      <c r="C1565" s="115" t="s">
        <v>5301</v>
      </c>
      <c r="D1565" s="115" t="s">
        <v>3601</v>
      </c>
      <c r="E1565" s="115" t="s">
        <v>29</v>
      </c>
      <c r="F1565" s="115">
        <v>3</v>
      </c>
    </row>
    <row r="1566" spans="2:6">
      <c r="B1566" s="115" t="s">
        <v>5302</v>
      </c>
      <c r="C1566" s="115" t="s">
        <v>5303</v>
      </c>
      <c r="D1566" s="115" t="s">
        <v>3601</v>
      </c>
      <c r="E1566" s="115" t="s">
        <v>29</v>
      </c>
      <c r="F1566" s="115">
        <v>1</v>
      </c>
    </row>
    <row r="1567" spans="2:6">
      <c r="B1567" s="115" t="s">
        <v>5304</v>
      </c>
      <c r="C1567" s="115" t="s">
        <v>5305</v>
      </c>
      <c r="D1567" s="115" t="s">
        <v>3601</v>
      </c>
      <c r="E1567" s="115" t="s">
        <v>29</v>
      </c>
      <c r="F1567" s="115">
        <v>1</v>
      </c>
    </row>
    <row r="1568" spans="2:6">
      <c r="B1568" s="115" t="s">
        <v>5306</v>
      </c>
      <c r="C1568" s="115" t="s">
        <v>5307</v>
      </c>
      <c r="D1568" s="115" t="s">
        <v>3601</v>
      </c>
      <c r="E1568" s="115" t="s">
        <v>29</v>
      </c>
      <c r="F1568" s="115">
        <v>1</v>
      </c>
    </row>
    <row r="1569" spans="2:6">
      <c r="B1569" s="115" t="s">
        <v>5308</v>
      </c>
      <c r="C1569" s="115" t="s">
        <v>5309</v>
      </c>
      <c r="D1569" s="115" t="s">
        <v>3601</v>
      </c>
      <c r="E1569" s="115" t="s">
        <v>29</v>
      </c>
      <c r="F1569" s="115">
        <v>1</v>
      </c>
    </row>
    <row r="1570" spans="2:6">
      <c r="B1570" s="115" t="s">
        <v>5310</v>
      </c>
      <c r="C1570" s="115" t="s">
        <v>5311</v>
      </c>
      <c r="D1570" s="115" t="s">
        <v>3601</v>
      </c>
      <c r="E1570" s="115" t="s">
        <v>29</v>
      </c>
      <c r="F1570" s="115">
        <v>3</v>
      </c>
    </row>
    <row r="1571" spans="2:6">
      <c r="B1571" s="115" t="s">
        <v>5312</v>
      </c>
      <c r="C1571" s="115" t="s">
        <v>5313</v>
      </c>
      <c r="D1571" s="115" t="s">
        <v>3601</v>
      </c>
      <c r="E1571" s="115" t="s">
        <v>29</v>
      </c>
      <c r="F1571" s="115">
        <v>3</v>
      </c>
    </row>
    <row r="1572" spans="2:6">
      <c r="B1572" s="115" t="s">
        <v>5314</v>
      </c>
      <c r="C1572" s="115" t="s">
        <v>5315</v>
      </c>
      <c r="D1572" s="115" t="s">
        <v>3601</v>
      </c>
      <c r="E1572" s="115" t="s">
        <v>29</v>
      </c>
      <c r="F1572" s="115">
        <v>3</v>
      </c>
    </row>
    <row r="1573" spans="2:6">
      <c r="B1573" s="115" t="s">
        <v>5316</v>
      </c>
      <c r="C1573" s="115" t="s">
        <v>5317</v>
      </c>
      <c r="D1573" s="115" t="s">
        <v>3601</v>
      </c>
      <c r="E1573" s="115" t="s">
        <v>29</v>
      </c>
      <c r="F1573" s="115">
        <v>3</v>
      </c>
    </row>
    <row r="1574" spans="2:6">
      <c r="B1574" s="115" t="s">
        <v>5318</v>
      </c>
      <c r="C1574" s="115" t="s">
        <v>5319</v>
      </c>
      <c r="D1574" s="115" t="s">
        <v>3601</v>
      </c>
      <c r="E1574" s="115" t="s">
        <v>29</v>
      </c>
      <c r="F1574" s="115">
        <v>3</v>
      </c>
    </row>
    <row r="1575" spans="2:6">
      <c r="B1575" s="115" t="s">
        <v>5320</v>
      </c>
      <c r="C1575" s="115" t="s">
        <v>5321</v>
      </c>
      <c r="D1575" s="115" t="s">
        <v>3601</v>
      </c>
      <c r="E1575" s="115" t="s">
        <v>29</v>
      </c>
      <c r="F1575" s="115">
        <v>3</v>
      </c>
    </row>
    <row r="1576" spans="2:6">
      <c r="B1576" s="115" t="s">
        <v>5322</v>
      </c>
      <c r="C1576" s="115" t="s">
        <v>5323</v>
      </c>
      <c r="D1576" s="115" t="s">
        <v>3601</v>
      </c>
      <c r="E1576" s="115" t="s">
        <v>29</v>
      </c>
      <c r="F1576" s="115">
        <v>2</v>
      </c>
    </row>
    <row r="1577" spans="2:6">
      <c r="B1577" s="115" t="s">
        <v>5324</v>
      </c>
      <c r="C1577" s="115" t="s">
        <v>5325</v>
      </c>
      <c r="D1577" s="115" t="s">
        <v>3601</v>
      </c>
      <c r="E1577" s="115" t="s">
        <v>29</v>
      </c>
      <c r="F1577" s="115">
        <v>3</v>
      </c>
    </row>
    <row r="1578" spans="2:6">
      <c r="B1578" s="115" t="s">
        <v>5326</v>
      </c>
      <c r="C1578" s="115" t="s">
        <v>5327</v>
      </c>
      <c r="D1578" s="115" t="s">
        <v>3601</v>
      </c>
      <c r="E1578" s="115" t="s">
        <v>29</v>
      </c>
      <c r="F1578" s="115">
        <v>2</v>
      </c>
    </row>
    <row r="1579" spans="2:6">
      <c r="B1579" s="115" t="s">
        <v>5328</v>
      </c>
      <c r="C1579" s="115" t="s">
        <v>5329</v>
      </c>
      <c r="D1579" s="115" t="s">
        <v>3601</v>
      </c>
      <c r="E1579" s="115" t="s">
        <v>29</v>
      </c>
      <c r="F1579" s="115">
        <v>1</v>
      </c>
    </row>
    <row r="1580" spans="2:6">
      <c r="B1580" s="115" t="s">
        <v>5330</v>
      </c>
      <c r="C1580" s="115" t="s">
        <v>5331</v>
      </c>
      <c r="D1580" s="115" t="s">
        <v>3601</v>
      </c>
      <c r="E1580" s="115" t="s">
        <v>29</v>
      </c>
      <c r="F1580" s="115">
        <v>3</v>
      </c>
    </row>
    <row r="1581" spans="2:6">
      <c r="B1581" s="115" t="s">
        <v>5332</v>
      </c>
      <c r="C1581" s="115" t="s">
        <v>5333</v>
      </c>
      <c r="D1581" s="115" t="s">
        <v>3601</v>
      </c>
      <c r="E1581" s="115" t="s">
        <v>29</v>
      </c>
      <c r="F1581" s="115">
        <v>1</v>
      </c>
    </row>
    <row r="1582" spans="2:6">
      <c r="B1582" s="115" t="s">
        <v>5334</v>
      </c>
      <c r="C1582" s="115" t="s">
        <v>5335</v>
      </c>
      <c r="D1582" s="115" t="s">
        <v>3601</v>
      </c>
      <c r="E1582" s="115" t="s">
        <v>29</v>
      </c>
      <c r="F1582" s="115">
        <v>1</v>
      </c>
    </row>
    <row r="1583" spans="2:6">
      <c r="B1583" s="115" t="s">
        <v>5336</v>
      </c>
      <c r="C1583" s="115" t="s">
        <v>5337</v>
      </c>
      <c r="D1583" s="115" t="s">
        <v>3601</v>
      </c>
      <c r="E1583" s="115" t="s">
        <v>29</v>
      </c>
      <c r="F1583" s="115">
        <v>1</v>
      </c>
    </row>
    <row r="1584" spans="2:6">
      <c r="B1584" s="115" t="s">
        <v>5338</v>
      </c>
      <c r="C1584" s="115" t="s">
        <v>5339</v>
      </c>
      <c r="D1584" s="115" t="s">
        <v>3601</v>
      </c>
      <c r="E1584" s="115" t="s">
        <v>29</v>
      </c>
      <c r="F1584" s="115">
        <v>1</v>
      </c>
    </row>
    <row r="1585" spans="2:6">
      <c r="B1585" s="115" t="s">
        <v>5340</v>
      </c>
      <c r="C1585" s="115" t="s">
        <v>5341</v>
      </c>
      <c r="D1585" s="115" t="s">
        <v>3601</v>
      </c>
      <c r="E1585" s="115" t="s">
        <v>29</v>
      </c>
      <c r="F1585" s="115">
        <v>1</v>
      </c>
    </row>
    <row r="1586" spans="2:6">
      <c r="B1586" s="115" t="s">
        <v>5342</v>
      </c>
      <c r="C1586" s="115" t="s">
        <v>5343</v>
      </c>
      <c r="D1586" s="115" t="s">
        <v>3601</v>
      </c>
      <c r="E1586" s="115" t="s">
        <v>29</v>
      </c>
      <c r="F1586" s="115">
        <v>1</v>
      </c>
    </row>
    <row r="1587" spans="2:6">
      <c r="B1587" s="115" t="s">
        <v>5344</v>
      </c>
      <c r="C1587" s="115" t="s">
        <v>5345</v>
      </c>
      <c r="D1587" s="115" t="s">
        <v>3601</v>
      </c>
      <c r="E1587" s="115" t="s">
        <v>29</v>
      </c>
      <c r="F1587" s="115">
        <v>1</v>
      </c>
    </row>
    <row r="1588" spans="2:6">
      <c r="B1588" s="115" t="s">
        <v>5346</v>
      </c>
      <c r="C1588" s="115" t="s">
        <v>5347</v>
      </c>
      <c r="D1588" s="115" t="s">
        <v>3601</v>
      </c>
      <c r="E1588" s="115" t="s">
        <v>29</v>
      </c>
      <c r="F1588" s="115">
        <v>1</v>
      </c>
    </row>
    <row r="1589" spans="2:6">
      <c r="B1589" s="115" t="s">
        <v>5348</v>
      </c>
      <c r="C1589" s="115" t="s">
        <v>5349</v>
      </c>
      <c r="D1589" s="115" t="s">
        <v>3601</v>
      </c>
      <c r="E1589" s="115" t="s">
        <v>29</v>
      </c>
      <c r="F1589" s="115">
        <v>1</v>
      </c>
    </row>
    <row r="1590" spans="2:6">
      <c r="B1590" s="115" t="s">
        <v>5350</v>
      </c>
      <c r="C1590" s="115" t="s">
        <v>5351</v>
      </c>
      <c r="D1590" s="115" t="s">
        <v>3601</v>
      </c>
      <c r="E1590" s="115" t="s">
        <v>29</v>
      </c>
      <c r="F1590" s="115">
        <v>1</v>
      </c>
    </row>
    <row r="1591" spans="2:6">
      <c r="B1591" s="115" t="s">
        <v>5352</v>
      </c>
      <c r="C1591" s="115" t="s">
        <v>5353</v>
      </c>
      <c r="D1591" s="115" t="s">
        <v>3601</v>
      </c>
      <c r="E1591" s="115" t="s">
        <v>29</v>
      </c>
      <c r="F1591" s="115">
        <v>1</v>
      </c>
    </row>
    <row r="1592" spans="2:6">
      <c r="B1592" s="115" t="s">
        <v>5354</v>
      </c>
      <c r="C1592" s="115" t="s">
        <v>5355</v>
      </c>
      <c r="D1592" s="115" t="s">
        <v>3601</v>
      </c>
      <c r="E1592" s="115" t="s">
        <v>29</v>
      </c>
      <c r="F1592" s="115">
        <v>2</v>
      </c>
    </row>
    <row r="1593" spans="2:6">
      <c r="B1593" s="115" t="s">
        <v>5356</v>
      </c>
      <c r="C1593" s="115" t="s">
        <v>5357</v>
      </c>
      <c r="D1593" s="115" t="s">
        <v>3601</v>
      </c>
      <c r="E1593" s="115" t="s">
        <v>29</v>
      </c>
      <c r="F1593" s="115">
        <v>1</v>
      </c>
    </row>
    <row r="1594" spans="2:6">
      <c r="B1594" s="115" t="s">
        <v>5358</v>
      </c>
      <c r="C1594" s="115" t="s">
        <v>5359</v>
      </c>
      <c r="D1594" s="115" t="s">
        <v>3601</v>
      </c>
      <c r="E1594" s="115" t="s">
        <v>29</v>
      </c>
      <c r="F1594" s="115">
        <v>1</v>
      </c>
    </row>
    <row r="1595" spans="2:6">
      <c r="B1595" s="115" t="s">
        <v>5360</v>
      </c>
      <c r="C1595" s="115" t="s">
        <v>5361</v>
      </c>
      <c r="D1595" s="115" t="s">
        <v>3601</v>
      </c>
      <c r="E1595" s="115" t="s">
        <v>29</v>
      </c>
      <c r="F1595" s="115">
        <v>2</v>
      </c>
    </row>
    <row r="1596" spans="2:6">
      <c r="B1596" s="115" t="s">
        <v>5362</v>
      </c>
      <c r="C1596" s="115" t="s">
        <v>5363</v>
      </c>
      <c r="D1596" s="115" t="s">
        <v>3601</v>
      </c>
      <c r="E1596" s="115" t="s">
        <v>29</v>
      </c>
      <c r="F1596" s="115">
        <v>3</v>
      </c>
    </row>
    <row r="1597" spans="2:6">
      <c r="B1597" s="115" t="s">
        <v>5364</v>
      </c>
      <c r="C1597" s="115" t="s">
        <v>5365</v>
      </c>
      <c r="D1597" s="115" t="s">
        <v>3601</v>
      </c>
      <c r="E1597" s="115" t="s">
        <v>29</v>
      </c>
      <c r="F1597" s="115">
        <v>3</v>
      </c>
    </row>
    <row r="1598" spans="2:6">
      <c r="B1598" s="115" t="s">
        <v>5366</v>
      </c>
      <c r="C1598" s="115" t="s">
        <v>5367</v>
      </c>
      <c r="D1598" s="115" t="s">
        <v>3601</v>
      </c>
      <c r="E1598" s="115" t="s">
        <v>29</v>
      </c>
      <c r="F1598" s="115">
        <v>3</v>
      </c>
    </row>
    <row r="1599" spans="2:6">
      <c r="B1599" s="115" t="s">
        <v>5368</v>
      </c>
      <c r="C1599" s="115" t="s">
        <v>5369</v>
      </c>
      <c r="D1599" s="115" t="s">
        <v>3601</v>
      </c>
      <c r="E1599" s="115" t="s">
        <v>29</v>
      </c>
      <c r="F1599" s="115">
        <v>3</v>
      </c>
    </row>
    <row r="1600" spans="2:6">
      <c r="B1600" s="115" t="s">
        <v>5370</v>
      </c>
      <c r="C1600" s="115" t="s">
        <v>5371</v>
      </c>
      <c r="D1600" s="115" t="s">
        <v>3601</v>
      </c>
      <c r="E1600" s="115" t="s">
        <v>29</v>
      </c>
      <c r="F1600" s="115">
        <v>1</v>
      </c>
    </row>
    <row r="1601" spans="2:6">
      <c r="B1601" s="115" t="s">
        <v>5372</v>
      </c>
      <c r="C1601" s="115" t="s">
        <v>5373</v>
      </c>
      <c r="D1601" s="115" t="s">
        <v>3601</v>
      </c>
      <c r="E1601" s="115" t="s">
        <v>29</v>
      </c>
      <c r="F1601" s="115">
        <v>1</v>
      </c>
    </row>
    <row r="1602" spans="2:6">
      <c r="B1602" s="115" t="s">
        <v>5374</v>
      </c>
      <c r="C1602" s="115" t="s">
        <v>5375</v>
      </c>
      <c r="D1602" s="115" t="s">
        <v>3601</v>
      </c>
      <c r="E1602" s="115" t="s">
        <v>29</v>
      </c>
      <c r="F1602" s="115">
        <v>3</v>
      </c>
    </row>
    <row r="1603" spans="2:6">
      <c r="B1603" s="115" t="s">
        <v>5376</v>
      </c>
      <c r="C1603" s="115" t="s">
        <v>5377</v>
      </c>
      <c r="D1603" s="115" t="s">
        <v>3601</v>
      </c>
      <c r="E1603" s="115" t="s">
        <v>29</v>
      </c>
      <c r="F1603" s="115">
        <v>1</v>
      </c>
    </row>
    <row r="1604" spans="2:6">
      <c r="B1604" s="115" t="s">
        <v>5378</v>
      </c>
      <c r="C1604" s="115" t="s">
        <v>5379</v>
      </c>
      <c r="D1604" s="115" t="s">
        <v>3601</v>
      </c>
      <c r="E1604" s="115" t="s">
        <v>29</v>
      </c>
      <c r="F1604" s="115">
        <v>1</v>
      </c>
    </row>
    <row r="1605" spans="2:6">
      <c r="B1605" s="115" t="s">
        <v>5380</v>
      </c>
      <c r="C1605" s="115" t="s">
        <v>5381</v>
      </c>
      <c r="D1605" s="115" t="s">
        <v>3601</v>
      </c>
      <c r="E1605" s="115" t="s">
        <v>29</v>
      </c>
      <c r="F1605" s="115">
        <v>1</v>
      </c>
    </row>
    <row r="1606" spans="2:6">
      <c r="B1606" s="115" t="s">
        <v>5382</v>
      </c>
      <c r="C1606" s="115" t="s">
        <v>5383</v>
      </c>
      <c r="D1606" s="115" t="s">
        <v>3601</v>
      </c>
      <c r="E1606" s="115" t="s">
        <v>29</v>
      </c>
      <c r="F1606" s="115">
        <v>3</v>
      </c>
    </row>
    <row r="1607" spans="2:6">
      <c r="B1607" s="115" t="s">
        <v>5384</v>
      </c>
      <c r="C1607" s="115" t="s">
        <v>5385</v>
      </c>
      <c r="D1607" s="115" t="s">
        <v>3601</v>
      </c>
      <c r="E1607" s="115" t="s">
        <v>29</v>
      </c>
      <c r="F1607" s="115">
        <v>3</v>
      </c>
    </row>
    <row r="1608" spans="2:6">
      <c r="B1608" s="115" t="s">
        <v>5386</v>
      </c>
      <c r="C1608" s="115" t="s">
        <v>5387</v>
      </c>
      <c r="D1608" s="115" t="s">
        <v>3601</v>
      </c>
      <c r="E1608" s="115" t="s">
        <v>29</v>
      </c>
      <c r="F1608" s="115">
        <v>1</v>
      </c>
    </row>
    <row r="1609" spans="2:6">
      <c r="B1609" s="115" t="s">
        <v>5388</v>
      </c>
      <c r="C1609" s="115" t="s">
        <v>5389</v>
      </c>
      <c r="D1609" s="115" t="s">
        <v>3601</v>
      </c>
      <c r="E1609" s="115" t="s">
        <v>29</v>
      </c>
      <c r="F1609" s="115">
        <v>3</v>
      </c>
    </row>
    <row r="1610" spans="2:6">
      <c r="B1610" s="115" t="s">
        <v>5390</v>
      </c>
      <c r="C1610" s="115" t="s">
        <v>5391</v>
      </c>
      <c r="D1610" s="115" t="s">
        <v>3601</v>
      </c>
      <c r="E1610" s="115" t="s">
        <v>29</v>
      </c>
      <c r="F1610" s="115">
        <v>3</v>
      </c>
    </row>
    <row r="1611" spans="2:6">
      <c r="B1611" s="115" t="s">
        <v>5392</v>
      </c>
      <c r="C1611" s="115" t="s">
        <v>5393</v>
      </c>
      <c r="D1611" s="115" t="s">
        <v>3601</v>
      </c>
      <c r="E1611" s="115" t="s">
        <v>29</v>
      </c>
      <c r="F1611" s="115">
        <v>3</v>
      </c>
    </row>
    <row r="1612" spans="2:6">
      <c r="B1612" s="115" t="s">
        <v>5394</v>
      </c>
      <c r="C1612" s="115" t="s">
        <v>5395</v>
      </c>
      <c r="D1612" s="115" t="s">
        <v>3601</v>
      </c>
      <c r="E1612" s="115" t="s">
        <v>29</v>
      </c>
      <c r="F1612" s="115">
        <v>1</v>
      </c>
    </row>
    <row r="1613" spans="2:6">
      <c r="B1613" s="115" t="s">
        <v>5396</v>
      </c>
      <c r="C1613" s="115" t="s">
        <v>5397</v>
      </c>
      <c r="D1613" s="115" t="s">
        <v>3601</v>
      </c>
      <c r="E1613" s="115" t="s">
        <v>29</v>
      </c>
      <c r="F1613" s="115">
        <v>3</v>
      </c>
    </row>
    <row r="1614" spans="2:6">
      <c r="B1614" s="115" t="s">
        <v>5398</v>
      </c>
      <c r="C1614" s="115" t="s">
        <v>5399</v>
      </c>
      <c r="D1614" s="115" t="s">
        <v>3601</v>
      </c>
      <c r="E1614" s="115" t="s">
        <v>29</v>
      </c>
      <c r="F1614" s="115">
        <v>1</v>
      </c>
    </row>
    <row r="1615" spans="2:6">
      <c r="B1615" s="115" t="s">
        <v>5400</v>
      </c>
      <c r="C1615" s="115" t="s">
        <v>5401</v>
      </c>
      <c r="D1615" s="115" t="s">
        <v>3601</v>
      </c>
      <c r="E1615" s="115" t="s">
        <v>29</v>
      </c>
      <c r="F1615" s="115">
        <v>3</v>
      </c>
    </row>
    <row r="1616" spans="2:6">
      <c r="B1616" s="115" t="s">
        <v>5402</v>
      </c>
      <c r="C1616" s="115" t="s">
        <v>5403</v>
      </c>
      <c r="D1616" s="115" t="s">
        <v>3601</v>
      </c>
      <c r="E1616" s="115" t="s">
        <v>29</v>
      </c>
      <c r="F1616" s="115">
        <v>3</v>
      </c>
    </row>
    <row r="1617" spans="2:6">
      <c r="B1617" s="115" t="s">
        <v>5404</v>
      </c>
      <c r="C1617" s="115" t="s">
        <v>5405</v>
      </c>
      <c r="D1617" s="115" t="s">
        <v>3601</v>
      </c>
      <c r="E1617" s="115" t="s">
        <v>29</v>
      </c>
      <c r="F1617" s="115">
        <v>1</v>
      </c>
    </row>
    <row r="1618" spans="2:6">
      <c r="B1618" s="115" t="s">
        <v>5406</v>
      </c>
      <c r="C1618" s="115" t="s">
        <v>5407</v>
      </c>
      <c r="D1618" s="115" t="s">
        <v>3601</v>
      </c>
      <c r="E1618" s="115" t="s">
        <v>29</v>
      </c>
      <c r="F1618" s="115">
        <v>3</v>
      </c>
    </row>
    <row r="1619" spans="2:6">
      <c r="B1619" s="115" t="s">
        <v>5408</v>
      </c>
      <c r="C1619" s="115" t="s">
        <v>5409</v>
      </c>
      <c r="D1619" s="115" t="s">
        <v>3601</v>
      </c>
      <c r="E1619" s="115" t="s">
        <v>29</v>
      </c>
      <c r="F1619" s="115">
        <v>3</v>
      </c>
    </row>
    <row r="1620" spans="2:6">
      <c r="B1620" s="115" t="s">
        <v>5410</v>
      </c>
      <c r="C1620" s="115" t="s">
        <v>5411</v>
      </c>
      <c r="D1620" s="115" t="s">
        <v>3601</v>
      </c>
      <c r="E1620" s="115" t="s">
        <v>29</v>
      </c>
      <c r="F1620" s="115">
        <v>1</v>
      </c>
    </row>
    <row r="1621" spans="2:6">
      <c r="B1621" s="115" t="s">
        <v>5412</v>
      </c>
      <c r="C1621" s="115" t="s">
        <v>5413</v>
      </c>
      <c r="D1621" s="115" t="s">
        <v>3601</v>
      </c>
      <c r="E1621" s="115" t="s">
        <v>29</v>
      </c>
      <c r="F1621" s="115">
        <v>1</v>
      </c>
    </row>
    <row r="1622" spans="2:6">
      <c r="B1622" s="115" t="s">
        <v>5414</v>
      </c>
      <c r="C1622" s="115" t="s">
        <v>5415</v>
      </c>
      <c r="D1622" s="115" t="s">
        <v>3601</v>
      </c>
      <c r="E1622" s="115" t="s">
        <v>29</v>
      </c>
      <c r="F1622" s="115">
        <v>1</v>
      </c>
    </row>
    <row r="1623" spans="2:6">
      <c r="B1623" s="115" t="s">
        <v>5416</v>
      </c>
      <c r="C1623" s="115" t="s">
        <v>5417</v>
      </c>
      <c r="D1623" s="115" t="s">
        <v>3601</v>
      </c>
      <c r="E1623" s="115" t="s">
        <v>29</v>
      </c>
      <c r="F1623" s="115">
        <v>3</v>
      </c>
    </row>
    <row r="1624" spans="2:6">
      <c r="B1624" s="115" t="s">
        <v>5418</v>
      </c>
      <c r="C1624" s="115" t="s">
        <v>5419</v>
      </c>
      <c r="D1624" s="115" t="s">
        <v>3601</v>
      </c>
      <c r="E1624" s="115" t="s">
        <v>29</v>
      </c>
      <c r="F1624" s="115">
        <v>3</v>
      </c>
    </row>
    <row r="1625" spans="2:6">
      <c r="B1625" s="115" t="s">
        <v>5420</v>
      </c>
      <c r="C1625" s="115" t="s">
        <v>5421</v>
      </c>
      <c r="D1625" s="115" t="s">
        <v>3601</v>
      </c>
      <c r="E1625" s="115" t="s">
        <v>29</v>
      </c>
      <c r="F1625" s="115">
        <v>3</v>
      </c>
    </row>
    <row r="1626" spans="2:6">
      <c r="B1626" s="115" t="s">
        <v>5422</v>
      </c>
      <c r="C1626" s="115" t="s">
        <v>5423</v>
      </c>
      <c r="D1626" s="115" t="s">
        <v>3601</v>
      </c>
      <c r="E1626" s="115" t="s">
        <v>29</v>
      </c>
      <c r="F1626" s="115">
        <v>1</v>
      </c>
    </row>
    <row r="1627" spans="2:6">
      <c r="B1627" s="115" t="s">
        <v>5424</v>
      </c>
      <c r="C1627" s="115" t="s">
        <v>5425</v>
      </c>
      <c r="D1627" s="115" t="s">
        <v>3601</v>
      </c>
      <c r="E1627" s="115" t="s">
        <v>29</v>
      </c>
      <c r="F1627" s="115">
        <v>3</v>
      </c>
    </row>
    <row r="1628" spans="2:6">
      <c r="B1628" s="115" t="s">
        <v>5426</v>
      </c>
      <c r="C1628" s="115" t="s">
        <v>5427</v>
      </c>
      <c r="D1628" s="115" t="s">
        <v>3601</v>
      </c>
      <c r="E1628" s="115" t="s">
        <v>29</v>
      </c>
      <c r="F1628" s="115">
        <v>3</v>
      </c>
    </row>
    <row r="1629" spans="2:6">
      <c r="B1629" s="115" t="s">
        <v>5428</v>
      </c>
      <c r="C1629" s="115" t="s">
        <v>5429</v>
      </c>
      <c r="D1629" s="115" t="s">
        <v>3601</v>
      </c>
      <c r="E1629" s="115" t="s">
        <v>29</v>
      </c>
      <c r="F1629" s="115">
        <v>3</v>
      </c>
    </row>
    <row r="1630" spans="2:6">
      <c r="B1630" s="115" t="s">
        <v>5430</v>
      </c>
      <c r="C1630" s="115" t="s">
        <v>5431</v>
      </c>
      <c r="D1630" s="115" t="s">
        <v>3601</v>
      </c>
      <c r="E1630" s="115" t="s">
        <v>29</v>
      </c>
      <c r="F1630" s="115">
        <v>1</v>
      </c>
    </row>
    <row r="1631" spans="2:6">
      <c r="B1631" s="115" t="s">
        <v>5432</v>
      </c>
      <c r="C1631" s="115" t="s">
        <v>5433</v>
      </c>
      <c r="D1631" s="115" t="s">
        <v>3601</v>
      </c>
      <c r="E1631" s="115" t="s">
        <v>29</v>
      </c>
      <c r="F1631" s="115">
        <v>3</v>
      </c>
    </row>
    <row r="1632" spans="2:6">
      <c r="B1632" s="115" t="s">
        <v>5434</v>
      </c>
      <c r="C1632" s="115" t="s">
        <v>5435</v>
      </c>
      <c r="D1632" s="115" t="s">
        <v>3601</v>
      </c>
      <c r="E1632" s="115" t="s">
        <v>29</v>
      </c>
      <c r="F1632" s="115">
        <v>1</v>
      </c>
    </row>
    <row r="1633" spans="2:6">
      <c r="B1633" s="115" t="s">
        <v>5436</v>
      </c>
      <c r="C1633" s="115" t="s">
        <v>5437</v>
      </c>
      <c r="D1633" s="115" t="s">
        <v>3601</v>
      </c>
      <c r="E1633" s="115" t="s">
        <v>29</v>
      </c>
      <c r="F1633" s="115">
        <v>3</v>
      </c>
    </row>
    <row r="1634" spans="2:6">
      <c r="B1634" s="115" t="s">
        <v>5438</v>
      </c>
      <c r="C1634" s="115" t="s">
        <v>5439</v>
      </c>
      <c r="D1634" s="115" t="s">
        <v>3601</v>
      </c>
      <c r="E1634" s="115" t="s">
        <v>29</v>
      </c>
      <c r="F1634" s="115">
        <v>3</v>
      </c>
    </row>
    <row r="1635" spans="2:6">
      <c r="B1635" s="115" t="s">
        <v>5440</v>
      </c>
      <c r="C1635" s="115" t="s">
        <v>5441</v>
      </c>
      <c r="D1635" s="115" t="s">
        <v>3601</v>
      </c>
      <c r="E1635" s="115" t="s">
        <v>29</v>
      </c>
      <c r="F1635" s="115">
        <v>1</v>
      </c>
    </row>
    <row r="1636" spans="2:6">
      <c r="B1636" s="115" t="s">
        <v>5442</v>
      </c>
      <c r="C1636" s="115" t="s">
        <v>5443</v>
      </c>
      <c r="D1636" s="115" t="s">
        <v>3601</v>
      </c>
      <c r="E1636" s="115" t="s">
        <v>29</v>
      </c>
      <c r="F1636" s="115">
        <v>3</v>
      </c>
    </row>
    <row r="1637" spans="2:6">
      <c r="B1637" s="115" t="s">
        <v>5444</v>
      </c>
      <c r="C1637" s="115" t="s">
        <v>5445</v>
      </c>
      <c r="D1637" s="115" t="s">
        <v>3601</v>
      </c>
      <c r="E1637" s="115" t="s">
        <v>29</v>
      </c>
      <c r="F1637" s="115">
        <v>3</v>
      </c>
    </row>
    <row r="1638" spans="2:6">
      <c r="B1638" s="115" t="s">
        <v>5446</v>
      </c>
      <c r="C1638" s="115" t="s">
        <v>5447</v>
      </c>
      <c r="D1638" s="115" t="s">
        <v>3601</v>
      </c>
      <c r="E1638" s="115" t="s">
        <v>29</v>
      </c>
      <c r="F1638" s="115">
        <v>1</v>
      </c>
    </row>
    <row r="1639" spans="2:6">
      <c r="B1639" s="115" t="s">
        <v>5448</v>
      </c>
      <c r="C1639" s="115" t="s">
        <v>5449</v>
      </c>
      <c r="D1639" s="115" t="s">
        <v>3601</v>
      </c>
      <c r="E1639" s="115" t="s">
        <v>29</v>
      </c>
      <c r="F1639" s="115">
        <v>1</v>
      </c>
    </row>
    <row r="1640" spans="2:6">
      <c r="B1640" s="115" t="s">
        <v>5450</v>
      </c>
      <c r="C1640" s="115" t="s">
        <v>5451</v>
      </c>
      <c r="D1640" s="115" t="s">
        <v>3601</v>
      </c>
      <c r="E1640" s="115" t="s">
        <v>29</v>
      </c>
      <c r="F1640" s="115">
        <v>1</v>
      </c>
    </row>
    <row r="1641" spans="2:6">
      <c r="B1641" s="115" t="s">
        <v>5452</v>
      </c>
      <c r="C1641" s="115" t="s">
        <v>5453</v>
      </c>
      <c r="D1641" s="115" t="s">
        <v>3601</v>
      </c>
      <c r="E1641" s="115" t="s">
        <v>29</v>
      </c>
      <c r="F1641" s="115">
        <v>3</v>
      </c>
    </row>
    <row r="1642" spans="2:6">
      <c r="B1642" s="115" t="s">
        <v>5454</v>
      </c>
      <c r="C1642" s="115" t="s">
        <v>5455</v>
      </c>
      <c r="D1642" s="115" t="s">
        <v>3601</v>
      </c>
      <c r="E1642" s="115" t="s">
        <v>29</v>
      </c>
      <c r="F1642" s="115">
        <v>3</v>
      </c>
    </row>
    <row r="1643" spans="2:6">
      <c r="B1643" s="115" t="s">
        <v>5456</v>
      </c>
      <c r="C1643" s="115" t="s">
        <v>5457</v>
      </c>
      <c r="D1643" s="115" t="s">
        <v>3601</v>
      </c>
      <c r="E1643" s="115" t="s">
        <v>29</v>
      </c>
      <c r="F1643" s="115">
        <v>3</v>
      </c>
    </row>
    <row r="1644" spans="2:6">
      <c r="B1644" s="115" t="s">
        <v>5458</v>
      </c>
      <c r="C1644" s="115" t="s">
        <v>5459</v>
      </c>
      <c r="D1644" s="115" t="s">
        <v>3601</v>
      </c>
      <c r="E1644" s="115" t="s">
        <v>29</v>
      </c>
      <c r="F1644" s="115">
        <v>1</v>
      </c>
    </row>
    <row r="1645" spans="2:6">
      <c r="B1645" s="115" t="s">
        <v>5460</v>
      </c>
      <c r="C1645" s="115" t="s">
        <v>5461</v>
      </c>
      <c r="D1645" s="115" t="s">
        <v>3601</v>
      </c>
      <c r="E1645" s="115" t="s">
        <v>29</v>
      </c>
      <c r="F1645" s="115">
        <v>3</v>
      </c>
    </row>
    <row r="1646" spans="2:6">
      <c r="B1646" s="115" t="s">
        <v>5462</v>
      </c>
      <c r="C1646" s="115" t="s">
        <v>5463</v>
      </c>
      <c r="D1646" s="115" t="s">
        <v>3601</v>
      </c>
      <c r="E1646" s="115" t="s">
        <v>29</v>
      </c>
      <c r="F1646" s="115">
        <v>3</v>
      </c>
    </row>
    <row r="1647" spans="2:6">
      <c r="B1647" s="115" t="s">
        <v>5464</v>
      </c>
      <c r="C1647" s="115" t="s">
        <v>5465</v>
      </c>
      <c r="D1647" s="115" t="s">
        <v>3601</v>
      </c>
      <c r="E1647" s="115" t="s">
        <v>29</v>
      </c>
      <c r="F1647" s="115">
        <v>3</v>
      </c>
    </row>
    <row r="1648" spans="2:6">
      <c r="B1648" s="115" t="s">
        <v>5466</v>
      </c>
      <c r="C1648" s="115" t="s">
        <v>5467</v>
      </c>
      <c r="D1648" s="115" t="s">
        <v>3601</v>
      </c>
      <c r="E1648" s="115" t="s">
        <v>29</v>
      </c>
      <c r="F1648" s="115">
        <v>2</v>
      </c>
    </row>
    <row r="1649" spans="2:6">
      <c r="B1649" s="115" t="s">
        <v>5468</v>
      </c>
      <c r="C1649" s="115" t="s">
        <v>5469</v>
      </c>
      <c r="D1649" s="115" t="s">
        <v>3601</v>
      </c>
      <c r="E1649" s="115" t="s">
        <v>29</v>
      </c>
      <c r="F1649" s="115">
        <v>3</v>
      </c>
    </row>
    <row r="1650" spans="2:6">
      <c r="B1650" s="115" t="s">
        <v>5470</v>
      </c>
      <c r="C1650" s="115" t="s">
        <v>5471</v>
      </c>
      <c r="D1650" s="115" t="s">
        <v>3601</v>
      </c>
      <c r="E1650" s="115" t="s">
        <v>29</v>
      </c>
      <c r="F1650" s="115">
        <v>1</v>
      </c>
    </row>
    <row r="1651" spans="2:6">
      <c r="B1651" s="115" t="s">
        <v>5472</v>
      </c>
      <c r="C1651" s="115" t="s">
        <v>5473</v>
      </c>
      <c r="D1651" s="115" t="s">
        <v>3601</v>
      </c>
      <c r="E1651" s="115" t="s">
        <v>29</v>
      </c>
      <c r="F1651" s="115">
        <v>3</v>
      </c>
    </row>
    <row r="1652" spans="2:6">
      <c r="B1652" s="115" t="s">
        <v>5474</v>
      </c>
      <c r="C1652" s="115" t="s">
        <v>5475</v>
      </c>
      <c r="D1652" s="115" t="s">
        <v>3601</v>
      </c>
      <c r="E1652" s="115" t="s">
        <v>29</v>
      </c>
      <c r="F1652" s="115">
        <v>3</v>
      </c>
    </row>
    <row r="1653" spans="2:6">
      <c r="B1653" s="115" t="s">
        <v>5476</v>
      </c>
      <c r="C1653" s="115" t="s">
        <v>5477</v>
      </c>
      <c r="D1653" s="115" t="s">
        <v>3601</v>
      </c>
      <c r="E1653" s="115" t="s">
        <v>29</v>
      </c>
      <c r="F1653" s="115">
        <v>1</v>
      </c>
    </row>
    <row r="1654" spans="2:6">
      <c r="B1654" s="115" t="s">
        <v>5478</v>
      </c>
      <c r="C1654" s="115" t="s">
        <v>5479</v>
      </c>
      <c r="D1654" s="115" t="s">
        <v>3601</v>
      </c>
      <c r="E1654" s="115" t="s">
        <v>29</v>
      </c>
      <c r="F1654" s="115">
        <v>3</v>
      </c>
    </row>
    <row r="1655" spans="2:6">
      <c r="B1655" s="115" t="s">
        <v>5480</v>
      </c>
      <c r="C1655" s="115" t="s">
        <v>5481</v>
      </c>
      <c r="D1655" s="115" t="s">
        <v>3601</v>
      </c>
      <c r="E1655" s="115" t="s">
        <v>29</v>
      </c>
      <c r="F1655" s="115">
        <v>3</v>
      </c>
    </row>
    <row r="1656" spans="2:6">
      <c r="B1656" s="115" t="s">
        <v>5482</v>
      </c>
      <c r="C1656" s="115" t="s">
        <v>5483</v>
      </c>
      <c r="D1656" s="115" t="s">
        <v>3601</v>
      </c>
      <c r="E1656" s="115" t="s">
        <v>29</v>
      </c>
      <c r="F1656" s="115">
        <v>1</v>
      </c>
    </row>
    <row r="1657" spans="2:6">
      <c r="B1657" s="115" t="s">
        <v>5484</v>
      </c>
      <c r="C1657" s="115" t="s">
        <v>5485</v>
      </c>
      <c r="D1657" s="115" t="s">
        <v>3601</v>
      </c>
      <c r="E1657" s="115" t="s">
        <v>29</v>
      </c>
      <c r="F1657" s="115">
        <v>3</v>
      </c>
    </row>
    <row r="1658" spans="2:6">
      <c r="B1658" s="115" t="s">
        <v>5486</v>
      </c>
      <c r="C1658" s="115" t="s">
        <v>5487</v>
      </c>
      <c r="D1658" s="115" t="s">
        <v>3601</v>
      </c>
      <c r="E1658" s="115" t="s">
        <v>29</v>
      </c>
      <c r="F1658" s="115">
        <v>3</v>
      </c>
    </row>
    <row r="1659" spans="2:6">
      <c r="B1659" s="115" t="s">
        <v>5488</v>
      </c>
      <c r="C1659" s="115" t="s">
        <v>5489</v>
      </c>
      <c r="D1659" s="115" t="s">
        <v>3601</v>
      </c>
      <c r="E1659" s="115" t="s">
        <v>29</v>
      </c>
      <c r="F1659" s="115">
        <v>1</v>
      </c>
    </row>
    <row r="1660" spans="2:6">
      <c r="B1660" s="115" t="s">
        <v>5490</v>
      </c>
      <c r="C1660" s="115" t="s">
        <v>5491</v>
      </c>
      <c r="D1660" s="115" t="s">
        <v>3601</v>
      </c>
      <c r="E1660" s="115" t="s">
        <v>29</v>
      </c>
      <c r="F1660" s="115">
        <v>3</v>
      </c>
    </row>
    <row r="1661" spans="2:6">
      <c r="B1661" s="115" t="s">
        <v>5492</v>
      </c>
      <c r="C1661" s="115" t="s">
        <v>5493</v>
      </c>
      <c r="D1661" s="115" t="s">
        <v>3601</v>
      </c>
      <c r="E1661" s="115" t="s">
        <v>29</v>
      </c>
      <c r="F1661" s="115">
        <v>1</v>
      </c>
    </row>
    <row r="1662" spans="2:6">
      <c r="B1662" s="115" t="s">
        <v>5494</v>
      </c>
      <c r="C1662" s="115" t="s">
        <v>5495</v>
      </c>
      <c r="D1662" s="115" t="s">
        <v>3601</v>
      </c>
      <c r="E1662" s="115" t="s">
        <v>29</v>
      </c>
      <c r="F1662" s="115">
        <v>3</v>
      </c>
    </row>
    <row r="1663" spans="2:6">
      <c r="B1663" s="115" t="s">
        <v>5496</v>
      </c>
      <c r="C1663" s="115" t="s">
        <v>5497</v>
      </c>
      <c r="D1663" s="115" t="s">
        <v>3601</v>
      </c>
      <c r="E1663" s="115" t="s">
        <v>29</v>
      </c>
      <c r="F1663" s="115">
        <v>1</v>
      </c>
    </row>
    <row r="1664" spans="2:6">
      <c r="B1664" s="115" t="s">
        <v>5498</v>
      </c>
      <c r="C1664" s="115" t="s">
        <v>5499</v>
      </c>
      <c r="D1664" s="115" t="s">
        <v>3601</v>
      </c>
      <c r="E1664" s="115" t="s">
        <v>29</v>
      </c>
      <c r="F1664" s="115">
        <v>1</v>
      </c>
    </row>
    <row r="1665" spans="2:6">
      <c r="B1665" s="115" t="s">
        <v>5500</v>
      </c>
      <c r="C1665" s="115" t="s">
        <v>5501</v>
      </c>
      <c r="D1665" s="115" t="s">
        <v>3601</v>
      </c>
      <c r="E1665" s="115" t="s">
        <v>29</v>
      </c>
      <c r="F1665" s="115">
        <v>3</v>
      </c>
    </row>
    <row r="1666" spans="2:6">
      <c r="B1666" s="115" t="s">
        <v>5502</v>
      </c>
      <c r="C1666" s="115" t="s">
        <v>5503</v>
      </c>
      <c r="D1666" s="115" t="s">
        <v>3601</v>
      </c>
      <c r="E1666" s="115" t="s">
        <v>29</v>
      </c>
      <c r="F1666" s="115">
        <v>1</v>
      </c>
    </row>
    <row r="1667" spans="2:6">
      <c r="B1667" s="115" t="s">
        <v>5504</v>
      </c>
      <c r="C1667" s="115" t="s">
        <v>5505</v>
      </c>
      <c r="D1667" s="115" t="s">
        <v>3601</v>
      </c>
      <c r="E1667" s="115" t="s">
        <v>29</v>
      </c>
      <c r="F1667" s="115">
        <v>3</v>
      </c>
    </row>
    <row r="1668" spans="2:6">
      <c r="B1668" s="115" t="s">
        <v>5506</v>
      </c>
      <c r="C1668" s="115" t="s">
        <v>5507</v>
      </c>
      <c r="D1668" s="115" t="s">
        <v>3601</v>
      </c>
      <c r="E1668" s="115" t="s">
        <v>29</v>
      </c>
      <c r="F1668" s="115">
        <v>1</v>
      </c>
    </row>
    <row r="1669" spans="2:6">
      <c r="B1669" s="115" t="s">
        <v>5508</v>
      </c>
      <c r="C1669" s="115" t="s">
        <v>5509</v>
      </c>
      <c r="D1669" s="115" t="s">
        <v>3601</v>
      </c>
      <c r="E1669" s="115" t="s">
        <v>29</v>
      </c>
      <c r="F1669" s="115">
        <v>1</v>
      </c>
    </row>
    <row r="1670" spans="2:6">
      <c r="B1670" s="115" t="s">
        <v>5510</v>
      </c>
      <c r="C1670" s="115" t="s">
        <v>5511</v>
      </c>
      <c r="D1670" s="115" t="s">
        <v>3601</v>
      </c>
      <c r="E1670" s="115" t="s">
        <v>29</v>
      </c>
      <c r="F1670" s="115">
        <v>3</v>
      </c>
    </row>
    <row r="1671" spans="2:6">
      <c r="B1671" s="115" t="s">
        <v>5512</v>
      </c>
      <c r="C1671" s="115" t="s">
        <v>5513</v>
      </c>
      <c r="D1671" s="115" t="s">
        <v>3601</v>
      </c>
      <c r="E1671" s="115" t="s">
        <v>29</v>
      </c>
      <c r="F1671" s="115">
        <v>3</v>
      </c>
    </row>
    <row r="1672" spans="2:6">
      <c r="B1672" s="115" t="s">
        <v>5514</v>
      </c>
      <c r="C1672" s="115" t="s">
        <v>5515</v>
      </c>
      <c r="D1672" s="115" t="s">
        <v>3601</v>
      </c>
      <c r="E1672" s="115" t="s">
        <v>29</v>
      </c>
      <c r="F1672" s="115">
        <v>3</v>
      </c>
    </row>
    <row r="1673" spans="2:6">
      <c r="B1673" s="115" t="s">
        <v>5516</v>
      </c>
      <c r="C1673" s="115" t="s">
        <v>5517</v>
      </c>
      <c r="D1673" s="115" t="s">
        <v>3601</v>
      </c>
      <c r="E1673" s="115" t="s">
        <v>29</v>
      </c>
      <c r="F1673" s="115">
        <v>1</v>
      </c>
    </row>
    <row r="1674" spans="2:6">
      <c r="B1674" s="115" t="s">
        <v>5518</v>
      </c>
      <c r="C1674" s="115" t="s">
        <v>5519</v>
      </c>
      <c r="D1674" s="115" t="s">
        <v>3601</v>
      </c>
      <c r="E1674" s="115" t="s">
        <v>29</v>
      </c>
      <c r="F1674" s="115">
        <v>3</v>
      </c>
    </row>
    <row r="1675" spans="2:6">
      <c r="B1675" s="115" t="s">
        <v>5520</v>
      </c>
      <c r="C1675" s="115" t="s">
        <v>5521</v>
      </c>
      <c r="D1675" s="115" t="s">
        <v>3601</v>
      </c>
      <c r="E1675" s="115" t="s">
        <v>29</v>
      </c>
      <c r="F1675" s="115">
        <v>3</v>
      </c>
    </row>
    <row r="1676" spans="2:6">
      <c r="B1676" s="115" t="s">
        <v>5522</v>
      </c>
      <c r="C1676" s="115" t="s">
        <v>5523</v>
      </c>
      <c r="D1676" s="115" t="s">
        <v>3601</v>
      </c>
      <c r="E1676" s="115" t="s">
        <v>29</v>
      </c>
      <c r="F1676" s="115">
        <v>3</v>
      </c>
    </row>
    <row r="1677" spans="2:6">
      <c r="B1677" s="115" t="s">
        <v>5524</v>
      </c>
      <c r="C1677" s="115" t="s">
        <v>5525</v>
      </c>
      <c r="D1677" s="115" t="s">
        <v>3601</v>
      </c>
      <c r="E1677" s="115" t="s">
        <v>29</v>
      </c>
      <c r="F1677" s="115">
        <v>3</v>
      </c>
    </row>
    <row r="1678" spans="2:6">
      <c r="B1678" s="115" t="s">
        <v>5526</v>
      </c>
      <c r="C1678" s="115" t="s">
        <v>5527</v>
      </c>
      <c r="D1678" s="115" t="s">
        <v>3601</v>
      </c>
      <c r="E1678" s="115" t="s">
        <v>29</v>
      </c>
      <c r="F1678" s="115">
        <v>3</v>
      </c>
    </row>
    <row r="1679" spans="2:6">
      <c r="B1679" s="115" t="s">
        <v>5528</v>
      </c>
      <c r="C1679" s="115" t="s">
        <v>5529</v>
      </c>
      <c r="D1679" s="115" t="s">
        <v>3601</v>
      </c>
      <c r="E1679" s="115" t="s">
        <v>29</v>
      </c>
      <c r="F1679" s="115">
        <v>3</v>
      </c>
    </row>
    <row r="1680" spans="2:6">
      <c r="B1680" s="115" t="s">
        <v>5530</v>
      </c>
      <c r="C1680" s="115" t="s">
        <v>5531</v>
      </c>
      <c r="D1680" s="115" t="s">
        <v>3601</v>
      </c>
      <c r="E1680" s="115" t="s">
        <v>29</v>
      </c>
      <c r="F1680" s="115">
        <v>1</v>
      </c>
    </row>
    <row r="1681" spans="2:6">
      <c r="B1681" s="115" t="s">
        <v>5532</v>
      </c>
      <c r="C1681" s="115" t="s">
        <v>5533</v>
      </c>
      <c r="D1681" s="115" t="s">
        <v>3601</v>
      </c>
      <c r="E1681" s="115" t="s">
        <v>29</v>
      </c>
      <c r="F1681" s="115">
        <v>3</v>
      </c>
    </row>
    <row r="1682" spans="2:6">
      <c r="B1682" s="115" t="s">
        <v>5534</v>
      </c>
      <c r="C1682" s="115" t="s">
        <v>5535</v>
      </c>
      <c r="D1682" s="115" t="s">
        <v>3601</v>
      </c>
      <c r="E1682" s="115" t="s">
        <v>29</v>
      </c>
      <c r="F1682" s="115">
        <v>1</v>
      </c>
    </row>
    <row r="1683" spans="2:6">
      <c r="B1683" s="115" t="s">
        <v>5536</v>
      </c>
      <c r="C1683" s="115" t="s">
        <v>5537</v>
      </c>
      <c r="D1683" s="115" t="s">
        <v>3601</v>
      </c>
      <c r="E1683" s="115" t="s">
        <v>29</v>
      </c>
      <c r="F1683" s="115">
        <v>3</v>
      </c>
    </row>
    <row r="1684" spans="2:6">
      <c r="B1684" s="115" t="s">
        <v>5538</v>
      </c>
      <c r="C1684" s="115" t="s">
        <v>5539</v>
      </c>
      <c r="D1684" s="115" t="s">
        <v>3601</v>
      </c>
      <c r="E1684" s="115" t="s">
        <v>29</v>
      </c>
      <c r="F1684" s="115">
        <v>1</v>
      </c>
    </row>
    <row r="1685" spans="2:6">
      <c r="B1685" s="115" t="s">
        <v>5540</v>
      </c>
      <c r="C1685" s="115" t="s">
        <v>5541</v>
      </c>
      <c r="D1685" s="115" t="s">
        <v>3601</v>
      </c>
      <c r="E1685" s="115" t="s">
        <v>29</v>
      </c>
      <c r="F1685" s="115">
        <v>2</v>
      </c>
    </row>
    <row r="1686" spans="2:6">
      <c r="B1686" s="115" t="s">
        <v>5542</v>
      </c>
      <c r="C1686" s="115" t="s">
        <v>5543</v>
      </c>
      <c r="D1686" s="115" t="s">
        <v>3601</v>
      </c>
      <c r="E1686" s="115" t="s">
        <v>29</v>
      </c>
      <c r="F1686" s="115">
        <v>3</v>
      </c>
    </row>
    <row r="1687" spans="2:6">
      <c r="B1687" s="115" t="s">
        <v>5544</v>
      </c>
      <c r="C1687" s="115" t="s">
        <v>5545</v>
      </c>
      <c r="D1687" s="115" t="s">
        <v>3601</v>
      </c>
      <c r="E1687" s="115" t="s">
        <v>29</v>
      </c>
      <c r="F1687" s="115">
        <v>3</v>
      </c>
    </row>
    <row r="1688" spans="2:6">
      <c r="B1688" s="115" t="s">
        <v>5546</v>
      </c>
      <c r="C1688" s="115" t="s">
        <v>5547</v>
      </c>
      <c r="D1688" s="115" t="s">
        <v>3601</v>
      </c>
      <c r="E1688" s="115" t="s">
        <v>29</v>
      </c>
      <c r="F1688" s="115">
        <v>2</v>
      </c>
    </row>
    <row r="1689" spans="2:6">
      <c r="B1689" s="115" t="s">
        <v>5548</v>
      </c>
      <c r="C1689" s="115" t="s">
        <v>5549</v>
      </c>
      <c r="D1689" s="115" t="s">
        <v>3601</v>
      </c>
      <c r="E1689" s="115" t="s">
        <v>29</v>
      </c>
      <c r="F1689" s="115">
        <v>3</v>
      </c>
    </row>
    <row r="1690" spans="2:6">
      <c r="B1690" s="115" t="s">
        <v>5550</v>
      </c>
      <c r="C1690" s="115" t="s">
        <v>5551</v>
      </c>
      <c r="D1690" s="115" t="s">
        <v>3601</v>
      </c>
      <c r="E1690" s="115" t="s">
        <v>29</v>
      </c>
      <c r="F1690" s="115">
        <v>1</v>
      </c>
    </row>
    <row r="1691" spans="2:6">
      <c r="B1691" s="115" t="s">
        <v>5552</v>
      </c>
      <c r="C1691" s="115" t="s">
        <v>5553</v>
      </c>
      <c r="D1691" s="115" t="s">
        <v>3601</v>
      </c>
      <c r="E1691" s="115" t="s">
        <v>29</v>
      </c>
      <c r="F1691" s="115">
        <v>1</v>
      </c>
    </row>
    <row r="1692" spans="2:6">
      <c r="B1692" s="115" t="s">
        <v>5554</v>
      </c>
      <c r="C1692" s="115" t="s">
        <v>5555</v>
      </c>
      <c r="D1692" s="115" t="s">
        <v>3601</v>
      </c>
      <c r="E1692" s="115" t="s">
        <v>29</v>
      </c>
      <c r="F1692" s="115">
        <v>1</v>
      </c>
    </row>
    <row r="1693" spans="2:6">
      <c r="B1693" s="115" t="s">
        <v>5556</v>
      </c>
      <c r="C1693" s="115" t="s">
        <v>5557</v>
      </c>
      <c r="D1693" s="115" t="s">
        <v>3601</v>
      </c>
      <c r="E1693" s="115" t="s">
        <v>29</v>
      </c>
      <c r="F1693" s="115">
        <v>1</v>
      </c>
    </row>
    <row r="1694" spans="2:6">
      <c r="B1694" s="115" t="s">
        <v>5558</v>
      </c>
      <c r="C1694" s="115" t="s">
        <v>5559</v>
      </c>
      <c r="D1694" s="115" t="s">
        <v>3601</v>
      </c>
      <c r="E1694" s="115" t="s">
        <v>29</v>
      </c>
      <c r="F1694" s="115">
        <v>1</v>
      </c>
    </row>
    <row r="1695" spans="2:6">
      <c r="B1695" s="115" t="s">
        <v>5560</v>
      </c>
      <c r="C1695" s="115" t="s">
        <v>5561</v>
      </c>
      <c r="D1695" s="115" t="s">
        <v>3601</v>
      </c>
      <c r="E1695" s="115" t="s">
        <v>29</v>
      </c>
      <c r="F1695" s="115">
        <v>1</v>
      </c>
    </row>
    <row r="1696" spans="2:6">
      <c r="B1696" s="115" t="s">
        <v>5562</v>
      </c>
      <c r="C1696" s="115" t="s">
        <v>5563</v>
      </c>
      <c r="D1696" s="115" t="s">
        <v>3601</v>
      </c>
      <c r="E1696" s="115" t="s">
        <v>29</v>
      </c>
      <c r="F1696" s="115">
        <v>2</v>
      </c>
    </row>
    <row r="1697" spans="2:6">
      <c r="B1697" s="115" t="s">
        <v>5564</v>
      </c>
      <c r="C1697" s="115" t="s">
        <v>5565</v>
      </c>
      <c r="D1697" s="115" t="s">
        <v>3601</v>
      </c>
      <c r="E1697" s="115" t="s">
        <v>29</v>
      </c>
      <c r="F1697" s="115">
        <v>2</v>
      </c>
    </row>
    <row r="1698" spans="2:6">
      <c r="B1698" s="115" t="s">
        <v>5566</v>
      </c>
      <c r="C1698" s="115" t="s">
        <v>5567</v>
      </c>
      <c r="D1698" s="115" t="s">
        <v>3601</v>
      </c>
      <c r="E1698" s="115" t="s">
        <v>29</v>
      </c>
      <c r="F1698" s="115">
        <v>2</v>
      </c>
    </row>
    <row r="1699" spans="2:6">
      <c r="B1699" s="115" t="s">
        <v>5568</v>
      </c>
      <c r="C1699" s="115" t="s">
        <v>5569</v>
      </c>
      <c r="D1699" s="115" t="s">
        <v>3601</v>
      </c>
      <c r="E1699" s="115" t="s">
        <v>29</v>
      </c>
      <c r="F1699" s="115">
        <v>3</v>
      </c>
    </row>
    <row r="1700" spans="2:6">
      <c r="B1700" s="115" t="s">
        <v>5570</v>
      </c>
      <c r="C1700" s="115" t="s">
        <v>5571</v>
      </c>
      <c r="D1700" s="115" t="s">
        <v>3601</v>
      </c>
      <c r="E1700" s="115" t="s">
        <v>29</v>
      </c>
      <c r="F1700" s="115">
        <v>3</v>
      </c>
    </row>
    <row r="1701" spans="2:6">
      <c r="B1701" s="115" t="s">
        <v>5572</v>
      </c>
      <c r="C1701" s="115" t="s">
        <v>5573</v>
      </c>
      <c r="D1701" s="115" t="s">
        <v>3601</v>
      </c>
      <c r="E1701" s="115" t="s">
        <v>29</v>
      </c>
      <c r="F1701" s="115">
        <v>3</v>
      </c>
    </row>
    <row r="1702" spans="2:6">
      <c r="B1702" s="115" t="s">
        <v>5574</v>
      </c>
      <c r="C1702" s="115" t="s">
        <v>5575</v>
      </c>
      <c r="D1702" s="115" t="s">
        <v>3601</v>
      </c>
      <c r="E1702" s="115" t="s">
        <v>29</v>
      </c>
      <c r="F1702" s="115">
        <v>1</v>
      </c>
    </row>
    <row r="1703" spans="2:6">
      <c r="B1703" s="115" t="s">
        <v>5574</v>
      </c>
      <c r="C1703" s="115" t="s">
        <v>5575</v>
      </c>
      <c r="D1703" s="115" t="s">
        <v>3601</v>
      </c>
      <c r="E1703" s="115" t="s">
        <v>29</v>
      </c>
      <c r="F1703" s="115">
        <v>1</v>
      </c>
    </row>
    <row r="1704" spans="2:6">
      <c r="B1704" s="115" t="s">
        <v>5574</v>
      </c>
      <c r="C1704" s="115" t="s">
        <v>5575</v>
      </c>
      <c r="D1704" s="115" t="s">
        <v>3601</v>
      </c>
      <c r="E1704" s="115" t="s">
        <v>29</v>
      </c>
      <c r="F1704" s="115">
        <v>1</v>
      </c>
    </row>
    <row r="1705" spans="2:6">
      <c r="B1705" s="115" t="s">
        <v>5576</v>
      </c>
      <c r="C1705" s="115" t="s">
        <v>5577</v>
      </c>
      <c r="D1705" s="115" t="s">
        <v>3601</v>
      </c>
      <c r="E1705" s="115" t="s">
        <v>29</v>
      </c>
      <c r="F1705" s="115">
        <v>1</v>
      </c>
    </row>
    <row r="1706" spans="2:6">
      <c r="B1706" s="115" t="s">
        <v>5578</v>
      </c>
      <c r="C1706" s="115" t="s">
        <v>5579</v>
      </c>
      <c r="D1706" s="115" t="s">
        <v>3601</v>
      </c>
      <c r="E1706" s="115" t="s">
        <v>29</v>
      </c>
      <c r="F1706" s="115">
        <v>3</v>
      </c>
    </row>
    <row r="1707" spans="2:6">
      <c r="B1707" s="115" t="s">
        <v>5580</v>
      </c>
      <c r="C1707" s="115" t="s">
        <v>5581</v>
      </c>
      <c r="D1707" s="115" t="s">
        <v>3601</v>
      </c>
      <c r="E1707" s="115" t="s">
        <v>29</v>
      </c>
      <c r="F1707" s="115">
        <v>1</v>
      </c>
    </row>
    <row r="1708" spans="2:6">
      <c r="B1708" s="115" t="s">
        <v>5582</v>
      </c>
      <c r="C1708" s="115" t="s">
        <v>5583</v>
      </c>
      <c r="D1708" s="115" t="s">
        <v>3601</v>
      </c>
      <c r="E1708" s="115" t="s">
        <v>29</v>
      </c>
      <c r="F1708" s="115">
        <v>3</v>
      </c>
    </row>
    <row r="1709" spans="2:6">
      <c r="B1709" s="115" t="s">
        <v>5584</v>
      </c>
      <c r="C1709" s="115" t="s">
        <v>5585</v>
      </c>
      <c r="D1709" s="115" t="s">
        <v>3601</v>
      </c>
      <c r="E1709" s="115" t="s">
        <v>29</v>
      </c>
      <c r="F1709" s="115">
        <v>3</v>
      </c>
    </row>
    <row r="1710" spans="2:6">
      <c r="B1710" s="115" t="s">
        <v>5586</v>
      </c>
      <c r="C1710" s="115" t="s">
        <v>5587</v>
      </c>
      <c r="D1710" s="115" t="s">
        <v>3601</v>
      </c>
      <c r="E1710" s="115" t="s">
        <v>29</v>
      </c>
      <c r="F1710" s="115">
        <v>3</v>
      </c>
    </row>
    <row r="1711" spans="2:6">
      <c r="B1711" s="115" t="s">
        <v>5588</v>
      </c>
      <c r="C1711" s="115" t="s">
        <v>5589</v>
      </c>
      <c r="D1711" s="115" t="s">
        <v>3601</v>
      </c>
      <c r="E1711" s="115" t="s">
        <v>29</v>
      </c>
      <c r="F1711" s="115">
        <v>1</v>
      </c>
    </row>
    <row r="1712" spans="2:6">
      <c r="B1712" s="115" t="s">
        <v>5590</v>
      </c>
      <c r="C1712" s="115" t="s">
        <v>5591</v>
      </c>
      <c r="D1712" s="115" t="s">
        <v>3601</v>
      </c>
      <c r="E1712" s="115" t="s">
        <v>29</v>
      </c>
      <c r="F1712" s="115">
        <v>3</v>
      </c>
    </row>
    <row r="1713" spans="2:6">
      <c r="B1713" s="115" t="s">
        <v>5592</v>
      </c>
      <c r="C1713" s="115" t="s">
        <v>5593</v>
      </c>
      <c r="D1713" s="115" t="s">
        <v>3601</v>
      </c>
      <c r="E1713" s="115" t="s">
        <v>29</v>
      </c>
      <c r="F1713" s="115">
        <v>1</v>
      </c>
    </row>
    <row r="1714" spans="2:6">
      <c r="B1714" s="115" t="s">
        <v>5594</v>
      </c>
      <c r="C1714" s="115" t="s">
        <v>5595</v>
      </c>
      <c r="D1714" s="115" t="s">
        <v>3601</v>
      </c>
      <c r="E1714" s="115" t="s">
        <v>29</v>
      </c>
      <c r="F1714" s="115">
        <v>1</v>
      </c>
    </row>
    <row r="1715" spans="2:6">
      <c r="B1715" s="115" t="s">
        <v>5596</v>
      </c>
      <c r="C1715" s="115" t="s">
        <v>5597</v>
      </c>
      <c r="D1715" s="115" t="s">
        <v>3601</v>
      </c>
      <c r="E1715" s="115" t="s">
        <v>29</v>
      </c>
      <c r="F1715" s="115">
        <v>3</v>
      </c>
    </row>
    <row r="1716" spans="2:6">
      <c r="B1716" s="115" t="s">
        <v>5598</v>
      </c>
      <c r="C1716" s="115" t="s">
        <v>5599</v>
      </c>
      <c r="D1716" s="115" t="s">
        <v>3601</v>
      </c>
      <c r="E1716" s="115" t="s">
        <v>29</v>
      </c>
      <c r="F1716" s="115">
        <v>2</v>
      </c>
    </row>
    <row r="1717" spans="2:6">
      <c r="B1717" s="115" t="s">
        <v>5600</v>
      </c>
      <c r="C1717" s="115" t="s">
        <v>5601</v>
      </c>
      <c r="D1717" s="115" t="s">
        <v>3601</v>
      </c>
      <c r="E1717" s="115" t="s">
        <v>29</v>
      </c>
      <c r="F1717" s="115">
        <v>1</v>
      </c>
    </row>
    <row r="1718" spans="2:6">
      <c r="B1718" s="115" t="s">
        <v>5602</v>
      </c>
      <c r="C1718" s="115" t="s">
        <v>5603</v>
      </c>
      <c r="D1718" s="115" t="s">
        <v>3601</v>
      </c>
      <c r="E1718" s="115" t="s">
        <v>29</v>
      </c>
      <c r="F1718" s="115">
        <v>1</v>
      </c>
    </row>
    <row r="1719" spans="2:6">
      <c r="B1719" s="115" t="s">
        <v>5604</v>
      </c>
      <c r="C1719" s="115" t="s">
        <v>5605</v>
      </c>
      <c r="D1719" s="115" t="s">
        <v>3601</v>
      </c>
      <c r="E1719" s="115" t="s">
        <v>29</v>
      </c>
      <c r="F1719" s="115">
        <v>1</v>
      </c>
    </row>
    <row r="1720" spans="2:6">
      <c r="B1720" s="115" t="s">
        <v>5606</v>
      </c>
      <c r="C1720" s="115" t="s">
        <v>5607</v>
      </c>
      <c r="D1720" s="115" t="s">
        <v>3601</v>
      </c>
      <c r="E1720" s="115" t="s">
        <v>29</v>
      </c>
      <c r="F1720" s="115">
        <v>3</v>
      </c>
    </row>
    <row r="1721" spans="2:6">
      <c r="B1721" s="115" t="s">
        <v>5608</v>
      </c>
      <c r="C1721" s="115" t="s">
        <v>5609</v>
      </c>
      <c r="D1721" s="115" t="s">
        <v>3601</v>
      </c>
      <c r="E1721" s="115" t="s">
        <v>29</v>
      </c>
      <c r="F1721" s="115">
        <v>3</v>
      </c>
    </row>
    <row r="1722" spans="2:6">
      <c r="B1722" s="115" t="s">
        <v>5610</v>
      </c>
      <c r="C1722" s="115" t="s">
        <v>5611</v>
      </c>
      <c r="D1722" s="115" t="s">
        <v>3601</v>
      </c>
      <c r="E1722" s="115" t="s">
        <v>29</v>
      </c>
      <c r="F1722" s="115">
        <v>2</v>
      </c>
    </row>
    <row r="1723" spans="2:6">
      <c r="B1723" s="115" t="s">
        <v>5612</v>
      </c>
      <c r="C1723" s="115" t="s">
        <v>5613</v>
      </c>
      <c r="D1723" s="115" t="s">
        <v>3601</v>
      </c>
      <c r="E1723" s="115" t="s">
        <v>29</v>
      </c>
      <c r="F1723" s="115">
        <v>1</v>
      </c>
    </row>
    <row r="1724" spans="2:6">
      <c r="B1724" s="115" t="s">
        <v>5614</v>
      </c>
      <c r="C1724" s="115" t="s">
        <v>5615</v>
      </c>
      <c r="D1724" s="115" t="s">
        <v>3601</v>
      </c>
      <c r="E1724" s="115" t="s">
        <v>29</v>
      </c>
      <c r="F1724" s="115">
        <v>3</v>
      </c>
    </row>
    <row r="1725" spans="2:6">
      <c r="B1725" s="115" t="s">
        <v>5616</v>
      </c>
      <c r="C1725" s="115" t="s">
        <v>5617</v>
      </c>
      <c r="D1725" s="115" t="s">
        <v>3601</v>
      </c>
      <c r="E1725" s="115" t="s">
        <v>29</v>
      </c>
      <c r="F1725" s="115">
        <v>2</v>
      </c>
    </row>
    <row r="1726" spans="2:6">
      <c r="B1726" s="115" t="s">
        <v>5618</v>
      </c>
      <c r="C1726" s="115" t="s">
        <v>5619</v>
      </c>
      <c r="D1726" s="115" t="s">
        <v>3601</v>
      </c>
      <c r="E1726" s="115" t="s">
        <v>29</v>
      </c>
      <c r="F1726" s="115">
        <v>3</v>
      </c>
    </row>
    <row r="1727" spans="2:6">
      <c r="B1727" s="115" t="s">
        <v>5620</v>
      </c>
      <c r="C1727" s="115" t="s">
        <v>5621</v>
      </c>
      <c r="D1727" s="115" t="s">
        <v>3601</v>
      </c>
      <c r="E1727" s="115" t="s">
        <v>29</v>
      </c>
      <c r="F1727" s="115">
        <v>1</v>
      </c>
    </row>
    <row r="1728" spans="2:6">
      <c r="B1728" s="115" t="s">
        <v>5622</v>
      </c>
      <c r="C1728" s="115" t="s">
        <v>5623</v>
      </c>
      <c r="D1728" s="115" t="s">
        <v>3601</v>
      </c>
      <c r="E1728" s="115" t="s">
        <v>29</v>
      </c>
      <c r="F1728" s="115">
        <v>1</v>
      </c>
    </row>
    <row r="1729" spans="2:6">
      <c r="B1729" s="115" t="s">
        <v>5624</v>
      </c>
      <c r="C1729" s="115" t="s">
        <v>5625</v>
      </c>
      <c r="D1729" s="115" t="s">
        <v>3601</v>
      </c>
      <c r="E1729" s="115" t="s">
        <v>29</v>
      </c>
      <c r="F1729" s="115">
        <v>2</v>
      </c>
    </row>
    <row r="1730" spans="2:6">
      <c r="B1730" s="115" t="s">
        <v>5626</v>
      </c>
      <c r="C1730" s="115" t="s">
        <v>5627</v>
      </c>
      <c r="D1730" s="115" t="s">
        <v>3601</v>
      </c>
      <c r="E1730" s="115" t="s">
        <v>29</v>
      </c>
      <c r="F1730" s="115">
        <v>2</v>
      </c>
    </row>
    <row r="1731" spans="2:6">
      <c r="B1731" s="115" t="s">
        <v>5628</v>
      </c>
      <c r="C1731" s="115" t="s">
        <v>5629</v>
      </c>
      <c r="D1731" s="115" t="s">
        <v>3601</v>
      </c>
      <c r="E1731" s="115" t="s">
        <v>29</v>
      </c>
      <c r="F1731" s="115">
        <v>1</v>
      </c>
    </row>
    <row r="1732" spans="2:6">
      <c r="B1732" s="115" t="s">
        <v>5630</v>
      </c>
      <c r="C1732" s="115" t="s">
        <v>5631</v>
      </c>
      <c r="D1732" s="115" t="s">
        <v>3601</v>
      </c>
      <c r="E1732" s="115" t="s">
        <v>29</v>
      </c>
      <c r="F1732" s="115">
        <v>3</v>
      </c>
    </row>
    <row r="1733" spans="2:6">
      <c r="B1733" s="115" t="s">
        <v>5632</v>
      </c>
      <c r="C1733" s="115" t="s">
        <v>5633</v>
      </c>
      <c r="D1733" s="115" t="s">
        <v>3601</v>
      </c>
      <c r="E1733" s="115" t="s">
        <v>29</v>
      </c>
      <c r="F1733" s="115">
        <v>1</v>
      </c>
    </row>
    <row r="1734" spans="2:6">
      <c r="B1734" s="115" t="s">
        <v>5634</v>
      </c>
      <c r="C1734" s="115" t="s">
        <v>5635</v>
      </c>
      <c r="D1734" s="115" t="s">
        <v>3601</v>
      </c>
      <c r="E1734" s="115" t="s">
        <v>29</v>
      </c>
      <c r="F1734" s="115">
        <v>3</v>
      </c>
    </row>
    <row r="1735" spans="2:6">
      <c r="B1735" s="115" t="s">
        <v>5636</v>
      </c>
      <c r="C1735" s="115" t="s">
        <v>5637</v>
      </c>
      <c r="D1735" s="115" t="s">
        <v>3601</v>
      </c>
      <c r="E1735" s="115" t="s">
        <v>29</v>
      </c>
      <c r="F1735" s="115">
        <v>3</v>
      </c>
    </row>
    <row r="1736" spans="2:6">
      <c r="B1736" s="115" t="s">
        <v>5638</v>
      </c>
      <c r="C1736" s="115" t="s">
        <v>5639</v>
      </c>
      <c r="D1736" s="115" t="s">
        <v>3601</v>
      </c>
      <c r="E1736" s="115" t="s">
        <v>29</v>
      </c>
      <c r="F1736" s="115">
        <v>1</v>
      </c>
    </row>
    <row r="1737" spans="2:6">
      <c r="B1737" s="115" t="s">
        <v>5640</v>
      </c>
      <c r="C1737" s="115" t="s">
        <v>5641</v>
      </c>
      <c r="D1737" s="115" t="s">
        <v>3601</v>
      </c>
      <c r="E1737" s="115" t="s">
        <v>29</v>
      </c>
      <c r="F1737" s="115">
        <v>3</v>
      </c>
    </row>
    <row r="1738" spans="2:6">
      <c r="B1738" s="115" t="s">
        <v>5642</v>
      </c>
      <c r="C1738" s="115" t="s">
        <v>5643</v>
      </c>
      <c r="D1738" s="115" t="s">
        <v>3601</v>
      </c>
      <c r="E1738" s="115" t="s">
        <v>29</v>
      </c>
      <c r="F1738" s="115">
        <v>3</v>
      </c>
    </row>
    <row r="1739" spans="2:6">
      <c r="B1739" s="115" t="s">
        <v>5644</v>
      </c>
      <c r="C1739" s="115" t="s">
        <v>5645</v>
      </c>
      <c r="D1739" s="115" t="s">
        <v>3601</v>
      </c>
      <c r="E1739" s="115" t="s">
        <v>29</v>
      </c>
      <c r="F1739" s="115">
        <v>3</v>
      </c>
    </row>
    <row r="1740" spans="2:6">
      <c r="B1740" s="115" t="s">
        <v>5646</v>
      </c>
      <c r="C1740" s="115" t="s">
        <v>5647</v>
      </c>
      <c r="D1740" s="115" t="s">
        <v>3601</v>
      </c>
      <c r="E1740" s="115" t="s">
        <v>29</v>
      </c>
      <c r="F1740" s="115">
        <v>2</v>
      </c>
    </row>
    <row r="1741" spans="2:6">
      <c r="B1741" s="115" t="s">
        <v>5648</v>
      </c>
      <c r="C1741" s="115" t="s">
        <v>5649</v>
      </c>
      <c r="D1741" s="115" t="s">
        <v>3601</v>
      </c>
      <c r="E1741" s="115" t="s">
        <v>29</v>
      </c>
      <c r="F1741" s="115">
        <v>3</v>
      </c>
    </row>
    <row r="1742" spans="2:6">
      <c r="B1742" s="115" t="s">
        <v>5650</v>
      </c>
      <c r="C1742" s="115" t="s">
        <v>5651</v>
      </c>
      <c r="D1742" s="115" t="s">
        <v>3601</v>
      </c>
      <c r="E1742" s="115" t="s">
        <v>29</v>
      </c>
      <c r="F1742" s="115">
        <v>3</v>
      </c>
    </row>
    <row r="1743" spans="2:6">
      <c r="B1743" s="115" t="s">
        <v>5652</v>
      </c>
      <c r="C1743" s="115" t="s">
        <v>5653</v>
      </c>
      <c r="D1743" s="115" t="s">
        <v>3601</v>
      </c>
      <c r="E1743" s="115" t="s">
        <v>29</v>
      </c>
      <c r="F1743" s="115">
        <v>2</v>
      </c>
    </row>
    <row r="1744" spans="2:6">
      <c r="B1744" s="115" t="s">
        <v>5654</v>
      </c>
      <c r="C1744" s="115" t="s">
        <v>5655</v>
      </c>
      <c r="D1744" s="115" t="s">
        <v>3601</v>
      </c>
      <c r="E1744" s="115" t="s">
        <v>29</v>
      </c>
      <c r="F1744" s="115">
        <v>3</v>
      </c>
    </row>
    <row r="1745" spans="2:6">
      <c r="B1745" s="115" t="s">
        <v>5656</v>
      </c>
      <c r="C1745" s="115" t="s">
        <v>5657</v>
      </c>
      <c r="D1745" s="115" t="s">
        <v>3601</v>
      </c>
      <c r="E1745" s="115" t="s">
        <v>29</v>
      </c>
      <c r="F1745" s="115">
        <v>2</v>
      </c>
    </row>
    <row r="1746" spans="2:6">
      <c r="B1746" s="115" t="s">
        <v>5658</v>
      </c>
      <c r="C1746" s="115" t="s">
        <v>5659</v>
      </c>
      <c r="D1746" s="115" t="s">
        <v>3601</v>
      </c>
      <c r="E1746" s="115" t="s">
        <v>29</v>
      </c>
      <c r="F1746" s="115">
        <v>3</v>
      </c>
    </row>
    <row r="1747" spans="2:6">
      <c r="B1747" s="115" t="s">
        <v>5660</v>
      </c>
      <c r="C1747" s="115" t="s">
        <v>5661</v>
      </c>
      <c r="D1747" s="115" t="s">
        <v>3601</v>
      </c>
      <c r="E1747" s="115" t="s">
        <v>29</v>
      </c>
      <c r="F1747" s="115">
        <v>3</v>
      </c>
    </row>
    <row r="1748" spans="2:6">
      <c r="B1748" s="115" t="s">
        <v>5662</v>
      </c>
      <c r="C1748" s="115" t="s">
        <v>5663</v>
      </c>
      <c r="D1748" s="115" t="s">
        <v>3601</v>
      </c>
      <c r="E1748" s="115" t="s">
        <v>29</v>
      </c>
      <c r="F1748" s="115">
        <v>3</v>
      </c>
    </row>
    <row r="1749" spans="2:6">
      <c r="B1749" s="115" t="s">
        <v>5664</v>
      </c>
      <c r="C1749" s="115" t="s">
        <v>5665</v>
      </c>
      <c r="D1749" s="115" t="s">
        <v>3601</v>
      </c>
      <c r="E1749" s="115" t="s">
        <v>29</v>
      </c>
      <c r="F1749" s="115">
        <v>3</v>
      </c>
    </row>
    <row r="1750" spans="2:6">
      <c r="B1750" s="115" t="s">
        <v>5666</v>
      </c>
      <c r="C1750" s="115" t="s">
        <v>5667</v>
      </c>
      <c r="D1750" s="115" t="s">
        <v>3601</v>
      </c>
      <c r="E1750" s="115" t="s">
        <v>29</v>
      </c>
      <c r="F1750" s="115">
        <v>3</v>
      </c>
    </row>
    <row r="1751" spans="2:6">
      <c r="B1751" s="115" t="s">
        <v>5668</v>
      </c>
      <c r="C1751" s="115" t="s">
        <v>5669</v>
      </c>
      <c r="D1751" s="115" t="s">
        <v>3601</v>
      </c>
      <c r="E1751" s="115" t="s">
        <v>29</v>
      </c>
      <c r="F1751" s="115">
        <v>3</v>
      </c>
    </row>
    <row r="1752" spans="2:6">
      <c r="B1752" s="115" t="s">
        <v>5670</v>
      </c>
      <c r="C1752" s="115" t="s">
        <v>5671</v>
      </c>
      <c r="D1752" s="115" t="s">
        <v>3601</v>
      </c>
      <c r="E1752" s="115" t="s">
        <v>29</v>
      </c>
      <c r="F1752" s="115">
        <v>3</v>
      </c>
    </row>
    <row r="1753" spans="2:6">
      <c r="B1753" s="115" t="s">
        <v>5672</v>
      </c>
      <c r="C1753" s="115" t="s">
        <v>5673</v>
      </c>
      <c r="D1753" s="115" t="s">
        <v>3601</v>
      </c>
      <c r="E1753" s="115" t="s">
        <v>29</v>
      </c>
      <c r="F1753" s="115">
        <v>2</v>
      </c>
    </row>
    <row r="1754" spans="2:6">
      <c r="B1754" s="115" t="s">
        <v>5674</v>
      </c>
      <c r="C1754" s="115" t="s">
        <v>5675</v>
      </c>
      <c r="D1754" s="115" t="s">
        <v>3601</v>
      </c>
      <c r="E1754" s="115" t="s">
        <v>29</v>
      </c>
      <c r="F1754" s="115">
        <v>3</v>
      </c>
    </row>
    <row r="1755" spans="2:6">
      <c r="B1755" s="115" t="s">
        <v>5676</v>
      </c>
      <c r="C1755" s="115" t="s">
        <v>5677</v>
      </c>
      <c r="D1755" s="115" t="s">
        <v>3601</v>
      </c>
      <c r="E1755" s="115" t="s">
        <v>29</v>
      </c>
      <c r="F1755" s="115">
        <v>3</v>
      </c>
    </row>
    <row r="1756" spans="2:6">
      <c r="B1756" s="115" t="s">
        <v>5678</v>
      </c>
      <c r="C1756" s="115" t="s">
        <v>5679</v>
      </c>
      <c r="D1756" s="115" t="s">
        <v>3601</v>
      </c>
      <c r="E1756" s="115" t="s">
        <v>29</v>
      </c>
      <c r="F1756" s="115">
        <v>2</v>
      </c>
    </row>
    <row r="1757" spans="2:6">
      <c r="B1757" s="115" t="s">
        <v>5680</v>
      </c>
      <c r="C1757" s="115" t="s">
        <v>5681</v>
      </c>
      <c r="D1757" s="115" t="s">
        <v>3601</v>
      </c>
      <c r="E1757" s="115" t="s">
        <v>29</v>
      </c>
      <c r="F1757" s="115">
        <v>3</v>
      </c>
    </row>
    <row r="1758" spans="2:6">
      <c r="B1758" s="115" t="s">
        <v>5682</v>
      </c>
      <c r="C1758" s="115" t="s">
        <v>5683</v>
      </c>
      <c r="D1758" s="115" t="s">
        <v>3601</v>
      </c>
      <c r="E1758" s="115" t="s">
        <v>29</v>
      </c>
      <c r="F1758" s="115">
        <v>1</v>
      </c>
    </row>
    <row r="1759" spans="2:6">
      <c r="B1759" s="115" t="s">
        <v>5684</v>
      </c>
      <c r="C1759" s="115" t="s">
        <v>5685</v>
      </c>
      <c r="D1759" s="115" t="s">
        <v>3601</v>
      </c>
      <c r="E1759" s="115" t="s">
        <v>29</v>
      </c>
      <c r="F1759" s="115">
        <v>1</v>
      </c>
    </row>
    <row r="1760" spans="2:6">
      <c r="B1760" s="115" t="s">
        <v>5686</v>
      </c>
      <c r="C1760" s="115" t="s">
        <v>5687</v>
      </c>
      <c r="D1760" s="115" t="s">
        <v>3601</v>
      </c>
      <c r="E1760" s="115" t="s">
        <v>29</v>
      </c>
      <c r="F1760" s="115">
        <v>3</v>
      </c>
    </row>
    <row r="1761" spans="2:6">
      <c r="B1761" s="115" t="s">
        <v>5688</v>
      </c>
      <c r="C1761" s="115" t="s">
        <v>5689</v>
      </c>
      <c r="D1761" s="115" t="s">
        <v>3601</v>
      </c>
      <c r="E1761" s="115" t="s">
        <v>29</v>
      </c>
      <c r="F1761" s="115">
        <v>3</v>
      </c>
    </row>
    <row r="1762" spans="2:6">
      <c r="B1762" s="115" t="s">
        <v>5690</v>
      </c>
      <c r="C1762" s="115" t="s">
        <v>5691</v>
      </c>
      <c r="D1762" s="115" t="s">
        <v>3601</v>
      </c>
      <c r="E1762" s="115" t="s">
        <v>29</v>
      </c>
      <c r="F1762" s="115">
        <v>3</v>
      </c>
    </row>
    <row r="1763" spans="2:6">
      <c r="B1763" s="115" t="s">
        <v>5692</v>
      </c>
      <c r="C1763" s="115" t="s">
        <v>5693</v>
      </c>
      <c r="D1763" s="115" t="s">
        <v>3601</v>
      </c>
      <c r="E1763" s="115" t="s">
        <v>29</v>
      </c>
      <c r="F1763" s="115">
        <v>3</v>
      </c>
    </row>
    <row r="1764" spans="2:6">
      <c r="B1764" s="115" t="s">
        <v>5694</v>
      </c>
      <c r="C1764" s="115" t="s">
        <v>5695</v>
      </c>
      <c r="D1764" s="115" t="s">
        <v>3601</v>
      </c>
      <c r="E1764" s="115" t="s">
        <v>29</v>
      </c>
      <c r="F1764" s="115">
        <v>1</v>
      </c>
    </row>
    <row r="1765" spans="2:6">
      <c r="B1765" s="115" t="s">
        <v>5696</v>
      </c>
      <c r="C1765" s="115" t="s">
        <v>5697</v>
      </c>
      <c r="D1765" s="115" t="s">
        <v>3601</v>
      </c>
      <c r="E1765" s="115" t="s">
        <v>29</v>
      </c>
      <c r="F1765" s="115">
        <v>3</v>
      </c>
    </row>
    <row r="1766" spans="2:6">
      <c r="B1766" s="115" t="s">
        <v>5698</v>
      </c>
      <c r="C1766" s="115" t="s">
        <v>5699</v>
      </c>
      <c r="D1766" s="115" t="s">
        <v>3601</v>
      </c>
      <c r="E1766" s="115" t="s">
        <v>29</v>
      </c>
      <c r="F1766" s="115">
        <v>1</v>
      </c>
    </row>
    <row r="1767" spans="2:6">
      <c r="B1767" s="115" t="s">
        <v>5700</v>
      </c>
      <c r="C1767" s="115" t="s">
        <v>5701</v>
      </c>
      <c r="D1767" s="115" t="s">
        <v>3601</v>
      </c>
      <c r="E1767" s="115" t="s">
        <v>29</v>
      </c>
      <c r="F1767" s="115">
        <v>1</v>
      </c>
    </row>
    <row r="1768" spans="2:6">
      <c r="B1768" s="115" t="s">
        <v>5702</v>
      </c>
      <c r="C1768" s="115" t="s">
        <v>5703</v>
      </c>
      <c r="D1768" s="115" t="s">
        <v>3601</v>
      </c>
      <c r="E1768" s="115" t="s">
        <v>29</v>
      </c>
      <c r="F1768" s="115">
        <v>1</v>
      </c>
    </row>
    <row r="1769" spans="2:6">
      <c r="B1769" s="115" t="s">
        <v>5704</v>
      </c>
      <c r="C1769" s="115" t="s">
        <v>5705</v>
      </c>
      <c r="D1769" s="115" t="s">
        <v>3601</v>
      </c>
      <c r="E1769" s="115" t="s">
        <v>29</v>
      </c>
      <c r="F1769" s="115">
        <v>1</v>
      </c>
    </row>
    <row r="1770" spans="2:6">
      <c r="B1770" s="115" t="s">
        <v>5706</v>
      </c>
      <c r="C1770" s="115" t="s">
        <v>5707</v>
      </c>
      <c r="D1770" s="115" t="s">
        <v>3601</v>
      </c>
      <c r="E1770" s="115" t="s">
        <v>29</v>
      </c>
      <c r="F1770" s="115">
        <v>3</v>
      </c>
    </row>
    <row r="1771" spans="2:6">
      <c r="B1771" s="115" t="s">
        <v>5708</v>
      </c>
      <c r="C1771" s="115" t="s">
        <v>5709</v>
      </c>
      <c r="D1771" s="115" t="s">
        <v>3601</v>
      </c>
      <c r="E1771" s="115" t="s">
        <v>29</v>
      </c>
      <c r="F1771" s="115">
        <v>3</v>
      </c>
    </row>
    <row r="1772" spans="2:6">
      <c r="B1772" s="115" t="s">
        <v>5710</v>
      </c>
      <c r="C1772" s="115" t="s">
        <v>5711</v>
      </c>
      <c r="D1772" s="115" t="s">
        <v>3601</v>
      </c>
      <c r="E1772" s="115" t="s">
        <v>29</v>
      </c>
      <c r="F1772" s="115">
        <v>2</v>
      </c>
    </row>
    <row r="1773" spans="2:6">
      <c r="B1773" s="115" t="s">
        <v>5712</v>
      </c>
      <c r="C1773" s="115" t="s">
        <v>5713</v>
      </c>
      <c r="D1773" s="115" t="s">
        <v>3601</v>
      </c>
      <c r="E1773" s="115" t="s">
        <v>29</v>
      </c>
      <c r="F1773" s="115">
        <v>3</v>
      </c>
    </row>
    <row r="1774" spans="2:6">
      <c r="B1774" s="115" t="s">
        <v>5714</v>
      </c>
      <c r="C1774" s="115" t="s">
        <v>5715</v>
      </c>
      <c r="D1774" s="115" t="s">
        <v>3601</v>
      </c>
      <c r="E1774" s="115" t="s">
        <v>29</v>
      </c>
      <c r="F1774" s="115">
        <v>3</v>
      </c>
    </row>
    <row r="1775" spans="2:6">
      <c r="B1775" s="115" t="s">
        <v>5716</v>
      </c>
      <c r="C1775" s="115" t="s">
        <v>5717</v>
      </c>
      <c r="D1775" s="115" t="s">
        <v>3601</v>
      </c>
      <c r="E1775" s="115" t="s">
        <v>29</v>
      </c>
      <c r="F1775" s="115">
        <v>1</v>
      </c>
    </row>
    <row r="1776" spans="2:6">
      <c r="B1776" s="115" t="s">
        <v>5718</v>
      </c>
      <c r="C1776" s="115" t="s">
        <v>5719</v>
      </c>
      <c r="D1776" s="115" t="s">
        <v>3601</v>
      </c>
      <c r="E1776" s="115" t="s">
        <v>29</v>
      </c>
      <c r="F1776" s="115">
        <v>2</v>
      </c>
    </row>
    <row r="1777" spans="2:6">
      <c r="B1777" s="115" t="s">
        <v>5720</v>
      </c>
      <c r="C1777" s="115" t="s">
        <v>5721</v>
      </c>
      <c r="D1777" s="115" t="s">
        <v>3601</v>
      </c>
      <c r="E1777" s="115" t="s">
        <v>29</v>
      </c>
      <c r="F1777" s="115">
        <v>1</v>
      </c>
    </row>
    <row r="1778" spans="2:6">
      <c r="B1778" s="115" t="s">
        <v>5722</v>
      </c>
      <c r="C1778" s="115" t="s">
        <v>5723</v>
      </c>
      <c r="D1778" s="115" t="s">
        <v>3601</v>
      </c>
      <c r="E1778" s="115" t="s">
        <v>29</v>
      </c>
      <c r="F1778" s="115">
        <v>2</v>
      </c>
    </row>
    <row r="1779" spans="2:6">
      <c r="B1779" s="115" t="s">
        <v>5724</v>
      </c>
      <c r="C1779" s="115" t="s">
        <v>5725</v>
      </c>
      <c r="D1779" s="115" t="s">
        <v>3601</v>
      </c>
      <c r="E1779" s="115" t="s">
        <v>29</v>
      </c>
      <c r="F1779" s="115">
        <v>1</v>
      </c>
    </row>
    <row r="1780" spans="2:6">
      <c r="B1780" s="115" t="s">
        <v>5726</v>
      </c>
      <c r="C1780" s="115" t="s">
        <v>5727</v>
      </c>
      <c r="D1780" s="115" t="s">
        <v>3601</v>
      </c>
      <c r="E1780" s="115" t="s">
        <v>29</v>
      </c>
      <c r="F1780" s="115">
        <v>1</v>
      </c>
    </row>
    <row r="1781" spans="2:6">
      <c r="B1781" s="115" t="s">
        <v>5728</v>
      </c>
      <c r="C1781" s="115" t="s">
        <v>5729</v>
      </c>
      <c r="D1781" s="115" t="s">
        <v>3601</v>
      </c>
      <c r="E1781" s="115" t="s">
        <v>29</v>
      </c>
      <c r="F1781" s="115">
        <v>1</v>
      </c>
    </row>
    <row r="1782" spans="2:6">
      <c r="B1782" s="115" t="s">
        <v>5730</v>
      </c>
      <c r="C1782" s="115" t="s">
        <v>5731</v>
      </c>
      <c r="D1782" s="115" t="s">
        <v>3601</v>
      </c>
      <c r="E1782" s="115" t="s">
        <v>29</v>
      </c>
      <c r="F1782" s="115">
        <v>1</v>
      </c>
    </row>
    <row r="1783" spans="2:6">
      <c r="B1783" s="115" t="s">
        <v>5732</v>
      </c>
      <c r="C1783" s="115" t="s">
        <v>5733</v>
      </c>
      <c r="D1783" s="115" t="s">
        <v>3601</v>
      </c>
      <c r="E1783" s="115" t="s">
        <v>29</v>
      </c>
      <c r="F1783" s="115">
        <v>1</v>
      </c>
    </row>
    <row r="1784" spans="2:6">
      <c r="B1784" s="115" t="s">
        <v>5734</v>
      </c>
      <c r="C1784" s="115" t="s">
        <v>5735</v>
      </c>
      <c r="D1784" s="115" t="s">
        <v>3601</v>
      </c>
      <c r="E1784" s="115" t="s">
        <v>29</v>
      </c>
      <c r="F1784" s="115">
        <v>1</v>
      </c>
    </row>
    <row r="1785" spans="2:6">
      <c r="B1785" s="115" t="s">
        <v>5736</v>
      </c>
      <c r="C1785" s="115" t="s">
        <v>5737</v>
      </c>
      <c r="D1785" s="115" t="s">
        <v>3601</v>
      </c>
      <c r="E1785" s="115" t="s">
        <v>29</v>
      </c>
      <c r="F1785" s="115">
        <v>1</v>
      </c>
    </row>
  </sheetData>
  <sheetProtection sort="0" autoFilter="0" pivotTables="0"/>
  <autoFilter ref="A1:L25" xr:uid="{00000000-0001-0000-0400-000000000000}"/>
  <customSheetViews>
    <customSheetView guid="{5693F48F-8FCA-4CC0-9286-11E7497B1810}" showGridLines="0" filter="1" showAutoFilter="1" topLeftCell="B1">
      <selection activeCell="H1" sqref="H1:H65536"/>
      <pageMargins left="0.75" right="0.75" top="1" bottom="1" header="0.5" footer="0.5"/>
      <pageSetup paperSize="9" orientation="landscape" r:id="rId1"/>
      <headerFooter alignWithMargins="0"/>
      <autoFilter ref="B1:AE1" xr:uid="{33B2962A-7D90-44B8-88FB-F5EF3F280997}">
        <filterColumn colId="3">
          <filters>
            <filter val="T"/>
          </filters>
        </filterColumn>
        <filterColumn colId="5">
          <filters>
            <filter val="3"/>
          </filters>
        </filterColumn>
        <filterColumn colId="6">
          <filters>
            <filter val="Pad"/>
          </filters>
        </filterColumn>
      </autoFilter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B1:M1537"/>
  <sheetViews>
    <sheetView showGridLines="0" tabSelected="1" zoomScaleNormal="100" workbookViewId="0">
      <pane ySplit="1" topLeftCell="A2" activePane="bottomLeft" state="frozen"/>
      <selection pane="bottomLeft" activeCell="H9" sqref="H9"/>
    </sheetView>
  </sheetViews>
  <sheetFormatPr defaultRowHeight="12"/>
  <cols>
    <col min="1" max="1" width="4.625" style="88" customWidth="1"/>
    <col min="2" max="2" width="5" style="89" bestFit="1" customWidth="1"/>
    <col min="3" max="3" width="30.5" style="90" customWidth="1"/>
    <col min="4" max="4" width="24.75" style="88" customWidth="1"/>
    <col min="5" max="5" width="24.875" style="91" bestFit="1" customWidth="1"/>
    <col min="6" max="6" width="16.375" style="92" bestFit="1" customWidth="1"/>
    <col min="7" max="7" width="16.75" style="88" customWidth="1"/>
    <col min="8" max="8" width="9" style="88"/>
    <col min="9" max="9" width="14.5" style="88" customWidth="1"/>
    <col min="10" max="16384" width="9" style="88"/>
  </cols>
  <sheetData>
    <row r="1" spans="2:13" s="81" customFormat="1" ht="31.5" customHeight="1" thickBot="1">
      <c r="B1" s="93" t="s">
        <v>2112</v>
      </c>
      <c r="C1" s="112" t="s">
        <v>7</v>
      </c>
      <c r="D1" s="80" t="s">
        <v>8</v>
      </c>
      <c r="E1" s="116" t="s">
        <v>2152</v>
      </c>
      <c r="F1" s="116" t="s">
        <v>2155</v>
      </c>
      <c r="G1" s="80" t="s">
        <v>2156</v>
      </c>
      <c r="H1" s="93" t="s">
        <v>2111</v>
      </c>
      <c r="I1" s="145" t="s">
        <v>2162</v>
      </c>
    </row>
    <row r="2" spans="2:13" ht="12.75" thickBot="1">
      <c r="B2" s="82">
        <v>1</v>
      </c>
      <c r="C2" s="128" t="s">
        <v>5738</v>
      </c>
      <c r="D2" s="128" t="s">
        <v>5739</v>
      </c>
      <c r="E2" s="85" t="e">
        <f>VLOOKUP(C:C,'Nets not required'!B:C,2,0)</f>
        <v>#N/A</v>
      </c>
      <c r="F2" s="85" t="e">
        <f>VLOOKUP(C:C,'Nets not required'!E:F,2,0)</f>
        <v>#N/A</v>
      </c>
      <c r="G2" s="86" t="e">
        <f>VLOOKUP(C:C,'Nets not required'!H:I,2,0)</f>
        <v>#N/A</v>
      </c>
      <c r="H2" s="84"/>
      <c r="I2" s="85" t="e">
        <f>VLOOKUP(C:C,'Nets not required'!K:L,2,0)</f>
        <v>#N/A</v>
      </c>
      <c r="J2" s="87"/>
      <c r="K2" s="87"/>
      <c r="L2" s="87"/>
      <c r="M2" s="87"/>
    </row>
    <row r="3" spans="2:13">
      <c r="B3" s="82">
        <v>2</v>
      </c>
      <c r="C3" s="138" t="s">
        <v>5740</v>
      </c>
      <c r="D3" s="138" t="s">
        <v>5741</v>
      </c>
      <c r="E3" s="85" t="e">
        <f>VLOOKUP(C:C,'Nets not required'!B:C,2,0)</f>
        <v>#N/A</v>
      </c>
      <c r="F3" s="85" t="e">
        <f>VLOOKUP(C:C,'Nets not required'!E:F,2,0)</f>
        <v>#N/A</v>
      </c>
      <c r="G3" s="86" t="e">
        <f>VLOOKUP(C:C,'Nets not required'!H:I,2,0)</f>
        <v>#N/A</v>
      </c>
      <c r="H3" s="84"/>
      <c r="I3" s="85" t="e">
        <f>VLOOKUP(C:C,'Nets not required'!K:L,2,0)</f>
        <v>#N/A</v>
      </c>
    </row>
    <row r="4" spans="2:13">
      <c r="C4" s="90" t="s">
        <v>5742</v>
      </c>
      <c r="D4" s="88" t="s">
        <v>5743</v>
      </c>
    </row>
    <row r="5" spans="2:13" ht="16.5">
      <c r="C5" t="s">
        <v>5744</v>
      </c>
      <c r="D5" s="88" t="s">
        <v>5745</v>
      </c>
    </row>
    <row r="6" spans="2:13" ht="16.5">
      <c r="C6" t="s">
        <v>5746</v>
      </c>
      <c r="D6" s="88" t="s">
        <v>5747</v>
      </c>
    </row>
    <row r="7" spans="2:13" ht="16.5">
      <c r="C7" t="s">
        <v>5748</v>
      </c>
      <c r="D7" s="88" t="s">
        <v>5749</v>
      </c>
    </row>
    <row r="8" spans="2:13" ht="16.5">
      <c r="C8" t="s">
        <v>5750</v>
      </c>
      <c r="D8" s="88" t="s">
        <v>5751</v>
      </c>
    </row>
    <row r="9" spans="2:13" ht="16.5">
      <c r="C9" t="s">
        <v>5752</v>
      </c>
      <c r="D9" s="88" t="s">
        <v>5753</v>
      </c>
    </row>
    <row r="10" spans="2:13" ht="16.5">
      <c r="C10" t="s">
        <v>5754</v>
      </c>
      <c r="D10" s="88" t="s">
        <v>5755</v>
      </c>
    </row>
    <row r="11" spans="2:13" ht="16.5">
      <c r="C11" t="s">
        <v>5756</v>
      </c>
      <c r="D11" s="88" t="s">
        <v>5757</v>
      </c>
    </row>
    <row r="12" spans="2:13" ht="16.5">
      <c r="C12" t="s">
        <v>5758</v>
      </c>
      <c r="D12" s="88" t="s">
        <v>5759</v>
      </c>
    </row>
    <row r="13" spans="2:13" ht="16.5">
      <c r="C13" t="s">
        <v>5760</v>
      </c>
      <c r="D13" s="88" t="s">
        <v>5761</v>
      </c>
    </row>
    <row r="14" spans="2:13" ht="16.5">
      <c r="C14" t="s">
        <v>5762</v>
      </c>
      <c r="D14" s="88" t="s">
        <v>5763</v>
      </c>
    </row>
    <row r="15" spans="2:13" ht="16.5">
      <c r="C15" t="s">
        <v>5764</v>
      </c>
      <c r="D15" s="88" t="s">
        <v>5765</v>
      </c>
    </row>
    <row r="16" spans="2:13" ht="16.5">
      <c r="C16" t="s">
        <v>5766</v>
      </c>
      <c r="D16" s="88" t="s">
        <v>5767</v>
      </c>
    </row>
    <row r="17" spans="3:4" ht="16.5">
      <c r="C17" t="s">
        <v>5768</v>
      </c>
      <c r="D17" s="88" t="s">
        <v>5769</v>
      </c>
    </row>
    <row r="18" spans="3:4" ht="16.5">
      <c r="C18" t="s">
        <v>5770</v>
      </c>
      <c r="D18" s="88" t="s">
        <v>5771</v>
      </c>
    </row>
    <row r="19" spans="3:4" ht="16.5">
      <c r="C19" t="s">
        <v>5772</v>
      </c>
      <c r="D19" s="88" t="s">
        <v>5773</v>
      </c>
    </row>
    <row r="20" spans="3:4" ht="16.5">
      <c r="C20" t="s">
        <v>5774</v>
      </c>
      <c r="D20" s="88" t="s">
        <v>5775</v>
      </c>
    </row>
    <row r="21" spans="3:4" ht="16.5">
      <c r="C21" t="s">
        <v>5776</v>
      </c>
      <c r="D21" s="88" t="s">
        <v>5777</v>
      </c>
    </row>
    <row r="22" spans="3:4" ht="16.5">
      <c r="C22" t="s">
        <v>5778</v>
      </c>
      <c r="D22" s="88" t="s">
        <v>5779</v>
      </c>
    </row>
    <row r="23" spans="3:4" ht="16.5">
      <c r="C23" t="s">
        <v>5780</v>
      </c>
      <c r="D23" s="88" t="s">
        <v>5781</v>
      </c>
    </row>
    <row r="24" spans="3:4" ht="16.5">
      <c r="C24" t="s">
        <v>5782</v>
      </c>
      <c r="D24" s="88" t="s">
        <v>5783</v>
      </c>
    </row>
    <row r="25" spans="3:4" ht="16.5">
      <c r="C25" t="s">
        <v>5784</v>
      </c>
      <c r="D25" s="88" t="s">
        <v>5785</v>
      </c>
    </row>
    <row r="26" spans="3:4" ht="16.5">
      <c r="C26" t="s">
        <v>5786</v>
      </c>
      <c r="D26" s="88" t="s">
        <v>5787</v>
      </c>
    </row>
    <row r="27" spans="3:4" ht="16.5">
      <c r="C27" t="s">
        <v>5788</v>
      </c>
      <c r="D27" s="88" t="s">
        <v>5789</v>
      </c>
    </row>
    <row r="28" spans="3:4" ht="16.5">
      <c r="C28" t="s">
        <v>5790</v>
      </c>
      <c r="D28" s="88" t="s">
        <v>5791</v>
      </c>
    </row>
    <row r="29" spans="3:4" ht="16.5">
      <c r="C29" t="s">
        <v>5792</v>
      </c>
      <c r="D29" s="88" t="s">
        <v>5793</v>
      </c>
    </row>
    <row r="30" spans="3:4" ht="16.5">
      <c r="C30" t="s">
        <v>5794</v>
      </c>
      <c r="D30" s="88" t="s">
        <v>5795</v>
      </c>
    </row>
    <row r="31" spans="3:4" ht="16.5">
      <c r="C31" t="s">
        <v>5796</v>
      </c>
      <c r="D31" s="88" t="s">
        <v>5797</v>
      </c>
    </row>
    <row r="32" spans="3:4" ht="16.5">
      <c r="C32" t="s">
        <v>5798</v>
      </c>
      <c r="D32" s="88" t="s">
        <v>5799</v>
      </c>
    </row>
    <row r="33" spans="3:4" ht="16.5">
      <c r="C33" t="s">
        <v>5800</v>
      </c>
      <c r="D33" s="88" t="s">
        <v>5801</v>
      </c>
    </row>
    <row r="34" spans="3:4" ht="16.5">
      <c r="C34" t="s">
        <v>5802</v>
      </c>
      <c r="D34" s="88" t="s">
        <v>5803</v>
      </c>
    </row>
    <row r="35" spans="3:4" ht="16.5">
      <c r="C35" t="s">
        <v>5804</v>
      </c>
      <c r="D35" s="88" t="s">
        <v>5805</v>
      </c>
    </row>
    <row r="36" spans="3:4" ht="16.5">
      <c r="C36" t="s">
        <v>5806</v>
      </c>
      <c r="D36" s="88" t="s">
        <v>5807</v>
      </c>
    </row>
    <row r="37" spans="3:4" ht="16.5">
      <c r="C37" t="s">
        <v>5808</v>
      </c>
      <c r="D37" s="88" t="s">
        <v>5809</v>
      </c>
    </row>
    <row r="38" spans="3:4" ht="16.5">
      <c r="C38" t="s">
        <v>5810</v>
      </c>
      <c r="D38" s="88" t="s">
        <v>5811</v>
      </c>
    </row>
    <row r="39" spans="3:4" ht="16.5">
      <c r="C39" t="s">
        <v>5812</v>
      </c>
      <c r="D39" s="88" t="s">
        <v>5813</v>
      </c>
    </row>
    <row r="40" spans="3:4" ht="16.5">
      <c r="C40" t="s">
        <v>5814</v>
      </c>
      <c r="D40" s="88" t="s">
        <v>5815</v>
      </c>
    </row>
    <row r="41" spans="3:4" ht="16.5">
      <c r="C41" t="s">
        <v>5816</v>
      </c>
      <c r="D41" s="88" t="s">
        <v>5817</v>
      </c>
    </row>
    <row r="42" spans="3:4" ht="16.5">
      <c r="C42" t="s">
        <v>5818</v>
      </c>
      <c r="D42" s="88" t="s">
        <v>5819</v>
      </c>
    </row>
    <row r="43" spans="3:4" ht="16.5">
      <c r="C43" t="s">
        <v>5820</v>
      </c>
      <c r="D43" s="88" t="s">
        <v>5821</v>
      </c>
    </row>
    <row r="44" spans="3:4" ht="16.5">
      <c r="C44" t="s">
        <v>5822</v>
      </c>
      <c r="D44" s="88" t="s">
        <v>5823</v>
      </c>
    </row>
    <row r="45" spans="3:4" ht="16.5">
      <c r="C45" t="s">
        <v>5824</v>
      </c>
      <c r="D45" s="88" t="s">
        <v>5825</v>
      </c>
    </row>
    <row r="46" spans="3:4" ht="16.5">
      <c r="C46" t="s">
        <v>5826</v>
      </c>
      <c r="D46" s="88" t="s">
        <v>5827</v>
      </c>
    </row>
    <row r="47" spans="3:4" ht="16.5">
      <c r="C47" t="s">
        <v>5828</v>
      </c>
      <c r="D47" s="88" t="s">
        <v>5829</v>
      </c>
    </row>
    <row r="48" spans="3:4" ht="16.5">
      <c r="C48" t="s">
        <v>5830</v>
      </c>
      <c r="D48" s="88" t="s">
        <v>5831</v>
      </c>
    </row>
    <row r="49" spans="3:4" ht="16.5">
      <c r="C49" t="s">
        <v>5832</v>
      </c>
      <c r="D49" s="88" t="s">
        <v>5833</v>
      </c>
    </row>
    <row r="50" spans="3:4" ht="16.5">
      <c r="C50" t="s">
        <v>5834</v>
      </c>
      <c r="D50" s="88" t="s">
        <v>5835</v>
      </c>
    </row>
    <row r="51" spans="3:4" ht="16.5">
      <c r="C51" t="s">
        <v>5836</v>
      </c>
      <c r="D51" s="88" t="s">
        <v>5837</v>
      </c>
    </row>
    <row r="52" spans="3:4" ht="16.5">
      <c r="C52" t="s">
        <v>5838</v>
      </c>
      <c r="D52" s="88" t="s">
        <v>5839</v>
      </c>
    </row>
    <row r="53" spans="3:4" ht="16.5">
      <c r="C53" t="s">
        <v>5840</v>
      </c>
      <c r="D53" s="88" t="s">
        <v>5841</v>
      </c>
    </row>
    <row r="54" spans="3:4" ht="16.5">
      <c r="C54" t="s">
        <v>5842</v>
      </c>
      <c r="D54" s="88" t="s">
        <v>5843</v>
      </c>
    </row>
    <row r="55" spans="3:4" ht="16.5">
      <c r="C55" t="s">
        <v>5844</v>
      </c>
      <c r="D55" s="88" t="s">
        <v>5845</v>
      </c>
    </row>
    <row r="56" spans="3:4" ht="16.5">
      <c r="C56" t="s">
        <v>5846</v>
      </c>
      <c r="D56" s="88" t="s">
        <v>5847</v>
      </c>
    </row>
    <row r="57" spans="3:4" ht="16.5">
      <c r="C57" t="s">
        <v>5848</v>
      </c>
      <c r="D57" s="88" t="s">
        <v>5849</v>
      </c>
    </row>
    <row r="58" spans="3:4" ht="16.5">
      <c r="C58" t="s">
        <v>5850</v>
      </c>
      <c r="D58" s="88" t="s">
        <v>5851</v>
      </c>
    </row>
    <row r="59" spans="3:4" ht="16.5">
      <c r="C59" t="s">
        <v>5852</v>
      </c>
      <c r="D59" s="88" t="s">
        <v>5853</v>
      </c>
    </row>
    <row r="60" spans="3:4" ht="16.5">
      <c r="C60" t="s">
        <v>5854</v>
      </c>
      <c r="D60" s="88" t="s">
        <v>5855</v>
      </c>
    </row>
    <row r="61" spans="3:4" ht="16.5">
      <c r="C61" t="s">
        <v>5856</v>
      </c>
      <c r="D61" s="88" t="s">
        <v>5857</v>
      </c>
    </row>
    <row r="62" spans="3:4" ht="16.5">
      <c r="C62" t="s">
        <v>5858</v>
      </c>
      <c r="D62" s="88" t="s">
        <v>5859</v>
      </c>
    </row>
    <row r="63" spans="3:4" ht="16.5">
      <c r="C63" t="s">
        <v>5860</v>
      </c>
      <c r="D63" s="88" t="s">
        <v>5861</v>
      </c>
    </row>
    <row r="64" spans="3:4" ht="16.5">
      <c r="C64" t="s">
        <v>5862</v>
      </c>
      <c r="D64" s="88" t="s">
        <v>5863</v>
      </c>
    </row>
    <row r="65" spans="3:4" ht="16.5">
      <c r="C65" t="s">
        <v>5864</v>
      </c>
      <c r="D65" s="88" t="s">
        <v>5865</v>
      </c>
    </row>
    <row r="66" spans="3:4" ht="16.5">
      <c r="C66" t="s">
        <v>5866</v>
      </c>
      <c r="D66" s="88" t="s">
        <v>5867</v>
      </c>
    </row>
    <row r="67" spans="3:4" ht="16.5">
      <c r="C67" t="s">
        <v>5868</v>
      </c>
      <c r="D67" s="88" t="s">
        <v>5869</v>
      </c>
    </row>
    <row r="68" spans="3:4" ht="16.5">
      <c r="C68" t="s">
        <v>5870</v>
      </c>
      <c r="D68" s="88" t="s">
        <v>5871</v>
      </c>
    </row>
    <row r="69" spans="3:4" ht="16.5">
      <c r="C69" t="s">
        <v>5872</v>
      </c>
      <c r="D69" s="88" t="s">
        <v>5873</v>
      </c>
    </row>
    <row r="70" spans="3:4" ht="16.5">
      <c r="C70" t="s">
        <v>5874</v>
      </c>
      <c r="D70" s="88" t="s">
        <v>5875</v>
      </c>
    </row>
    <row r="71" spans="3:4" ht="16.5">
      <c r="C71" t="s">
        <v>5876</v>
      </c>
      <c r="D71" s="88" t="s">
        <v>5877</v>
      </c>
    </row>
    <row r="72" spans="3:4" ht="16.5">
      <c r="C72" t="s">
        <v>5878</v>
      </c>
      <c r="D72" s="88" t="s">
        <v>5879</v>
      </c>
    </row>
    <row r="73" spans="3:4" ht="16.5">
      <c r="C73" t="s">
        <v>5880</v>
      </c>
      <c r="D73" s="88" t="s">
        <v>5881</v>
      </c>
    </row>
    <row r="74" spans="3:4" ht="16.5">
      <c r="C74" t="s">
        <v>5882</v>
      </c>
      <c r="D74" s="88" t="s">
        <v>5883</v>
      </c>
    </row>
    <row r="75" spans="3:4" ht="16.5">
      <c r="C75" t="s">
        <v>5884</v>
      </c>
      <c r="D75" s="88" t="s">
        <v>5885</v>
      </c>
    </row>
    <row r="76" spans="3:4" ht="16.5">
      <c r="C76" t="s">
        <v>5886</v>
      </c>
      <c r="D76" s="88" t="s">
        <v>5887</v>
      </c>
    </row>
    <row r="77" spans="3:4" ht="16.5">
      <c r="C77" t="s">
        <v>5888</v>
      </c>
      <c r="D77" s="88" t="s">
        <v>5889</v>
      </c>
    </row>
    <row r="78" spans="3:4" ht="16.5">
      <c r="C78" t="s">
        <v>5890</v>
      </c>
      <c r="D78" s="88" t="s">
        <v>5891</v>
      </c>
    </row>
    <row r="79" spans="3:4" ht="16.5">
      <c r="C79" t="s">
        <v>5892</v>
      </c>
      <c r="D79" s="88" t="s">
        <v>5893</v>
      </c>
    </row>
    <row r="80" spans="3:4" ht="16.5">
      <c r="C80" t="s">
        <v>5894</v>
      </c>
      <c r="D80" s="88" t="s">
        <v>5895</v>
      </c>
    </row>
    <row r="81" spans="3:4" ht="16.5">
      <c r="C81" t="s">
        <v>5896</v>
      </c>
      <c r="D81" s="88" t="s">
        <v>5897</v>
      </c>
    </row>
    <row r="82" spans="3:4" ht="16.5">
      <c r="C82" t="s">
        <v>5898</v>
      </c>
      <c r="D82" s="88" t="s">
        <v>5899</v>
      </c>
    </row>
    <row r="83" spans="3:4" ht="16.5">
      <c r="C83" t="s">
        <v>5900</v>
      </c>
      <c r="D83" s="88" t="s">
        <v>5901</v>
      </c>
    </row>
    <row r="84" spans="3:4" ht="16.5">
      <c r="C84" t="s">
        <v>5902</v>
      </c>
      <c r="D84" s="88" t="s">
        <v>5903</v>
      </c>
    </row>
    <row r="85" spans="3:4" ht="16.5">
      <c r="C85" t="s">
        <v>5904</v>
      </c>
      <c r="D85" s="88" t="s">
        <v>5905</v>
      </c>
    </row>
    <row r="86" spans="3:4" ht="16.5">
      <c r="C86" t="s">
        <v>5906</v>
      </c>
      <c r="D86" s="88" t="s">
        <v>5907</v>
      </c>
    </row>
    <row r="87" spans="3:4" ht="16.5">
      <c r="C87" t="s">
        <v>5908</v>
      </c>
      <c r="D87" s="88" t="s">
        <v>5909</v>
      </c>
    </row>
    <row r="88" spans="3:4" ht="16.5">
      <c r="C88" t="s">
        <v>5910</v>
      </c>
      <c r="D88" s="88" t="s">
        <v>5911</v>
      </c>
    </row>
    <row r="89" spans="3:4" ht="16.5">
      <c r="C89" t="s">
        <v>5912</v>
      </c>
      <c r="D89" s="88" t="s">
        <v>5913</v>
      </c>
    </row>
    <row r="90" spans="3:4" ht="16.5">
      <c r="C90" t="s">
        <v>5914</v>
      </c>
      <c r="D90" s="88" t="s">
        <v>5915</v>
      </c>
    </row>
    <row r="91" spans="3:4" ht="16.5">
      <c r="C91" t="s">
        <v>5916</v>
      </c>
      <c r="D91" s="88" t="s">
        <v>5917</v>
      </c>
    </row>
    <row r="92" spans="3:4" ht="16.5">
      <c r="C92" t="s">
        <v>5918</v>
      </c>
      <c r="D92" s="88" t="s">
        <v>5919</v>
      </c>
    </row>
    <row r="93" spans="3:4" ht="16.5">
      <c r="C93" t="s">
        <v>5920</v>
      </c>
      <c r="D93" s="88" t="s">
        <v>5921</v>
      </c>
    </row>
    <row r="94" spans="3:4" ht="16.5">
      <c r="C94" t="s">
        <v>5922</v>
      </c>
      <c r="D94" s="88" t="s">
        <v>5923</v>
      </c>
    </row>
    <row r="95" spans="3:4" ht="16.5">
      <c r="C95" t="s">
        <v>5924</v>
      </c>
      <c r="D95" s="88" t="s">
        <v>5925</v>
      </c>
    </row>
    <row r="96" spans="3:4" ht="16.5">
      <c r="C96" t="s">
        <v>5926</v>
      </c>
      <c r="D96" s="88" t="s">
        <v>5927</v>
      </c>
    </row>
    <row r="97" spans="3:4" ht="16.5">
      <c r="C97" t="s">
        <v>5928</v>
      </c>
      <c r="D97" s="88" t="s">
        <v>5929</v>
      </c>
    </row>
    <row r="98" spans="3:4" ht="16.5">
      <c r="C98" t="s">
        <v>5930</v>
      </c>
      <c r="D98" s="88" t="s">
        <v>5931</v>
      </c>
    </row>
    <row r="99" spans="3:4" ht="16.5">
      <c r="C99" t="s">
        <v>5932</v>
      </c>
      <c r="D99" s="88" t="s">
        <v>5933</v>
      </c>
    </row>
    <row r="100" spans="3:4" ht="16.5">
      <c r="C100" t="s">
        <v>5934</v>
      </c>
      <c r="D100" s="88" t="s">
        <v>5935</v>
      </c>
    </row>
    <row r="101" spans="3:4" ht="16.5">
      <c r="C101" t="s">
        <v>5936</v>
      </c>
      <c r="D101" s="88" t="s">
        <v>5937</v>
      </c>
    </row>
    <row r="102" spans="3:4" ht="16.5">
      <c r="C102" t="s">
        <v>5938</v>
      </c>
      <c r="D102" s="88" t="s">
        <v>5939</v>
      </c>
    </row>
    <row r="103" spans="3:4" ht="16.5">
      <c r="C103" t="s">
        <v>5940</v>
      </c>
      <c r="D103" s="88" t="s">
        <v>5941</v>
      </c>
    </row>
    <row r="104" spans="3:4" ht="16.5">
      <c r="C104" t="s">
        <v>5942</v>
      </c>
      <c r="D104" s="88" t="s">
        <v>5943</v>
      </c>
    </row>
    <row r="105" spans="3:4" ht="16.5">
      <c r="C105" t="s">
        <v>5944</v>
      </c>
      <c r="D105" s="88" t="s">
        <v>5945</v>
      </c>
    </row>
    <row r="106" spans="3:4" ht="16.5">
      <c r="C106" t="s">
        <v>5946</v>
      </c>
      <c r="D106" s="88" t="s">
        <v>5947</v>
      </c>
    </row>
    <row r="107" spans="3:4" ht="16.5">
      <c r="C107" t="s">
        <v>5948</v>
      </c>
      <c r="D107" s="88" t="s">
        <v>5949</v>
      </c>
    </row>
    <row r="108" spans="3:4" ht="16.5">
      <c r="C108" t="s">
        <v>5950</v>
      </c>
      <c r="D108" s="88" t="s">
        <v>5951</v>
      </c>
    </row>
    <row r="109" spans="3:4" ht="16.5">
      <c r="C109" t="s">
        <v>5952</v>
      </c>
      <c r="D109" s="88" t="s">
        <v>5953</v>
      </c>
    </row>
    <row r="110" spans="3:4" ht="16.5">
      <c r="C110" t="s">
        <v>5954</v>
      </c>
      <c r="D110" s="88" t="s">
        <v>5955</v>
      </c>
    </row>
    <row r="111" spans="3:4" ht="16.5">
      <c r="C111" t="s">
        <v>5956</v>
      </c>
      <c r="D111" s="88" t="s">
        <v>5957</v>
      </c>
    </row>
    <row r="112" spans="3:4" ht="16.5">
      <c r="C112" t="s">
        <v>5958</v>
      </c>
      <c r="D112" s="88" t="s">
        <v>5959</v>
      </c>
    </row>
    <row r="113" spans="3:4" ht="16.5">
      <c r="C113" t="s">
        <v>5960</v>
      </c>
      <c r="D113" s="88" t="s">
        <v>5961</v>
      </c>
    </row>
    <row r="114" spans="3:4" ht="16.5">
      <c r="C114" t="s">
        <v>5962</v>
      </c>
      <c r="D114" s="88" t="s">
        <v>5963</v>
      </c>
    </row>
    <row r="115" spans="3:4" ht="16.5">
      <c r="C115" t="s">
        <v>5964</v>
      </c>
      <c r="D115" s="88" t="s">
        <v>5965</v>
      </c>
    </row>
    <row r="116" spans="3:4" ht="16.5">
      <c r="C116" t="s">
        <v>5966</v>
      </c>
      <c r="D116" s="88" t="s">
        <v>5967</v>
      </c>
    </row>
    <row r="117" spans="3:4" ht="16.5">
      <c r="C117" t="s">
        <v>5968</v>
      </c>
      <c r="D117" s="88" t="s">
        <v>5969</v>
      </c>
    </row>
    <row r="118" spans="3:4" ht="16.5">
      <c r="C118" t="s">
        <v>5970</v>
      </c>
      <c r="D118" s="88" t="s">
        <v>5971</v>
      </c>
    </row>
    <row r="119" spans="3:4" ht="16.5">
      <c r="C119" t="s">
        <v>5972</v>
      </c>
      <c r="D119" s="88" t="s">
        <v>5973</v>
      </c>
    </row>
    <row r="120" spans="3:4" ht="16.5">
      <c r="C120" t="s">
        <v>5974</v>
      </c>
      <c r="D120" s="88" t="s">
        <v>5975</v>
      </c>
    </row>
    <row r="121" spans="3:4" ht="16.5">
      <c r="C121" t="s">
        <v>5976</v>
      </c>
      <c r="D121" s="88" t="s">
        <v>5977</v>
      </c>
    </row>
    <row r="122" spans="3:4" ht="16.5">
      <c r="C122" t="s">
        <v>5978</v>
      </c>
      <c r="D122" s="88" t="s">
        <v>5979</v>
      </c>
    </row>
    <row r="123" spans="3:4" ht="16.5">
      <c r="C123" t="s">
        <v>5980</v>
      </c>
      <c r="D123" s="88" t="s">
        <v>5981</v>
      </c>
    </row>
    <row r="124" spans="3:4" ht="16.5">
      <c r="C124" t="s">
        <v>5982</v>
      </c>
      <c r="D124" s="88" t="s">
        <v>5983</v>
      </c>
    </row>
    <row r="125" spans="3:4" ht="16.5">
      <c r="C125" t="s">
        <v>5984</v>
      </c>
      <c r="D125" s="88" t="s">
        <v>5985</v>
      </c>
    </row>
    <row r="126" spans="3:4" ht="16.5">
      <c r="C126" t="s">
        <v>5986</v>
      </c>
      <c r="D126" s="88" t="s">
        <v>5987</v>
      </c>
    </row>
    <row r="127" spans="3:4" ht="16.5">
      <c r="C127" t="s">
        <v>5988</v>
      </c>
      <c r="D127" s="88" t="s">
        <v>5989</v>
      </c>
    </row>
    <row r="128" spans="3:4" ht="16.5">
      <c r="C128" t="s">
        <v>5990</v>
      </c>
      <c r="D128" s="88" t="s">
        <v>5991</v>
      </c>
    </row>
    <row r="129" spans="3:4" ht="16.5">
      <c r="C129" t="s">
        <v>5992</v>
      </c>
      <c r="D129" s="88" t="s">
        <v>5993</v>
      </c>
    </row>
    <row r="130" spans="3:4" ht="16.5">
      <c r="C130" t="s">
        <v>5994</v>
      </c>
      <c r="D130" s="88" t="s">
        <v>5995</v>
      </c>
    </row>
    <row r="131" spans="3:4" ht="16.5">
      <c r="C131" t="s">
        <v>5996</v>
      </c>
      <c r="D131" s="88" t="s">
        <v>5997</v>
      </c>
    </row>
    <row r="132" spans="3:4" ht="16.5">
      <c r="C132" t="s">
        <v>5998</v>
      </c>
      <c r="D132" s="88" t="s">
        <v>5999</v>
      </c>
    </row>
    <row r="133" spans="3:4" ht="16.5">
      <c r="C133" t="s">
        <v>6000</v>
      </c>
      <c r="D133" s="88" t="s">
        <v>6001</v>
      </c>
    </row>
    <row r="134" spans="3:4" ht="16.5">
      <c r="C134" t="s">
        <v>6002</v>
      </c>
      <c r="D134" s="88" t="s">
        <v>6003</v>
      </c>
    </row>
    <row r="135" spans="3:4" ht="16.5">
      <c r="C135" t="s">
        <v>6004</v>
      </c>
      <c r="D135" s="88" t="s">
        <v>6005</v>
      </c>
    </row>
    <row r="136" spans="3:4" ht="16.5">
      <c r="C136" t="s">
        <v>6006</v>
      </c>
      <c r="D136" s="88" t="s">
        <v>6007</v>
      </c>
    </row>
    <row r="137" spans="3:4" ht="16.5">
      <c r="C137" t="s">
        <v>6008</v>
      </c>
      <c r="D137" s="88" t="s">
        <v>6009</v>
      </c>
    </row>
    <row r="138" spans="3:4" ht="16.5">
      <c r="C138" t="s">
        <v>6010</v>
      </c>
      <c r="D138" s="88" t="s">
        <v>6011</v>
      </c>
    </row>
    <row r="139" spans="3:4" ht="16.5">
      <c r="C139" t="s">
        <v>6012</v>
      </c>
      <c r="D139" s="88" t="s">
        <v>6013</v>
      </c>
    </row>
    <row r="140" spans="3:4" ht="16.5">
      <c r="C140" t="s">
        <v>6014</v>
      </c>
      <c r="D140" s="88" t="s">
        <v>6015</v>
      </c>
    </row>
    <row r="141" spans="3:4" ht="16.5">
      <c r="C141" t="s">
        <v>6016</v>
      </c>
      <c r="D141" s="88" t="s">
        <v>6017</v>
      </c>
    </row>
    <row r="142" spans="3:4" ht="16.5">
      <c r="C142" t="s">
        <v>6018</v>
      </c>
      <c r="D142" s="88" t="s">
        <v>6019</v>
      </c>
    </row>
    <row r="143" spans="3:4" ht="16.5">
      <c r="C143" t="s">
        <v>6020</v>
      </c>
      <c r="D143" s="88" t="s">
        <v>6021</v>
      </c>
    </row>
    <row r="144" spans="3:4" ht="16.5">
      <c r="C144" t="s">
        <v>6022</v>
      </c>
      <c r="D144" s="88" t="s">
        <v>6023</v>
      </c>
    </row>
    <row r="145" spans="3:4" ht="16.5">
      <c r="C145" t="s">
        <v>6024</v>
      </c>
      <c r="D145" s="88" t="s">
        <v>6025</v>
      </c>
    </row>
    <row r="146" spans="3:4" ht="16.5">
      <c r="C146" t="s">
        <v>6026</v>
      </c>
      <c r="D146" s="88" t="s">
        <v>6027</v>
      </c>
    </row>
    <row r="147" spans="3:4" ht="16.5">
      <c r="C147" t="s">
        <v>6028</v>
      </c>
      <c r="D147" s="88" t="s">
        <v>6029</v>
      </c>
    </row>
    <row r="148" spans="3:4" ht="16.5">
      <c r="C148" t="s">
        <v>6030</v>
      </c>
      <c r="D148" s="88" t="s">
        <v>6031</v>
      </c>
    </row>
    <row r="149" spans="3:4" ht="16.5">
      <c r="C149" t="s">
        <v>6032</v>
      </c>
      <c r="D149" s="88" t="s">
        <v>6033</v>
      </c>
    </row>
    <row r="150" spans="3:4" ht="16.5">
      <c r="C150" t="s">
        <v>6034</v>
      </c>
      <c r="D150" s="88" t="s">
        <v>6035</v>
      </c>
    </row>
    <row r="151" spans="3:4" ht="16.5">
      <c r="C151" t="s">
        <v>6036</v>
      </c>
      <c r="D151" s="88" t="s">
        <v>6037</v>
      </c>
    </row>
    <row r="152" spans="3:4" ht="16.5">
      <c r="C152" t="s">
        <v>6038</v>
      </c>
      <c r="D152" s="88" t="s">
        <v>6039</v>
      </c>
    </row>
    <row r="153" spans="3:4" ht="16.5">
      <c r="C153" t="s">
        <v>6040</v>
      </c>
      <c r="D153" s="88" t="s">
        <v>6041</v>
      </c>
    </row>
    <row r="154" spans="3:4" ht="16.5">
      <c r="C154" t="s">
        <v>6042</v>
      </c>
      <c r="D154" s="88" t="s">
        <v>6043</v>
      </c>
    </row>
    <row r="155" spans="3:4" ht="16.5">
      <c r="C155" t="s">
        <v>6044</v>
      </c>
      <c r="D155" s="88" t="s">
        <v>6045</v>
      </c>
    </row>
    <row r="156" spans="3:4" ht="16.5">
      <c r="C156" t="s">
        <v>6046</v>
      </c>
      <c r="D156" s="88" t="s">
        <v>6047</v>
      </c>
    </row>
    <row r="157" spans="3:4" ht="16.5">
      <c r="C157" t="s">
        <v>6048</v>
      </c>
      <c r="D157" s="88" t="s">
        <v>6049</v>
      </c>
    </row>
    <row r="158" spans="3:4" ht="16.5">
      <c r="C158" t="s">
        <v>6050</v>
      </c>
      <c r="D158" s="88" t="s">
        <v>6051</v>
      </c>
    </row>
    <row r="159" spans="3:4" ht="16.5">
      <c r="C159" t="s">
        <v>6052</v>
      </c>
      <c r="D159" s="88" t="s">
        <v>6053</v>
      </c>
    </row>
    <row r="160" spans="3:4" ht="16.5">
      <c r="C160" t="s">
        <v>6054</v>
      </c>
      <c r="D160" s="88" t="s">
        <v>6055</v>
      </c>
    </row>
    <row r="161" spans="3:4" ht="16.5">
      <c r="C161" t="s">
        <v>6056</v>
      </c>
      <c r="D161" s="88" t="s">
        <v>6057</v>
      </c>
    </row>
    <row r="162" spans="3:4" ht="16.5">
      <c r="C162" t="s">
        <v>6058</v>
      </c>
      <c r="D162" s="88" t="s">
        <v>6059</v>
      </c>
    </row>
    <row r="163" spans="3:4" ht="16.5">
      <c r="C163" t="s">
        <v>6060</v>
      </c>
      <c r="D163" s="88" t="s">
        <v>6061</v>
      </c>
    </row>
    <row r="164" spans="3:4" ht="16.5">
      <c r="C164" t="s">
        <v>6062</v>
      </c>
      <c r="D164" s="88" t="s">
        <v>6063</v>
      </c>
    </row>
    <row r="165" spans="3:4" ht="16.5">
      <c r="C165" t="s">
        <v>6064</v>
      </c>
      <c r="D165" s="88" t="s">
        <v>6065</v>
      </c>
    </row>
    <row r="166" spans="3:4" ht="16.5">
      <c r="C166" t="s">
        <v>6066</v>
      </c>
      <c r="D166" s="88" t="s">
        <v>6067</v>
      </c>
    </row>
    <row r="167" spans="3:4" ht="16.5">
      <c r="C167" t="s">
        <v>6068</v>
      </c>
      <c r="D167" s="88" t="s">
        <v>6069</v>
      </c>
    </row>
    <row r="168" spans="3:4" ht="16.5">
      <c r="C168" t="s">
        <v>6070</v>
      </c>
      <c r="D168" s="88" t="s">
        <v>6071</v>
      </c>
    </row>
    <row r="169" spans="3:4" ht="16.5">
      <c r="C169" t="s">
        <v>6072</v>
      </c>
      <c r="D169" s="88" t="s">
        <v>6073</v>
      </c>
    </row>
    <row r="170" spans="3:4" ht="16.5">
      <c r="C170" t="s">
        <v>6074</v>
      </c>
      <c r="D170" s="88" t="s">
        <v>6075</v>
      </c>
    </row>
    <row r="171" spans="3:4" ht="16.5">
      <c r="C171" t="s">
        <v>6076</v>
      </c>
      <c r="D171" s="88" t="s">
        <v>6077</v>
      </c>
    </row>
    <row r="172" spans="3:4" ht="16.5">
      <c r="C172" t="s">
        <v>6078</v>
      </c>
      <c r="D172" s="88" t="s">
        <v>6079</v>
      </c>
    </row>
    <row r="173" spans="3:4" ht="16.5">
      <c r="C173" t="s">
        <v>6080</v>
      </c>
      <c r="D173" s="88" t="s">
        <v>6081</v>
      </c>
    </row>
    <row r="174" spans="3:4" ht="16.5">
      <c r="C174" t="s">
        <v>6082</v>
      </c>
      <c r="D174" s="88" t="s">
        <v>6083</v>
      </c>
    </row>
    <row r="175" spans="3:4" ht="16.5">
      <c r="C175" t="s">
        <v>6084</v>
      </c>
      <c r="D175" s="88" t="s">
        <v>6085</v>
      </c>
    </row>
    <row r="176" spans="3:4" ht="16.5">
      <c r="C176" t="s">
        <v>6086</v>
      </c>
      <c r="D176" s="88" t="s">
        <v>6087</v>
      </c>
    </row>
    <row r="177" spans="3:4" ht="16.5">
      <c r="C177" t="s">
        <v>6088</v>
      </c>
      <c r="D177" s="88" t="s">
        <v>6089</v>
      </c>
    </row>
    <row r="178" spans="3:4" ht="16.5">
      <c r="C178" t="s">
        <v>6090</v>
      </c>
      <c r="D178" s="88" t="s">
        <v>6091</v>
      </c>
    </row>
    <row r="179" spans="3:4" ht="16.5">
      <c r="C179" t="s">
        <v>6092</v>
      </c>
      <c r="D179" s="88" t="s">
        <v>6093</v>
      </c>
    </row>
    <row r="180" spans="3:4" ht="16.5">
      <c r="C180" t="s">
        <v>6094</v>
      </c>
      <c r="D180" s="88" t="s">
        <v>6095</v>
      </c>
    </row>
    <row r="181" spans="3:4" ht="16.5">
      <c r="C181" t="s">
        <v>6096</v>
      </c>
      <c r="D181" s="88" t="s">
        <v>6097</v>
      </c>
    </row>
    <row r="182" spans="3:4" ht="16.5">
      <c r="C182" t="s">
        <v>6098</v>
      </c>
      <c r="D182" s="88" t="s">
        <v>6099</v>
      </c>
    </row>
    <row r="183" spans="3:4" ht="16.5">
      <c r="C183" t="s">
        <v>6100</v>
      </c>
      <c r="D183" s="88" t="s">
        <v>6101</v>
      </c>
    </row>
    <row r="184" spans="3:4" ht="16.5">
      <c r="C184" t="s">
        <v>6102</v>
      </c>
      <c r="D184" s="88" t="s">
        <v>6103</v>
      </c>
    </row>
    <row r="185" spans="3:4" ht="16.5">
      <c r="C185" t="s">
        <v>6104</v>
      </c>
      <c r="D185" s="88" t="s">
        <v>6105</v>
      </c>
    </row>
    <row r="186" spans="3:4" ht="16.5">
      <c r="C186" t="s">
        <v>6106</v>
      </c>
      <c r="D186" s="88" t="s">
        <v>6107</v>
      </c>
    </row>
    <row r="187" spans="3:4" ht="16.5">
      <c r="C187" t="s">
        <v>6108</v>
      </c>
      <c r="D187" s="88" t="s">
        <v>6109</v>
      </c>
    </row>
    <row r="188" spans="3:4" ht="16.5">
      <c r="C188" t="s">
        <v>6110</v>
      </c>
      <c r="D188" s="88" t="s">
        <v>6111</v>
      </c>
    </row>
    <row r="189" spans="3:4" ht="16.5">
      <c r="C189" t="s">
        <v>6112</v>
      </c>
      <c r="D189" s="88" t="s">
        <v>6113</v>
      </c>
    </row>
    <row r="190" spans="3:4" ht="16.5">
      <c r="C190" t="s">
        <v>6114</v>
      </c>
      <c r="D190" s="88" t="s">
        <v>6115</v>
      </c>
    </row>
    <row r="191" spans="3:4" ht="16.5">
      <c r="C191" t="s">
        <v>6116</v>
      </c>
      <c r="D191" s="88" t="s">
        <v>6117</v>
      </c>
    </row>
    <row r="192" spans="3:4" ht="16.5">
      <c r="C192" t="s">
        <v>6118</v>
      </c>
      <c r="D192" s="88" t="s">
        <v>6119</v>
      </c>
    </row>
    <row r="193" spans="3:4" ht="16.5">
      <c r="C193" t="s">
        <v>6120</v>
      </c>
      <c r="D193" s="88" t="s">
        <v>6121</v>
      </c>
    </row>
    <row r="194" spans="3:4" ht="16.5">
      <c r="C194" t="s">
        <v>6122</v>
      </c>
      <c r="D194" s="88" t="s">
        <v>6123</v>
      </c>
    </row>
    <row r="195" spans="3:4" ht="16.5">
      <c r="C195" t="s">
        <v>6124</v>
      </c>
      <c r="D195" s="88" t="s">
        <v>6125</v>
      </c>
    </row>
    <row r="196" spans="3:4" ht="16.5">
      <c r="C196" t="s">
        <v>6126</v>
      </c>
      <c r="D196" s="88" t="s">
        <v>6127</v>
      </c>
    </row>
    <row r="197" spans="3:4" ht="16.5">
      <c r="C197" t="s">
        <v>6128</v>
      </c>
      <c r="D197" s="88" t="s">
        <v>6129</v>
      </c>
    </row>
    <row r="198" spans="3:4" ht="16.5">
      <c r="C198" t="s">
        <v>6130</v>
      </c>
      <c r="D198" s="88" t="s">
        <v>6131</v>
      </c>
    </row>
    <row r="199" spans="3:4" ht="16.5">
      <c r="C199" t="s">
        <v>6132</v>
      </c>
      <c r="D199" s="88" t="s">
        <v>6133</v>
      </c>
    </row>
    <row r="200" spans="3:4" ht="16.5">
      <c r="C200" t="s">
        <v>6134</v>
      </c>
      <c r="D200" s="88" t="s">
        <v>6135</v>
      </c>
    </row>
    <row r="201" spans="3:4" ht="16.5">
      <c r="C201" t="s">
        <v>6136</v>
      </c>
      <c r="D201" s="88" t="s">
        <v>6137</v>
      </c>
    </row>
    <row r="202" spans="3:4" ht="16.5">
      <c r="C202" t="s">
        <v>6138</v>
      </c>
      <c r="D202" s="88" t="s">
        <v>6139</v>
      </c>
    </row>
    <row r="203" spans="3:4" ht="16.5">
      <c r="C203" t="s">
        <v>6140</v>
      </c>
      <c r="D203" s="88" t="s">
        <v>6141</v>
      </c>
    </row>
    <row r="204" spans="3:4" ht="16.5">
      <c r="C204" t="s">
        <v>6142</v>
      </c>
      <c r="D204" s="88" t="s">
        <v>6143</v>
      </c>
    </row>
    <row r="205" spans="3:4" ht="16.5">
      <c r="C205" t="s">
        <v>6144</v>
      </c>
      <c r="D205" s="88" t="s">
        <v>6145</v>
      </c>
    </row>
    <row r="206" spans="3:4" ht="16.5">
      <c r="C206" t="s">
        <v>6146</v>
      </c>
      <c r="D206" s="88" t="s">
        <v>6147</v>
      </c>
    </row>
    <row r="207" spans="3:4" ht="16.5">
      <c r="C207" t="s">
        <v>6148</v>
      </c>
      <c r="D207" s="88" t="s">
        <v>6149</v>
      </c>
    </row>
    <row r="208" spans="3:4" ht="16.5">
      <c r="C208" t="s">
        <v>6150</v>
      </c>
      <c r="D208" s="88" t="s">
        <v>6151</v>
      </c>
    </row>
    <row r="209" spans="3:4" ht="16.5">
      <c r="C209" t="s">
        <v>6152</v>
      </c>
      <c r="D209" s="88" t="s">
        <v>6153</v>
      </c>
    </row>
    <row r="210" spans="3:4" ht="16.5">
      <c r="C210" t="s">
        <v>6154</v>
      </c>
      <c r="D210" s="88" t="s">
        <v>6155</v>
      </c>
    </row>
    <row r="211" spans="3:4" ht="16.5">
      <c r="C211" t="s">
        <v>6156</v>
      </c>
      <c r="D211" s="88" t="s">
        <v>6157</v>
      </c>
    </row>
    <row r="212" spans="3:4" ht="16.5">
      <c r="C212" t="s">
        <v>6158</v>
      </c>
      <c r="D212" s="88" t="s">
        <v>6159</v>
      </c>
    </row>
    <row r="213" spans="3:4" ht="16.5">
      <c r="C213" t="s">
        <v>6160</v>
      </c>
      <c r="D213" s="88" t="s">
        <v>6161</v>
      </c>
    </row>
    <row r="214" spans="3:4" ht="16.5">
      <c r="C214" t="s">
        <v>6162</v>
      </c>
      <c r="D214" s="88" t="s">
        <v>6163</v>
      </c>
    </row>
    <row r="215" spans="3:4" ht="16.5">
      <c r="C215" t="s">
        <v>6164</v>
      </c>
      <c r="D215" s="88" t="s">
        <v>6165</v>
      </c>
    </row>
    <row r="216" spans="3:4" ht="16.5">
      <c r="C216" t="s">
        <v>6166</v>
      </c>
      <c r="D216" s="88" t="s">
        <v>6167</v>
      </c>
    </row>
    <row r="217" spans="3:4" ht="16.5">
      <c r="C217" t="s">
        <v>6168</v>
      </c>
      <c r="D217" s="88" t="s">
        <v>6169</v>
      </c>
    </row>
    <row r="218" spans="3:4" ht="16.5">
      <c r="C218" t="s">
        <v>6170</v>
      </c>
      <c r="D218" s="88" t="s">
        <v>6171</v>
      </c>
    </row>
    <row r="219" spans="3:4" ht="16.5">
      <c r="C219" t="s">
        <v>6172</v>
      </c>
      <c r="D219" s="88" t="s">
        <v>6173</v>
      </c>
    </row>
    <row r="220" spans="3:4" ht="16.5">
      <c r="C220" t="s">
        <v>6174</v>
      </c>
      <c r="D220" s="88" t="s">
        <v>6175</v>
      </c>
    </row>
    <row r="221" spans="3:4" ht="16.5">
      <c r="C221" t="s">
        <v>6176</v>
      </c>
      <c r="D221" s="88" t="s">
        <v>6177</v>
      </c>
    </row>
    <row r="222" spans="3:4" ht="16.5">
      <c r="C222" t="s">
        <v>6178</v>
      </c>
      <c r="D222" s="88" t="s">
        <v>6179</v>
      </c>
    </row>
    <row r="223" spans="3:4" ht="16.5">
      <c r="C223" t="s">
        <v>6180</v>
      </c>
      <c r="D223" s="88" t="s">
        <v>6181</v>
      </c>
    </row>
    <row r="224" spans="3:4" ht="16.5">
      <c r="C224" t="s">
        <v>6182</v>
      </c>
      <c r="D224" s="88" t="s">
        <v>6183</v>
      </c>
    </row>
    <row r="225" spans="3:4" ht="16.5">
      <c r="C225" t="s">
        <v>6184</v>
      </c>
      <c r="D225" s="88" t="s">
        <v>6185</v>
      </c>
    </row>
    <row r="226" spans="3:4" ht="16.5">
      <c r="C226" t="s">
        <v>6186</v>
      </c>
      <c r="D226" s="88" t="s">
        <v>6187</v>
      </c>
    </row>
    <row r="227" spans="3:4" ht="16.5">
      <c r="C227" t="s">
        <v>6188</v>
      </c>
      <c r="D227" s="88" t="s">
        <v>6189</v>
      </c>
    </row>
    <row r="228" spans="3:4" ht="16.5">
      <c r="C228" t="s">
        <v>6190</v>
      </c>
      <c r="D228" s="88" t="s">
        <v>6191</v>
      </c>
    </row>
    <row r="229" spans="3:4" ht="16.5">
      <c r="C229" t="s">
        <v>6192</v>
      </c>
      <c r="D229" s="88" t="s">
        <v>6193</v>
      </c>
    </row>
    <row r="230" spans="3:4" ht="16.5">
      <c r="C230" t="s">
        <v>6194</v>
      </c>
      <c r="D230" s="88" t="s">
        <v>6195</v>
      </c>
    </row>
    <row r="231" spans="3:4" ht="16.5">
      <c r="C231" t="s">
        <v>6196</v>
      </c>
      <c r="D231" s="88" t="s">
        <v>6197</v>
      </c>
    </row>
    <row r="232" spans="3:4" ht="16.5">
      <c r="C232" t="s">
        <v>6198</v>
      </c>
      <c r="D232" s="88" t="s">
        <v>6199</v>
      </c>
    </row>
    <row r="233" spans="3:4" ht="16.5">
      <c r="C233" t="s">
        <v>6200</v>
      </c>
      <c r="D233" s="88" t="s">
        <v>6201</v>
      </c>
    </row>
    <row r="234" spans="3:4" ht="16.5">
      <c r="C234" t="s">
        <v>6202</v>
      </c>
      <c r="D234" s="88" t="s">
        <v>6203</v>
      </c>
    </row>
    <row r="235" spans="3:4" ht="16.5">
      <c r="C235" t="s">
        <v>6204</v>
      </c>
      <c r="D235" s="88" t="s">
        <v>6205</v>
      </c>
    </row>
    <row r="236" spans="3:4" ht="16.5">
      <c r="C236" t="s">
        <v>6206</v>
      </c>
      <c r="D236" s="88" t="s">
        <v>6207</v>
      </c>
    </row>
    <row r="237" spans="3:4" ht="16.5">
      <c r="C237" t="s">
        <v>6208</v>
      </c>
      <c r="D237" s="88" t="s">
        <v>6209</v>
      </c>
    </row>
    <row r="238" spans="3:4" ht="16.5">
      <c r="C238" t="s">
        <v>6210</v>
      </c>
      <c r="D238" s="88" t="s">
        <v>6211</v>
      </c>
    </row>
    <row r="239" spans="3:4" ht="16.5">
      <c r="C239" t="s">
        <v>6212</v>
      </c>
      <c r="D239" s="88" t="s">
        <v>6213</v>
      </c>
    </row>
    <row r="240" spans="3:4" ht="16.5">
      <c r="C240" t="s">
        <v>6214</v>
      </c>
      <c r="D240" s="88" t="s">
        <v>6215</v>
      </c>
    </row>
    <row r="241" spans="3:4" ht="16.5">
      <c r="C241" t="s">
        <v>6216</v>
      </c>
      <c r="D241" s="88" t="s">
        <v>6217</v>
      </c>
    </row>
    <row r="242" spans="3:4" ht="16.5">
      <c r="C242" t="s">
        <v>6218</v>
      </c>
      <c r="D242" s="88" t="s">
        <v>6219</v>
      </c>
    </row>
    <row r="243" spans="3:4" ht="16.5">
      <c r="C243" t="s">
        <v>6220</v>
      </c>
      <c r="D243" s="88" t="s">
        <v>6221</v>
      </c>
    </row>
    <row r="244" spans="3:4" ht="16.5">
      <c r="C244" t="s">
        <v>6222</v>
      </c>
      <c r="D244" s="88" t="s">
        <v>6223</v>
      </c>
    </row>
    <row r="245" spans="3:4" ht="16.5">
      <c r="C245" t="s">
        <v>6224</v>
      </c>
      <c r="D245" s="88" t="s">
        <v>6225</v>
      </c>
    </row>
    <row r="246" spans="3:4" ht="16.5">
      <c r="C246" t="s">
        <v>6226</v>
      </c>
      <c r="D246" s="88" t="s">
        <v>6227</v>
      </c>
    </row>
    <row r="247" spans="3:4" ht="16.5">
      <c r="C247" t="s">
        <v>6228</v>
      </c>
      <c r="D247" s="88" t="s">
        <v>6229</v>
      </c>
    </row>
    <row r="248" spans="3:4" ht="16.5">
      <c r="C248" t="s">
        <v>6230</v>
      </c>
      <c r="D248" s="88" t="s">
        <v>6231</v>
      </c>
    </row>
    <row r="249" spans="3:4" ht="16.5">
      <c r="C249" t="s">
        <v>6232</v>
      </c>
      <c r="D249" s="88" t="s">
        <v>6233</v>
      </c>
    </row>
    <row r="250" spans="3:4" ht="16.5">
      <c r="C250" t="s">
        <v>6234</v>
      </c>
      <c r="D250" s="88" t="s">
        <v>6235</v>
      </c>
    </row>
    <row r="251" spans="3:4" ht="16.5">
      <c r="C251" t="s">
        <v>6236</v>
      </c>
      <c r="D251" s="88" t="s">
        <v>6237</v>
      </c>
    </row>
    <row r="252" spans="3:4" ht="16.5">
      <c r="C252" t="s">
        <v>6238</v>
      </c>
      <c r="D252" s="88" t="s">
        <v>6239</v>
      </c>
    </row>
    <row r="253" spans="3:4" ht="16.5">
      <c r="C253" t="s">
        <v>6240</v>
      </c>
      <c r="D253" s="88" t="s">
        <v>6241</v>
      </c>
    </row>
    <row r="254" spans="3:4" ht="16.5">
      <c r="C254" t="s">
        <v>6242</v>
      </c>
      <c r="D254" s="88" t="s">
        <v>6243</v>
      </c>
    </row>
    <row r="255" spans="3:4" ht="16.5">
      <c r="C255" t="s">
        <v>6244</v>
      </c>
      <c r="D255" s="88" t="s">
        <v>6245</v>
      </c>
    </row>
    <row r="256" spans="3:4" ht="16.5">
      <c r="C256" t="s">
        <v>6246</v>
      </c>
      <c r="D256" s="88" t="s">
        <v>6247</v>
      </c>
    </row>
    <row r="257" spans="3:4" ht="16.5">
      <c r="C257" t="s">
        <v>6248</v>
      </c>
      <c r="D257" s="88" t="s">
        <v>6249</v>
      </c>
    </row>
    <row r="258" spans="3:4" ht="16.5">
      <c r="C258" t="s">
        <v>6250</v>
      </c>
      <c r="D258" s="88" t="s">
        <v>6251</v>
      </c>
    </row>
    <row r="259" spans="3:4" ht="16.5">
      <c r="C259" t="s">
        <v>6252</v>
      </c>
      <c r="D259" s="88" t="s">
        <v>6253</v>
      </c>
    </row>
    <row r="260" spans="3:4" ht="16.5">
      <c r="C260" t="s">
        <v>6254</v>
      </c>
      <c r="D260" s="88" t="s">
        <v>6255</v>
      </c>
    </row>
    <row r="261" spans="3:4" ht="16.5">
      <c r="C261" t="s">
        <v>6256</v>
      </c>
      <c r="D261" s="88" t="s">
        <v>6257</v>
      </c>
    </row>
    <row r="262" spans="3:4" ht="16.5">
      <c r="C262" t="s">
        <v>6258</v>
      </c>
      <c r="D262" s="88" t="s">
        <v>6259</v>
      </c>
    </row>
    <row r="263" spans="3:4" ht="16.5">
      <c r="C263" t="s">
        <v>6260</v>
      </c>
      <c r="D263" s="88" t="s">
        <v>6261</v>
      </c>
    </row>
    <row r="264" spans="3:4" ht="16.5">
      <c r="C264" t="s">
        <v>6262</v>
      </c>
      <c r="D264" s="88" t="s">
        <v>6263</v>
      </c>
    </row>
    <row r="265" spans="3:4" ht="16.5">
      <c r="C265" t="s">
        <v>6264</v>
      </c>
      <c r="D265" s="88" t="s">
        <v>6265</v>
      </c>
    </row>
    <row r="266" spans="3:4" ht="16.5">
      <c r="C266" t="s">
        <v>6266</v>
      </c>
      <c r="D266" s="88" t="s">
        <v>6267</v>
      </c>
    </row>
    <row r="267" spans="3:4" ht="16.5">
      <c r="C267" t="s">
        <v>6268</v>
      </c>
      <c r="D267" s="88" t="s">
        <v>6269</v>
      </c>
    </row>
    <row r="268" spans="3:4" ht="16.5">
      <c r="C268" t="s">
        <v>6270</v>
      </c>
      <c r="D268" s="88" t="s">
        <v>6271</v>
      </c>
    </row>
    <row r="269" spans="3:4" ht="16.5">
      <c r="C269" t="s">
        <v>6272</v>
      </c>
      <c r="D269" s="88" t="s">
        <v>6273</v>
      </c>
    </row>
    <row r="270" spans="3:4" ht="16.5">
      <c r="C270" t="s">
        <v>6274</v>
      </c>
      <c r="D270" s="88" t="s">
        <v>6275</v>
      </c>
    </row>
    <row r="271" spans="3:4" ht="16.5">
      <c r="C271" t="s">
        <v>6276</v>
      </c>
      <c r="D271" s="88" t="s">
        <v>6277</v>
      </c>
    </row>
    <row r="272" spans="3:4" ht="16.5">
      <c r="C272" t="s">
        <v>6278</v>
      </c>
      <c r="D272" s="88" t="s">
        <v>6279</v>
      </c>
    </row>
    <row r="273" spans="3:4" ht="16.5">
      <c r="C273" t="s">
        <v>6280</v>
      </c>
      <c r="D273" s="88" t="s">
        <v>6281</v>
      </c>
    </row>
    <row r="274" spans="3:4" ht="16.5">
      <c r="C274" t="s">
        <v>6282</v>
      </c>
      <c r="D274" s="88" t="s">
        <v>6283</v>
      </c>
    </row>
    <row r="275" spans="3:4" ht="16.5">
      <c r="C275" t="s">
        <v>6284</v>
      </c>
      <c r="D275" s="88" t="s">
        <v>6285</v>
      </c>
    </row>
    <row r="276" spans="3:4" ht="16.5">
      <c r="C276" t="s">
        <v>6286</v>
      </c>
      <c r="D276" s="88" t="s">
        <v>6287</v>
      </c>
    </row>
    <row r="277" spans="3:4" ht="16.5">
      <c r="C277" t="s">
        <v>6288</v>
      </c>
      <c r="D277" s="88" t="s">
        <v>6289</v>
      </c>
    </row>
    <row r="278" spans="3:4" ht="16.5">
      <c r="C278" t="s">
        <v>6290</v>
      </c>
      <c r="D278" s="88" t="s">
        <v>6291</v>
      </c>
    </row>
    <row r="279" spans="3:4" ht="16.5">
      <c r="C279" t="s">
        <v>6292</v>
      </c>
      <c r="D279" s="88" t="s">
        <v>6293</v>
      </c>
    </row>
    <row r="280" spans="3:4" ht="16.5">
      <c r="C280" t="s">
        <v>6294</v>
      </c>
      <c r="D280" s="88" t="s">
        <v>6295</v>
      </c>
    </row>
    <row r="281" spans="3:4" ht="16.5">
      <c r="C281" t="s">
        <v>6296</v>
      </c>
      <c r="D281" s="88" t="s">
        <v>6297</v>
      </c>
    </row>
    <row r="282" spans="3:4" ht="16.5">
      <c r="C282" t="s">
        <v>6298</v>
      </c>
      <c r="D282" s="88" t="s">
        <v>6299</v>
      </c>
    </row>
    <row r="283" spans="3:4" ht="16.5">
      <c r="C283" t="s">
        <v>6300</v>
      </c>
      <c r="D283" s="88" t="s">
        <v>6301</v>
      </c>
    </row>
    <row r="284" spans="3:4" ht="16.5">
      <c r="C284" t="s">
        <v>6302</v>
      </c>
      <c r="D284" s="88" t="s">
        <v>6303</v>
      </c>
    </row>
    <row r="285" spans="3:4" ht="16.5">
      <c r="C285" t="s">
        <v>6304</v>
      </c>
      <c r="D285" s="88" t="s">
        <v>6305</v>
      </c>
    </row>
    <row r="286" spans="3:4" ht="16.5">
      <c r="C286" t="s">
        <v>6306</v>
      </c>
      <c r="D286" s="88" t="s">
        <v>6307</v>
      </c>
    </row>
    <row r="287" spans="3:4" ht="16.5">
      <c r="C287" t="s">
        <v>6308</v>
      </c>
      <c r="D287" s="88" t="s">
        <v>6309</v>
      </c>
    </row>
    <row r="288" spans="3:4" ht="16.5">
      <c r="C288" t="s">
        <v>6310</v>
      </c>
      <c r="D288" s="88" t="s">
        <v>6311</v>
      </c>
    </row>
    <row r="289" spans="3:4" ht="16.5">
      <c r="C289" t="s">
        <v>6312</v>
      </c>
      <c r="D289" s="88" t="s">
        <v>6313</v>
      </c>
    </row>
    <row r="290" spans="3:4" ht="16.5">
      <c r="C290" t="s">
        <v>6314</v>
      </c>
      <c r="D290" s="88" t="s">
        <v>6315</v>
      </c>
    </row>
    <row r="291" spans="3:4" ht="16.5">
      <c r="C291" t="s">
        <v>6316</v>
      </c>
      <c r="D291" s="88" t="s">
        <v>6317</v>
      </c>
    </row>
    <row r="292" spans="3:4" ht="16.5">
      <c r="C292" t="s">
        <v>6318</v>
      </c>
      <c r="D292" s="88" t="s">
        <v>6319</v>
      </c>
    </row>
    <row r="293" spans="3:4" ht="16.5">
      <c r="C293" t="s">
        <v>6320</v>
      </c>
      <c r="D293" s="88" t="s">
        <v>6321</v>
      </c>
    </row>
    <row r="294" spans="3:4" ht="16.5">
      <c r="C294" t="s">
        <v>6322</v>
      </c>
      <c r="D294" s="88" t="s">
        <v>6323</v>
      </c>
    </row>
    <row r="295" spans="3:4" ht="16.5">
      <c r="C295" t="s">
        <v>6324</v>
      </c>
      <c r="D295" s="88" t="s">
        <v>6325</v>
      </c>
    </row>
    <row r="296" spans="3:4" ht="16.5">
      <c r="C296" t="s">
        <v>6326</v>
      </c>
      <c r="D296" s="88" t="s">
        <v>6327</v>
      </c>
    </row>
    <row r="297" spans="3:4" ht="16.5">
      <c r="C297" t="s">
        <v>6328</v>
      </c>
      <c r="D297" s="88" t="s">
        <v>6329</v>
      </c>
    </row>
    <row r="298" spans="3:4" ht="16.5">
      <c r="C298" t="s">
        <v>6330</v>
      </c>
      <c r="D298" s="88" t="s">
        <v>6331</v>
      </c>
    </row>
    <row r="299" spans="3:4" ht="16.5">
      <c r="C299" t="s">
        <v>6332</v>
      </c>
      <c r="D299" s="88" t="s">
        <v>6333</v>
      </c>
    </row>
    <row r="300" spans="3:4" ht="16.5">
      <c r="C300" t="s">
        <v>6334</v>
      </c>
      <c r="D300" s="88" t="s">
        <v>6335</v>
      </c>
    </row>
    <row r="301" spans="3:4" ht="16.5">
      <c r="C301" t="s">
        <v>6336</v>
      </c>
      <c r="D301" s="88" t="s">
        <v>6337</v>
      </c>
    </row>
    <row r="302" spans="3:4" ht="16.5">
      <c r="C302" t="s">
        <v>6338</v>
      </c>
      <c r="D302" s="88" t="s">
        <v>6339</v>
      </c>
    </row>
    <row r="303" spans="3:4" ht="16.5">
      <c r="C303" t="s">
        <v>6340</v>
      </c>
      <c r="D303" s="88" t="s">
        <v>6341</v>
      </c>
    </row>
    <row r="304" spans="3:4" ht="16.5">
      <c r="C304" t="s">
        <v>6342</v>
      </c>
      <c r="D304" s="88" t="s">
        <v>6343</v>
      </c>
    </row>
    <row r="305" spans="3:4" ht="16.5">
      <c r="C305" t="s">
        <v>6344</v>
      </c>
      <c r="D305" s="88" t="s">
        <v>6345</v>
      </c>
    </row>
    <row r="306" spans="3:4" ht="16.5">
      <c r="C306" t="s">
        <v>6346</v>
      </c>
      <c r="D306" s="88" t="s">
        <v>6347</v>
      </c>
    </row>
    <row r="307" spans="3:4" ht="16.5">
      <c r="C307" t="s">
        <v>6348</v>
      </c>
      <c r="D307" s="88" t="s">
        <v>6349</v>
      </c>
    </row>
    <row r="308" spans="3:4" ht="16.5">
      <c r="C308" t="s">
        <v>6350</v>
      </c>
      <c r="D308" s="88" t="s">
        <v>6351</v>
      </c>
    </row>
    <row r="309" spans="3:4" ht="16.5">
      <c r="C309" t="s">
        <v>6352</v>
      </c>
      <c r="D309" s="88" t="s">
        <v>6353</v>
      </c>
    </row>
    <row r="310" spans="3:4" ht="16.5">
      <c r="C310" t="s">
        <v>6354</v>
      </c>
      <c r="D310" s="88" t="s">
        <v>6355</v>
      </c>
    </row>
    <row r="311" spans="3:4" ht="16.5">
      <c r="C311" t="s">
        <v>6356</v>
      </c>
      <c r="D311" s="88" t="s">
        <v>6357</v>
      </c>
    </row>
    <row r="312" spans="3:4" ht="16.5">
      <c r="C312" t="s">
        <v>6358</v>
      </c>
      <c r="D312" s="88" t="s">
        <v>6359</v>
      </c>
    </row>
    <row r="313" spans="3:4" ht="16.5">
      <c r="C313" t="s">
        <v>6360</v>
      </c>
      <c r="D313" s="88" t="s">
        <v>6361</v>
      </c>
    </row>
    <row r="314" spans="3:4" ht="16.5">
      <c r="C314" t="s">
        <v>6362</v>
      </c>
      <c r="D314" s="88" t="s">
        <v>6363</v>
      </c>
    </row>
    <row r="315" spans="3:4" ht="16.5">
      <c r="C315" t="s">
        <v>6364</v>
      </c>
      <c r="D315" s="88" t="s">
        <v>6365</v>
      </c>
    </row>
    <row r="316" spans="3:4" ht="16.5">
      <c r="C316" t="s">
        <v>6366</v>
      </c>
      <c r="D316" s="88" t="s">
        <v>6367</v>
      </c>
    </row>
    <row r="317" spans="3:4" ht="16.5">
      <c r="C317" t="s">
        <v>6368</v>
      </c>
      <c r="D317" s="88" t="s">
        <v>6369</v>
      </c>
    </row>
    <row r="318" spans="3:4" ht="16.5">
      <c r="C318" t="s">
        <v>6370</v>
      </c>
      <c r="D318" s="88" t="s">
        <v>6371</v>
      </c>
    </row>
    <row r="319" spans="3:4" ht="16.5">
      <c r="C319" t="s">
        <v>6372</v>
      </c>
      <c r="D319" s="88" t="s">
        <v>6373</v>
      </c>
    </row>
    <row r="320" spans="3:4" ht="16.5">
      <c r="C320" t="s">
        <v>6374</v>
      </c>
      <c r="D320" s="88" t="s">
        <v>6375</v>
      </c>
    </row>
    <row r="321" spans="3:4" ht="16.5">
      <c r="C321" t="s">
        <v>6376</v>
      </c>
      <c r="D321" s="88" t="s">
        <v>6377</v>
      </c>
    </row>
    <row r="322" spans="3:4" ht="16.5">
      <c r="C322" t="s">
        <v>6378</v>
      </c>
      <c r="D322" s="88" t="s">
        <v>6379</v>
      </c>
    </row>
    <row r="323" spans="3:4" ht="16.5">
      <c r="C323" t="s">
        <v>6380</v>
      </c>
      <c r="D323" s="88" t="s">
        <v>6381</v>
      </c>
    </row>
    <row r="324" spans="3:4" ht="16.5">
      <c r="C324" t="s">
        <v>6382</v>
      </c>
      <c r="D324" s="88" t="s">
        <v>6383</v>
      </c>
    </row>
    <row r="325" spans="3:4" ht="16.5">
      <c r="C325" t="s">
        <v>6384</v>
      </c>
      <c r="D325" s="88" t="s">
        <v>6385</v>
      </c>
    </row>
    <row r="326" spans="3:4" ht="16.5">
      <c r="C326" t="s">
        <v>6386</v>
      </c>
      <c r="D326" s="88" t="s">
        <v>6387</v>
      </c>
    </row>
    <row r="327" spans="3:4" ht="16.5">
      <c r="C327" t="s">
        <v>6388</v>
      </c>
      <c r="D327" s="88" t="s">
        <v>6389</v>
      </c>
    </row>
    <row r="328" spans="3:4" ht="16.5">
      <c r="C328" t="s">
        <v>6390</v>
      </c>
      <c r="D328" s="88" t="s">
        <v>6391</v>
      </c>
    </row>
    <row r="329" spans="3:4" ht="16.5">
      <c r="C329" t="s">
        <v>6392</v>
      </c>
      <c r="D329" s="88" t="s">
        <v>6393</v>
      </c>
    </row>
    <row r="330" spans="3:4" ht="16.5">
      <c r="C330" t="s">
        <v>6394</v>
      </c>
      <c r="D330" s="88" t="s">
        <v>6395</v>
      </c>
    </row>
    <row r="331" spans="3:4" ht="16.5">
      <c r="C331" t="s">
        <v>6396</v>
      </c>
      <c r="D331" s="88" t="s">
        <v>6397</v>
      </c>
    </row>
    <row r="332" spans="3:4" ht="16.5">
      <c r="C332" t="s">
        <v>6398</v>
      </c>
      <c r="D332" s="88" t="s">
        <v>6399</v>
      </c>
    </row>
    <row r="333" spans="3:4" ht="16.5">
      <c r="C333" t="s">
        <v>6400</v>
      </c>
      <c r="D333" s="88" t="s">
        <v>6401</v>
      </c>
    </row>
    <row r="334" spans="3:4" ht="16.5">
      <c r="C334" t="s">
        <v>6402</v>
      </c>
      <c r="D334" s="88" t="s">
        <v>6403</v>
      </c>
    </row>
    <row r="335" spans="3:4" ht="16.5">
      <c r="C335" t="s">
        <v>6404</v>
      </c>
      <c r="D335" s="88" t="s">
        <v>6405</v>
      </c>
    </row>
    <row r="336" spans="3:4" ht="16.5">
      <c r="C336" t="s">
        <v>6406</v>
      </c>
      <c r="D336" s="88" t="s">
        <v>6407</v>
      </c>
    </row>
    <row r="337" spans="3:4" ht="16.5">
      <c r="C337" t="s">
        <v>6408</v>
      </c>
      <c r="D337" s="88" t="s">
        <v>6409</v>
      </c>
    </row>
    <row r="338" spans="3:4" ht="16.5">
      <c r="C338" t="s">
        <v>6410</v>
      </c>
      <c r="D338" s="88" t="s">
        <v>6411</v>
      </c>
    </row>
    <row r="339" spans="3:4" ht="16.5">
      <c r="C339" t="s">
        <v>6412</v>
      </c>
      <c r="D339" s="88" t="s">
        <v>6413</v>
      </c>
    </row>
    <row r="340" spans="3:4" ht="16.5">
      <c r="C340" t="s">
        <v>6414</v>
      </c>
      <c r="D340" s="88" t="s">
        <v>6415</v>
      </c>
    </row>
    <row r="341" spans="3:4" ht="16.5">
      <c r="C341" t="s">
        <v>6416</v>
      </c>
      <c r="D341" s="88" t="s">
        <v>6417</v>
      </c>
    </row>
    <row r="342" spans="3:4" ht="16.5">
      <c r="C342" t="s">
        <v>6418</v>
      </c>
      <c r="D342" s="88" t="s">
        <v>6419</v>
      </c>
    </row>
    <row r="343" spans="3:4" ht="16.5">
      <c r="C343" t="s">
        <v>6420</v>
      </c>
      <c r="D343" s="88" t="s">
        <v>6421</v>
      </c>
    </row>
    <row r="344" spans="3:4" ht="16.5">
      <c r="C344" t="s">
        <v>6422</v>
      </c>
      <c r="D344" s="88" t="s">
        <v>6423</v>
      </c>
    </row>
    <row r="345" spans="3:4" ht="16.5">
      <c r="C345" t="s">
        <v>6424</v>
      </c>
      <c r="D345" s="88" t="s">
        <v>6425</v>
      </c>
    </row>
    <row r="346" spans="3:4" ht="16.5">
      <c r="C346" t="s">
        <v>6426</v>
      </c>
      <c r="D346" s="88" t="s">
        <v>6427</v>
      </c>
    </row>
    <row r="347" spans="3:4" ht="16.5">
      <c r="C347" t="s">
        <v>6428</v>
      </c>
      <c r="D347" s="88" t="s">
        <v>6429</v>
      </c>
    </row>
    <row r="348" spans="3:4" ht="16.5">
      <c r="C348" t="s">
        <v>6430</v>
      </c>
      <c r="D348" s="88" t="s">
        <v>6431</v>
      </c>
    </row>
    <row r="349" spans="3:4" ht="16.5">
      <c r="C349" t="s">
        <v>6432</v>
      </c>
      <c r="D349" s="88" t="s">
        <v>6433</v>
      </c>
    </row>
    <row r="350" spans="3:4" ht="16.5">
      <c r="C350" t="s">
        <v>6434</v>
      </c>
      <c r="D350" s="88" t="s">
        <v>6435</v>
      </c>
    </row>
    <row r="351" spans="3:4" ht="16.5">
      <c r="C351" t="s">
        <v>6436</v>
      </c>
      <c r="D351" s="88" t="s">
        <v>6437</v>
      </c>
    </row>
    <row r="352" spans="3:4" ht="16.5">
      <c r="C352" t="s">
        <v>6438</v>
      </c>
      <c r="D352" s="88" t="s">
        <v>6439</v>
      </c>
    </row>
    <row r="353" spans="3:4" ht="16.5">
      <c r="C353" t="s">
        <v>6440</v>
      </c>
      <c r="D353" s="88" t="s">
        <v>6441</v>
      </c>
    </row>
    <row r="354" spans="3:4" ht="16.5">
      <c r="C354" t="s">
        <v>6442</v>
      </c>
      <c r="D354" s="88" t="s">
        <v>6443</v>
      </c>
    </row>
    <row r="355" spans="3:4" ht="16.5">
      <c r="C355" t="s">
        <v>6444</v>
      </c>
      <c r="D355" s="88" t="s">
        <v>6445</v>
      </c>
    </row>
    <row r="356" spans="3:4" ht="16.5">
      <c r="C356" t="s">
        <v>6446</v>
      </c>
      <c r="D356" s="88" t="s">
        <v>6447</v>
      </c>
    </row>
    <row r="357" spans="3:4" ht="16.5">
      <c r="C357" t="s">
        <v>6448</v>
      </c>
      <c r="D357" s="88" t="s">
        <v>6449</v>
      </c>
    </row>
    <row r="358" spans="3:4" ht="16.5">
      <c r="C358" t="s">
        <v>6450</v>
      </c>
      <c r="D358" s="88" t="s">
        <v>6451</v>
      </c>
    </row>
    <row r="359" spans="3:4" ht="16.5">
      <c r="C359" t="s">
        <v>6452</v>
      </c>
      <c r="D359" s="88" t="s">
        <v>6453</v>
      </c>
    </row>
    <row r="360" spans="3:4" ht="16.5">
      <c r="C360" t="s">
        <v>6454</v>
      </c>
      <c r="D360" s="88" t="s">
        <v>6455</v>
      </c>
    </row>
    <row r="361" spans="3:4" ht="16.5">
      <c r="C361" t="s">
        <v>6456</v>
      </c>
      <c r="D361" s="88" t="s">
        <v>6457</v>
      </c>
    </row>
    <row r="362" spans="3:4" ht="16.5">
      <c r="C362" t="s">
        <v>6458</v>
      </c>
      <c r="D362" s="88" t="s">
        <v>6459</v>
      </c>
    </row>
    <row r="363" spans="3:4" ht="16.5">
      <c r="C363" t="s">
        <v>6460</v>
      </c>
      <c r="D363" s="88" t="s">
        <v>6461</v>
      </c>
    </row>
    <row r="364" spans="3:4" ht="16.5">
      <c r="C364" t="s">
        <v>6462</v>
      </c>
      <c r="D364" s="88" t="s">
        <v>6463</v>
      </c>
    </row>
    <row r="365" spans="3:4" ht="16.5">
      <c r="C365" t="s">
        <v>6464</v>
      </c>
      <c r="D365" s="88" t="s">
        <v>6465</v>
      </c>
    </row>
    <row r="366" spans="3:4" ht="16.5">
      <c r="C366" t="s">
        <v>6466</v>
      </c>
      <c r="D366" s="88" t="s">
        <v>6467</v>
      </c>
    </row>
    <row r="367" spans="3:4" ht="16.5">
      <c r="C367" t="s">
        <v>6468</v>
      </c>
      <c r="D367" s="88" t="s">
        <v>6469</v>
      </c>
    </row>
    <row r="368" spans="3:4" ht="16.5">
      <c r="C368" t="s">
        <v>6470</v>
      </c>
      <c r="D368" s="88" t="s">
        <v>6471</v>
      </c>
    </row>
    <row r="369" spans="3:4" ht="16.5">
      <c r="C369" t="s">
        <v>6472</v>
      </c>
      <c r="D369" s="88" t="s">
        <v>6473</v>
      </c>
    </row>
    <row r="370" spans="3:4" ht="16.5">
      <c r="C370" t="s">
        <v>6474</v>
      </c>
      <c r="D370" s="88" t="s">
        <v>6475</v>
      </c>
    </row>
    <row r="371" spans="3:4" ht="16.5">
      <c r="C371" t="s">
        <v>6476</v>
      </c>
      <c r="D371" s="88" t="s">
        <v>6477</v>
      </c>
    </row>
    <row r="372" spans="3:4" ht="16.5">
      <c r="C372" t="s">
        <v>6478</v>
      </c>
      <c r="D372" s="88" t="s">
        <v>6479</v>
      </c>
    </row>
    <row r="373" spans="3:4" ht="16.5">
      <c r="C373" t="s">
        <v>6480</v>
      </c>
      <c r="D373" s="88" t="s">
        <v>6481</v>
      </c>
    </row>
    <row r="374" spans="3:4" ht="16.5">
      <c r="C374" t="s">
        <v>6482</v>
      </c>
      <c r="D374" s="88" t="s">
        <v>6483</v>
      </c>
    </row>
    <row r="375" spans="3:4" ht="16.5">
      <c r="C375" t="s">
        <v>6484</v>
      </c>
      <c r="D375" s="88" t="s">
        <v>6485</v>
      </c>
    </row>
    <row r="376" spans="3:4" ht="16.5">
      <c r="C376" t="s">
        <v>6486</v>
      </c>
      <c r="D376" s="88" t="s">
        <v>6487</v>
      </c>
    </row>
    <row r="377" spans="3:4" ht="16.5">
      <c r="C377" t="s">
        <v>6488</v>
      </c>
      <c r="D377" s="88" t="s">
        <v>6489</v>
      </c>
    </row>
    <row r="378" spans="3:4" ht="16.5">
      <c r="C378" t="s">
        <v>6490</v>
      </c>
      <c r="D378" s="88" t="s">
        <v>6491</v>
      </c>
    </row>
    <row r="379" spans="3:4" ht="16.5">
      <c r="C379" t="s">
        <v>6492</v>
      </c>
      <c r="D379" s="88" t="s">
        <v>6493</v>
      </c>
    </row>
    <row r="380" spans="3:4" ht="16.5">
      <c r="C380" t="s">
        <v>6494</v>
      </c>
      <c r="D380" s="88" t="s">
        <v>6495</v>
      </c>
    </row>
    <row r="381" spans="3:4" ht="16.5">
      <c r="C381" t="s">
        <v>6496</v>
      </c>
      <c r="D381" s="88" t="s">
        <v>6497</v>
      </c>
    </row>
    <row r="382" spans="3:4" ht="16.5">
      <c r="C382" t="s">
        <v>6498</v>
      </c>
      <c r="D382" s="88" t="s">
        <v>6499</v>
      </c>
    </row>
    <row r="383" spans="3:4" ht="16.5">
      <c r="C383" t="s">
        <v>6500</v>
      </c>
      <c r="D383" s="88" t="s">
        <v>6501</v>
      </c>
    </row>
    <row r="384" spans="3:4" ht="16.5">
      <c r="C384" t="s">
        <v>6502</v>
      </c>
      <c r="D384" s="88" t="s">
        <v>6503</v>
      </c>
    </row>
    <row r="385" spans="3:4" ht="16.5">
      <c r="C385" t="s">
        <v>6504</v>
      </c>
      <c r="D385" s="88" t="s">
        <v>6505</v>
      </c>
    </row>
    <row r="386" spans="3:4" ht="16.5">
      <c r="C386" t="s">
        <v>6506</v>
      </c>
      <c r="D386" s="88" t="s">
        <v>6507</v>
      </c>
    </row>
    <row r="387" spans="3:4" ht="16.5">
      <c r="C387" t="s">
        <v>6508</v>
      </c>
      <c r="D387" s="88" t="s">
        <v>6509</v>
      </c>
    </row>
    <row r="388" spans="3:4" ht="16.5">
      <c r="C388" t="s">
        <v>6510</v>
      </c>
      <c r="D388" s="88" t="s">
        <v>6511</v>
      </c>
    </row>
    <row r="389" spans="3:4" ht="16.5">
      <c r="C389" t="s">
        <v>6512</v>
      </c>
      <c r="D389" s="88" t="s">
        <v>6513</v>
      </c>
    </row>
    <row r="390" spans="3:4" ht="16.5">
      <c r="C390" t="s">
        <v>6514</v>
      </c>
      <c r="D390" s="88" t="s">
        <v>6515</v>
      </c>
    </row>
    <row r="391" spans="3:4" ht="16.5">
      <c r="C391" t="s">
        <v>6516</v>
      </c>
      <c r="D391" s="88" t="s">
        <v>6517</v>
      </c>
    </row>
    <row r="392" spans="3:4" ht="16.5">
      <c r="C392" t="s">
        <v>6518</v>
      </c>
      <c r="D392" s="88" t="s">
        <v>6519</v>
      </c>
    </row>
    <row r="393" spans="3:4" ht="16.5">
      <c r="C393" t="s">
        <v>6520</v>
      </c>
      <c r="D393" s="88" t="s">
        <v>6521</v>
      </c>
    </row>
    <row r="394" spans="3:4" ht="16.5">
      <c r="C394" t="s">
        <v>6522</v>
      </c>
      <c r="D394" s="88" t="s">
        <v>6523</v>
      </c>
    </row>
    <row r="395" spans="3:4" ht="16.5">
      <c r="C395" t="s">
        <v>6524</v>
      </c>
      <c r="D395" s="88" t="s">
        <v>6525</v>
      </c>
    </row>
    <row r="396" spans="3:4" ht="16.5">
      <c r="C396" t="s">
        <v>6526</v>
      </c>
      <c r="D396" s="88" t="s">
        <v>6527</v>
      </c>
    </row>
    <row r="397" spans="3:4" ht="16.5">
      <c r="C397" t="s">
        <v>6528</v>
      </c>
      <c r="D397" s="88" t="s">
        <v>6529</v>
      </c>
    </row>
    <row r="398" spans="3:4" ht="16.5">
      <c r="C398" t="s">
        <v>6530</v>
      </c>
      <c r="D398" s="88" t="s">
        <v>6531</v>
      </c>
    </row>
    <row r="399" spans="3:4" ht="16.5">
      <c r="C399" t="s">
        <v>6532</v>
      </c>
      <c r="D399" s="88" t="s">
        <v>6533</v>
      </c>
    </row>
    <row r="400" spans="3:4" ht="16.5">
      <c r="C400" t="s">
        <v>6534</v>
      </c>
      <c r="D400" s="88" t="s">
        <v>6535</v>
      </c>
    </row>
    <row r="401" spans="3:4" ht="16.5">
      <c r="C401" t="s">
        <v>6536</v>
      </c>
      <c r="D401" s="88" t="s">
        <v>6537</v>
      </c>
    </row>
    <row r="402" spans="3:4" ht="16.5">
      <c r="C402" t="s">
        <v>6538</v>
      </c>
      <c r="D402" s="88" t="s">
        <v>6539</v>
      </c>
    </row>
    <row r="403" spans="3:4" ht="16.5">
      <c r="C403" t="s">
        <v>6540</v>
      </c>
      <c r="D403" s="88" t="s">
        <v>6541</v>
      </c>
    </row>
    <row r="404" spans="3:4" ht="16.5">
      <c r="C404" t="s">
        <v>6542</v>
      </c>
      <c r="D404" s="88" t="s">
        <v>6543</v>
      </c>
    </row>
    <row r="405" spans="3:4" ht="16.5">
      <c r="C405" t="s">
        <v>6544</v>
      </c>
      <c r="D405" s="88" t="s">
        <v>6545</v>
      </c>
    </row>
    <row r="406" spans="3:4" ht="16.5">
      <c r="C406" t="s">
        <v>6546</v>
      </c>
      <c r="D406" s="88" t="s">
        <v>6547</v>
      </c>
    </row>
    <row r="407" spans="3:4" ht="16.5">
      <c r="C407" t="s">
        <v>6548</v>
      </c>
      <c r="D407" s="88" t="s">
        <v>6549</v>
      </c>
    </row>
    <row r="408" spans="3:4" ht="16.5">
      <c r="C408" t="s">
        <v>6550</v>
      </c>
      <c r="D408" s="88" t="s">
        <v>6551</v>
      </c>
    </row>
    <row r="409" spans="3:4" ht="16.5">
      <c r="C409" t="s">
        <v>6552</v>
      </c>
      <c r="D409" s="88" t="s">
        <v>6553</v>
      </c>
    </row>
    <row r="410" spans="3:4" ht="16.5">
      <c r="C410" t="s">
        <v>6554</v>
      </c>
      <c r="D410" s="88" t="s">
        <v>6555</v>
      </c>
    </row>
    <row r="411" spans="3:4" ht="16.5">
      <c r="C411" t="s">
        <v>6556</v>
      </c>
      <c r="D411" s="88" t="s">
        <v>6557</v>
      </c>
    </row>
    <row r="412" spans="3:4" ht="16.5">
      <c r="C412" t="s">
        <v>6558</v>
      </c>
      <c r="D412" s="88" t="s">
        <v>6559</v>
      </c>
    </row>
    <row r="413" spans="3:4" ht="16.5">
      <c r="C413" t="s">
        <v>6560</v>
      </c>
      <c r="D413" s="88" t="s">
        <v>6561</v>
      </c>
    </row>
    <row r="414" spans="3:4" ht="16.5">
      <c r="C414" t="s">
        <v>6562</v>
      </c>
      <c r="D414" s="88" t="s">
        <v>6563</v>
      </c>
    </row>
    <row r="415" spans="3:4" ht="16.5">
      <c r="C415" t="s">
        <v>6564</v>
      </c>
      <c r="D415" s="88" t="s">
        <v>6565</v>
      </c>
    </row>
    <row r="416" spans="3:4" ht="16.5">
      <c r="C416" t="s">
        <v>6566</v>
      </c>
      <c r="D416" s="88" t="s">
        <v>6567</v>
      </c>
    </row>
    <row r="417" spans="3:4" ht="16.5">
      <c r="C417" t="s">
        <v>6568</v>
      </c>
      <c r="D417" s="88" t="s">
        <v>6569</v>
      </c>
    </row>
    <row r="418" spans="3:4" ht="16.5">
      <c r="C418" t="s">
        <v>6570</v>
      </c>
      <c r="D418" s="88" t="s">
        <v>6571</v>
      </c>
    </row>
    <row r="419" spans="3:4" ht="16.5">
      <c r="C419" t="s">
        <v>6572</v>
      </c>
      <c r="D419" s="88" t="s">
        <v>6573</v>
      </c>
    </row>
    <row r="420" spans="3:4" ht="16.5">
      <c r="C420" t="s">
        <v>6574</v>
      </c>
      <c r="D420" s="88" t="s">
        <v>6575</v>
      </c>
    </row>
    <row r="421" spans="3:4" ht="16.5">
      <c r="C421" t="s">
        <v>6576</v>
      </c>
      <c r="D421" s="88" t="s">
        <v>6577</v>
      </c>
    </row>
    <row r="422" spans="3:4" ht="16.5">
      <c r="C422" t="s">
        <v>6578</v>
      </c>
      <c r="D422" s="88" t="s">
        <v>6579</v>
      </c>
    </row>
    <row r="423" spans="3:4" ht="16.5">
      <c r="C423" t="s">
        <v>6580</v>
      </c>
      <c r="D423" s="88" t="s">
        <v>6581</v>
      </c>
    </row>
    <row r="424" spans="3:4" ht="16.5">
      <c r="C424" t="s">
        <v>6582</v>
      </c>
      <c r="D424" s="88" t="s">
        <v>6583</v>
      </c>
    </row>
    <row r="425" spans="3:4" ht="16.5">
      <c r="C425" t="s">
        <v>6584</v>
      </c>
      <c r="D425" s="88" t="s">
        <v>6585</v>
      </c>
    </row>
    <row r="426" spans="3:4" ht="16.5">
      <c r="C426" t="s">
        <v>6586</v>
      </c>
      <c r="D426" s="88" t="s">
        <v>6587</v>
      </c>
    </row>
    <row r="427" spans="3:4" ht="16.5">
      <c r="C427" t="s">
        <v>6588</v>
      </c>
      <c r="D427" s="88" t="s">
        <v>6589</v>
      </c>
    </row>
    <row r="428" spans="3:4" ht="16.5">
      <c r="C428" t="s">
        <v>6590</v>
      </c>
      <c r="D428" s="88" t="s">
        <v>6591</v>
      </c>
    </row>
    <row r="429" spans="3:4" ht="16.5">
      <c r="C429" t="s">
        <v>6592</v>
      </c>
      <c r="D429" s="88" t="s">
        <v>6593</v>
      </c>
    </row>
    <row r="430" spans="3:4" ht="16.5">
      <c r="C430" t="s">
        <v>6594</v>
      </c>
      <c r="D430" s="88" t="s">
        <v>6595</v>
      </c>
    </row>
    <row r="431" spans="3:4" ht="16.5">
      <c r="C431" t="s">
        <v>6596</v>
      </c>
      <c r="D431" s="88" t="s">
        <v>6597</v>
      </c>
    </row>
    <row r="432" spans="3:4" ht="16.5">
      <c r="C432" t="s">
        <v>6598</v>
      </c>
      <c r="D432" s="88" t="s">
        <v>6599</v>
      </c>
    </row>
    <row r="433" spans="3:4" ht="16.5">
      <c r="C433" t="s">
        <v>6600</v>
      </c>
      <c r="D433" s="88" t="s">
        <v>6601</v>
      </c>
    </row>
    <row r="434" spans="3:4" ht="16.5">
      <c r="C434" t="s">
        <v>6602</v>
      </c>
      <c r="D434" s="88" t="s">
        <v>6603</v>
      </c>
    </row>
    <row r="435" spans="3:4" ht="16.5">
      <c r="C435" t="s">
        <v>6604</v>
      </c>
      <c r="D435" s="88" t="s">
        <v>6605</v>
      </c>
    </row>
    <row r="436" spans="3:4" ht="16.5">
      <c r="C436" t="s">
        <v>6606</v>
      </c>
      <c r="D436" s="88" t="s">
        <v>6607</v>
      </c>
    </row>
    <row r="437" spans="3:4" ht="16.5">
      <c r="C437" t="s">
        <v>6608</v>
      </c>
      <c r="D437" s="88" t="s">
        <v>6609</v>
      </c>
    </row>
    <row r="438" spans="3:4" ht="16.5">
      <c r="C438" t="s">
        <v>6610</v>
      </c>
      <c r="D438" s="88" t="s">
        <v>6611</v>
      </c>
    </row>
    <row r="439" spans="3:4" ht="16.5">
      <c r="C439" t="s">
        <v>6612</v>
      </c>
      <c r="D439" s="88" t="s">
        <v>6613</v>
      </c>
    </row>
    <row r="440" spans="3:4" ht="16.5">
      <c r="C440" t="s">
        <v>6614</v>
      </c>
      <c r="D440" s="88" t="s">
        <v>6615</v>
      </c>
    </row>
    <row r="441" spans="3:4" ht="16.5">
      <c r="C441" t="s">
        <v>6616</v>
      </c>
      <c r="D441" s="88" t="s">
        <v>6617</v>
      </c>
    </row>
    <row r="442" spans="3:4" ht="16.5">
      <c r="C442" t="s">
        <v>6618</v>
      </c>
      <c r="D442" s="88" t="s">
        <v>6619</v>
      </c>
    </row>
    <row r="443" spans="3:4" ht="16.5">
      <c r="C443" t="s">
        <v>6620</v>
      </c>
      <c r="D443" s="88" t="s">
        <v>6621</v>
      </c>
    </row>
    <row r="444" spans="3:4" ht="16.5">
      <c r="C444" t="s">
        <v>6622</v>
      </c>
      <c r="D444" s="88" t="s">
        <v>6623</v>
      </c>
    </row>
    <row r="445" spans="3:4" ht="16.5">
      <c r="C445" t="s">
        <v>6624</v>
      </c>
      <c r="D445" s="88" t="s">
        <v>6625</v>
      </c>
    </row>
    <row r="446" spans="3:4" ht="16.5">
      <c r="C446" t="s">
        <v>6626</v>
      </c>
      <c r="D446" s="88" t="s">
        <v>6627</v>
      </c>
    </row>
    <row r="447" spans="3:4" ht="16.5">
      <c r="C447" t="s">
        <v>6628</v>
      </c>
      <c r="D447" s="88" t="s">
        <v>6629</v>
      </c>
    </row>
    <row r="448" spans="3:4" ht="16.5">
      <c r="C448" t="s">
        <v>6630</v>
      </c>
      <c r="D448" s="88" t="s">
        <v>6631</v>
      </c>
    </row>
    <row r="449" spans="3:4" ht="16.5">
      <c r="C449" t="s">
        <v>6632</v>
      </c>
      <c r="D449" s="88" t="s">
        <v>6633</v>
      </c>
    </row>
    <row r="450" spans="3:4" ht="16.5">
      <c r="C450" t="s">
        <v>6634</v>
      </c>
      <c r="D450" s="88" t="s">
        <v>6635</v>
      </c>
    </row>
    <row r="451" spans="3:4" ht="16.5">
      <c r="C451" t="s">
        <v>6636</v>
      </c>
      <c r="D451" s="88" t="s">
        <v>6637</v>
      </c>
    </row>
    <row r="452" spans="3:4" ht="16.5">
      <c r="C452" t="s">
        <v>6638</v>
      </c>
      <c r="D452" s="88" t="s">
        <v>6639</v>
      </c>
    </row>
    <row r="453" spans="3:4" ht="16.5">
      <c r="C453" t="s">
        <v>6640</v>
      </c>
      <c r="D453" s="88" t="s">
        <v>6641</v>
      </c>
    </row>
    <row r="454" spans="3:4" ht="16.5">
      <c r="C454" t="s">
        <v>6642</v>
      </c>
      <c r="D454" s="88" t="s">
        <v>6643</v>
      </c>
    </row>
    <row r="455" spans="3:4" ht="16.5">
      <c r="C455" t="s">
        <v>6644</v>
      </c>
      <c r="D455" s="88" t="s">
        <v>6645</v>
      </c>
    </row>
    <row r="456" spans="3:4" ht="16.5">
      <c r="C456" t="s">
        <v>6646</v>
      </c>
      <c r="D456" s="88" t="s">
        <v>6647</v>
      </c>
    </row>
    <row r="457" spans="3:4" ht="16.5">
      <c r="C457" t="s">
        <v>6648</v>
      </c>
      <c r="D457" s="88" t="s">
        <v>6649</v>
      </c>
    </row>
    <row r="458" spans="3:4" ht="16.5">
      <c r="C458" t="s">
        <v>6650</v>
      </c>
      <c r="D458" s="88" t="s">
        <v>6651</v>
      </c>
    </row>
    <row r="459" spans="3:4" ht="16.5">
      <c r="C459" t="s">
        <v>6652</v>
      </c>
      <c r="D459" s="88" t="s">
        <v>6653</v>
      </c>
    </row>
    <row r="460" spans="3:4" ht="16.5">
      <c r="C460" t="s">
        <v>6654</v>
      </c>
      <c r="D460" s="88" t="s">
        <v>6655</v>
      </c>
    </row>
    <row r="461" spans="3:4" ht="16.5">
      <c r="C461" t="s">
        <v>6656</v>
      </c>
      <c r="D461" s="88" t="s">
        <v>6657</v>
      </c>
    </row>
    <row r="462" spans="3:4" ht="16.5">
      <c r="C462" t="s">
        <v>6658</v>
      </c>
      <c r="D462" s="88" t="s">
        <v>6659</v>
      </c>
    </row>
    <row r="463" spans="3:4" ht="16.5">
      <c r="C463" t="s">
        <v>6660</v>
      </c>
      <c r="D463" s="88" t="s">
        <v>6661</v>
      </c>
    </row>
    <row r="464" spans="3:4" ht="16.5">
      <c r="C464" t="s">
        <v>6662</v>
      </c>
      <c r="D464" s="88" t="s">
        <v>6663</v>
      </c>
    </row>
    <row r="465" spans="3:4" ht="16.5">
      <c r="C465" t="s">
        <v>6664</v>
      </c>
      <c r="D465" s="88" t="s">
        <v>6665</v>
      </c>
    </row>
    <row r="466" spans="3:4" ht="16.5">
      <c r="C466" t="s">
        <v>6666</v>
      </c>
      <c r="D466" s="88" t="s">
        <v>6667</v>
      </c>
    </row>
    <row r="467" spans="3:4" ht="16.5">
      <c r="C467" t="s">
        <v>6668</v>
      </c>
      <c r="D467" s="88" t="s">
        <v>6669</v>
      </c>
    </row>
    <row r="468" spans="3:4" ht="16.5">
      <c r="C468" t="s">
        <v>6670</v>
      </c>
      <c r="D468" s="88" t="s">
        <v>6671</v>
      </c>
    </row>
    <row r="469" spans="3:4" ht="16.5">
      <c r="C469" t="s">
        <v>6672</v>
      </c>
      <c r="D469" s="88" t="s">
        <v>6673</v>
      </c>
    </row>
    <row r="470" spans="3:4" ht="16.5">
      <c r="C470" t="s">
        <v>6674</v>
      </c>
      <c r="D470" s="88" t="s">
        <v>6675</v>
      </c>
    </row>
    <row r="471" spans="3:4" ht="16.5">
      <c r="C471" t="s">
        <v>6676</v>
      </c>
      <c r="D471" s="88" t="s">
        <v>6677</v>
      </c>
    </row>
    <row r="472" spans="3:4" ht="16.5">
      <c r="C472" t="s">
        <v>6678</v>
      </c>
      <c r="D472" s="88" t="s">
        <v>6679</v>
      </c>
    </row>
    <row r="473" spans="3:4" ht="16.5">
      <c r="C473" t="s">
        <v>6680</v>
      </c>
      <c r="D473" s="88" t="s">
        <v>6681</v>
      </c>
    </row>
    <row r="474" spans="3:4" ht="16.5">
      <c r="C474" t="s">
        <v>6682</v>
      </c>
      <c r="D474" s="88" t="s">
        <v>6683</v>
      </c>
    </row>
    <row r="475" spans="3:4" ht="16.5">
      <c r="C475" t="s">
        <v>6684</v>
      </c>
      <c r="D475" s="88" t="s">
        <v>6685</v>
      </c>
    </row>
    <row r="476" spans="3:4" ht="16.5">
      <c r="C476" t="s">
        <v>6686</v>
      </c>
      <c r="D476" s="88" t="s">
        <v>6687</v>
      </c>
    </row>
    <row r="477" spans="3:4" ht="16.5">
      <c r="C477" t="s">
        <v>6688</v>
      </c>
      <c r="D477" s="88" t="s">
        <v>6689</v>
      </c>
    </row>
    <row r="478" spans="3:4" ht="16.5">
      <c r="C478" t="s">
        <v>6690</v>
      </c>
      <c r="D478" s="88" t="s">
        <v>6691</v>
      </c>
    </row>
    <row r="479" spans="3:4" ht="16.5">
      <c r="C479" t="s">
        <v>6692</v>
      </c>
      <c r="D479" s="88" t="s">
        <v>6693</v>
      </c>
    </row>
    <row r="480" spans="3:4" ht="16.5">
      <c r="C480" t="s">
        <v>6694</v>
      </c>
      <c r="D480" s="88" t="s">
        <v>6695</v>
      </c>
    </row>
    <row r="481" spans="3:4" ht="16.5">
      <c r="C481" t="s">
        <v>6696</v>
      </c>
      <c r="D481" s="88" t="s">
        <v>6697</v>
      </c>
    </row>
    <row r="482" spans="3:4" ht="16.5">
      <c r="C482" t="s">
        <v>6698</v>
      </c>
      <c r="D482" s="88" t="s">
        <v>6699</v>
      </c>
    </row>
    <row r="483" spans="3:4" ht="16.5">
      <c r="C483" t="s">
        <v>6700</v>
      </c>
      <c r="D483" s="88" t="s">
        <v>6701</v>
      </c>
    </row>
    <row r="484" spans="3:4" ht="16.5">
      <c r="C484" t="s">
        <v>6702</v>
      </c>
      <c r="D484" s="88" t="s">
        <v>6703</v>
      </c>
    </row>
    <row r="485" spans="3:4" ht="16.5">
      <c r="C485" t="s">
        <v>6704</v>
      </c>
      <c r="D485" s="88" t="s">
        <v>6705</v>
      </c>
    </row>
    <row r="486" spans="3:4" ht="16.5">
      <c r="C486" t="s">
        <v>6706</v>
      </c>
      <c r="D486" s="88" t="s">
        <v>6707</v>
      </c>
    </row>
    <row r="487" spans="3:4" ht="16.5">
      <c r="C487" t="s">
        <v>6708</v>
      </c>
      <c r="D487" s="88" t="s">
        <v>6709</v>
      </c>
    </row>
    <row r="488" spans="3:4" ht="16.5">
      <c r="C488" t="s">
        <v>6710</v>
      </c>
      <c r="D488" s="88" t="s">
        <v>6711</v>
      </c>
    </row>
    <row r="489" spans="3:4" ht="16.5">
      <c r="C489" t="s">
        <v>6712</v>
      </c>
      <c r="D489" s="88" t="s">
        <v>6713</v>
      </c>
    </row>
    <row r="490" spans="3:4" ht="16.5">
      <c r="C490" t="s">
        <v>6714</v>
      </c>
      <c r="D490" s="88" t="s">
        <v>6715</v>
      </c>
    </row>
    <row r="491" spans="3:4" ht="16.5">
      <c r="C491" t="s">
        <v>6716</v>
      </c>
      <c r="D491" s="88" t="s">
        <v>6717</v>
      </c>
    </row>
    <row r="492" spans="3:4" ht="16.5">
      <c r="C492" t="s">
        <v>6718</v>
      </c>
      <c r="D492" s="88" t="s">
        <v>6719</v>
      </c>
    </row>
    <row r="493" spans="3:4" ht="16.5">
      <c r="C493" t="s">
        <v>6720</v>
      </c>
      <c r="D493" s="88" t="s">
        <v>6721</v>
      </c>
    </row>
    <row r="494" spans="3:4" ht="16.5">
      <c r="C494" t="s">
        <v>6722</v>
      </c>
      <c r="D494" s="88" t="s">
        <v>6723</v>
      </c>
    </row>
    <row r="495" spans="3:4" ht="16.5">
      <c r="C495" t="s">
        <v>6724</v>
      </c>
      <c r="D495" s="88" t="s">
        <v>6725</v>
      </c>
    </row>
    <row r="496" spans="3:4" ht="16.5">
      <c r="C496" t="s">
        <v>6726</v>
      </c>
      <c r="D496" s="88" t="s">
        <v>6727</v>
      </c>
    </row>
    <row r="497" spans="3:4" ht="16.5">
      <c r="C497" t="s">
        <v>6728</v>
      </c>
      <c r="D497" s="88" t="s">
        <v>6729</v>
      </c>
    </row>
    <row r="498" spans="3:4" ht="16.5">
      <c r="C498" t="s">
        <v>6730</v>
      </c>
      <c r="D498" s="88" t="s">
        <v>6731</v>
      </c>
    </row>
    <row r="499" spans="3:4" ht="16.5">
      <c r="C499" t="s">
        <v>6732</v>
      </c>
      <c r="D499" s="88" t="s">
        <v>6733</v>
      </c>
    </row>
    <row r="500" spans="3:4" ht="16.5">
      <c r="C500" t="s">
        <v>6734</v>
      </c>
      <c r="D500" s="88" t="s">
        <v>6735</v>
      </c>
    </row>
    <row r="501" spans="3:4" ht="16.5">
      <c r="C501" t="s">
        <v>6736</v>
      </c>
      <c r="D501" s="88" t="s">
        <v>6737</v>
      </c>
    </row>
    <row r="502" spans="3:4" ht="16.5">
      <c r="C502" t="s">
        <v>6738</v>
      </c>
      <c r="D502" s="88" t="s">
        <v>6739</v>
      </c>
    </row>
    <row r="503" spans="3:4" ht="16.5">
      <c r="C503" t="s">
        <v>6740</v>
      </c>
      <c r="D503" s="88" t="s">
        <v>6741</v>
      </c>
    </row>
    <row r="504" spans="3:4" ht="16.5">
      <c r="C504" t="s">
        <v>6742</v>
      </c>
      <c r="D504" s="88" t="s">
        <v>6743</v>
      </c>
    </row>
    <row r="505" spans="3:4" ht="16.5">
      <c r="C505" t="s">
        <v>6744</v>
      </c>
      <c r="D505" s="88" t="s">
        <v>6745</v>
      </c>
    </row>
    <row r="506" spans="3:4" ht="16.5">
      <c r="C506" t="s">
        <v>6746</v>
      </c>
      <c r="D506" s="88" t="s">
        <v>6747</v>
      </c>
    </row>
    <row r="507" spans="3:4" ht="16.5">
      <c r="C507" t="s">
        <v>6748</v>
      </c>
      <c r="D507" s="88" t="s">
        <v>6749</v>
      </c>
    </row>
    <row r="508" spans="3:4" ht="16.5">
      <c r="C508" t="s">
        <v>6750</v>
      </c>
      <c r="D508" s="88" t="s">
        <v>6751</v>
      </c>
    </row>
    <row r="509" spans="3:4" ht="16.5">
      <c r="C509" t="s">
        <v>6752</v>
      </c>
      <c r="D509" s="88" t="s">
        <v>6753</v>
      </c>
    </row>
    <row r="510" spans="3:4" ht="16.5">
      <c r="C510" t="s">
        <v>6754</v>
      </c>
      <c r="D510" s="88" t="s">
        <v>6755</v>
      </c>
    </row>
    <row r="511" spans="3:4" ht="16.5">
      <c r="C511" t="s">
        <v>6756</v>
      </c>
      <c r="D511" s="88" t="s">
        <v>6757</v>
      </c>
    </row>
    <row r="512" spans="3:4" ht="16.5">
      <c r="C512" t="s">
        <v>6758</v>
      </c>
      <c r="D512" s="88" t="s">
        <v>6759</v>
      </c>
    </row>
    <row r="513" spans="3:4" ht="16.5">
      <c r="C513" t="s">
        <v>6760</v>
      </c>
      <c r="D513" s="88" t="s">
        <v>6761</v>
      </c>
    </row>
    <row r="514" spans="3:4" ht="16.5">
      <c r="C514" t="s">
        <v>6762</v>
      </c>
      <c r="D514" s="88" t="s">
        <v>6763</v>
      </c>
    </row>
    <row r="515" spans="3:4" ht="16.5">
      <c r="C515" t="s">
        <v>6764</v>
      </c>
      <c r="D515" s="88" t="s">
        <v>6765</v>
      </c>
    </row>
    <row r="516" spans="3:4" ht="16.5">
      <c r="C516" t="s">
        <v>6766</v>
      </c>
      <c r="D516" s="88" t="s">
        <v>6767</v>
      </c>
    </row>
    <row r="517" spans="3:4" ht="16.5">
      <c r="C517" t="s">
        <v>6768</v>
      </c>
      <c r="D517" s="88" t="s">
        <v>6769</v>
      </c>
    </row>
    <row r="518" spans="3:4" ht="16.5">
      <c r="C518" t="s">
        <v>6770</v>
      </c>
      <c r="D518" s="88" t="s">
        <v>6771</v>
      </c>
    </row>
    <row r="519" spans="3:4" ht="16.5">
      <c r="C519" t="s">
        <v>6772</v>
      </c>
      <c r="D519" s="88" t="s">
        <v>6773</v>
      </c>
    </row>
    <row r="520" spans="3:4" ht="16.5">
      <c r="C520" t="s">
        <v>6774</v>
      </c>
      <c r="D520" s="88" t="s">
        <v>6775</v>
      </c>
    </row>
    <row r="521" spans="3:4" ht="16.5">
      <c r="C521" t="s">
        <v>6776</v>
      </c>
      <c r="D521" s="88" t="s">
        <v>6777</v>
      </c>
    </row>
    <row r="522" spans="3:4" ht="16.5">
      <c r="C522" t="s">
        <v>6778</v>
      </c>
      <c r="D522" s="88" t="s">
        <v>6779</v>
      </c>
    </row>
    <row r="523" spans="3:4" ht="16.5">
      <c r="C523" t="s">
        <v>6780</v>
      </c>
      <c r="D523" s="88" t="s">
        <v>6781</v>
      </c>
    </row>
    <row r="524" spans="3:4" ht="16.5">
      <c r="C524" t="s">
        <v>6782</v>
      </c>
      <c r="D524" s="88" t="s">
        <v>6783</v>
      </c>
    </row>
    <row r="525" spans="3:4" ht="16.5">
      <c r="C525" t="s">
        <v>6784</v>
      </c>
      <c r="D525" s="88" t="s">
        <v>6785</v>
      </c>
    </row>
    <row r="526" spans="3:4" ht="16.5">
      <c r="C526" t="s">
        <v>6786</v>
      </c>
      <c r="D526" s="88" t="s">
        <v>6787</v>
      </c>
    </row>
    <row r="527" spans="3:4" ht="16.5">
      <c r="C527" t="s">
        <v>6788</v>
      </c>
      <c r="D527" s="88" t="s">
        <v>6789</v>
      </c>
    </row>
    <row r="528" spans="3:4" ht="16.5">
      <c r="C528" t="s">
        <v>6790</v>
      </c>
      <c r="D528" s="88" t="s">
        <v>6791</v>
      </c>
    </row>
    <row r="529" spans="3:4" ht="16.5">
      <c r="C529" t="s">
        <v>6792</v>
      </c>
      <c r="D529" s="88" t="s">
        <v>6793</v>
      </c>
    </row>
    <row r="530" spans="3:4" ht="16.5">
      <c r="C530" t="s">
        <v>6794</v>
      </c>
      <c r="D530" s="88" t="s">
        <v>6795</v>
      </c>
    </row>
    <row r="531" spans="3:4" ht="16.5">
      <c r="C531" t="s">
        <v>6796</v>
      </c>
      <c r="D531" s="88" t="s">
        <v>6797</v>
      </c>
    </row>
    <row r="532" spans="3:4" ht="16.5">
      <c r="C532" t="s">
        <v>6798</v>
      </c>
      <c r="D532" s="88" t="s">
        <v>6799</v>
      </c>
    </row>
    <row r="533" spans="3:4" ht="16.5">
      <c r="C533" t="s">
        <v>6800</v>
      </c>
      <c r="D533" s="88" t="s">
        <v>6801</v>
      </c>
    </row>
    <row r="534" spans="3:4" ht="16.5">
      <c r="C534" t="s">
        <v>6802</v>
      </c>
      <c r="D534" s="88" t="s">
        <v>6803</v>
      </c>
    </row>
    <row r="535" spans="3:4" ht="16.5">
      <c r="C535" t="s">
        <v>6804</v>
      </c>
      <c r="D535" s="88" t="s">
        <v>6805</v>
      </c>
    </row>
    <row r="536" spans="3:4" ht="16.5">
      <c r="C536" t="s">
        <v>6806</v>
      </c>
      <c r="D536" s="88" t="s">
        <v>6807</v>
      </c>
    </row>
    <row r="537" spans="3:4" ht="16.5">
      <c r="C537" t="s">
        <v>6808</v>
      </c>
      <c r="D537" s="88" t="s">
        <v>6809</v>
      </c>
    </row>
    <row r="538" spans="3:4" ht="16.5">
      <c r="C538" t="s">
        <v>6810</v>
      </c>
      <c r="D538" s="88" t="s">
        <v>6811</v>
      </c>
    </row>
    <row r="539" spans="3:4" ht="16.5">
      <c r="C539" t="s">
        <v>6812</v>
      </c>
      <c r="D539" s="88" t="s">
        <v>6813</v>
      </c>
    </row>
    <row r="540" spans="3:4" ht="16.5">
      <c r="C540" t="s">
        <v>6814</v>
      </c>
      <c r="D540" s="88" t="s">
        <v>6815</v>
      </c>
    </row>
    <row r="541" spans="3:4" ht="16.5">
      <c r="C541" t="s">
        <v>6816</v>
      </c>
      <c r="D541" s="88" t="s">
        <v>6817</v>
      </c>
    </row>
    <row r="542" spans="3:4" ht="16.5">
      <c r="C542" t="s">
        <v>6818</v>
      </c>
      <c r="D542" s="88" t="s">
        <v>6819</v>
      </c>
    </row>
    <row r="543" spans="3:4" ht="16.5">
      <c r="C543" t="s">
        <v>6820</v>
      </c>
      <c r="D543" s="88" t="s">
        <v>6821</v>
      </c>
    </row>
    <row r="544" spans="3:4" ht="16.5">
      <c r="C544" t="s">
        <v>6822</v>
      </c>
      <c r="D544" s="88" t="s">
        <v>6823</v>
      </c>
    </row>
    <row r="545" spans="3:4" ht="16.5">
      <c r="C545" t="s">
        <v>6824</v>
      </c>
      <c r="D545" s="88" t="s">
        <v>6825</v>
      </c>
    </row>
    <row r="546" spans="3:4" ht="16.5">
      <c r="C546" t="s">
        <v>6826</v>
      </c>
      <c r="D546" s="88" t="s">
        <v>6827</v>
      </c>
    </row>
    <row r="547" spans="3:4" ht="16.5">
      <c r="C547" t="s">
        <v>6828</v>
      </c>
      <c r="D547" s="88" t="s">
        <v>6829</v>
      </c>
    </row>
    <row r="548" spans="3:4" ht="16.5">
      <c r="C548" t="s">
        <v>6830</v>
      </c>
      <c r="D548" s="88" t="s">
        <v>6831</v>
      </c>
    </row>
    <row r="549" spans="3:4" ht="16.5">
      <c r="C549" t="s">
        <v>6832</v>
      </c>
      <c r="D549" s="88" t="s">
        <v>6833</v>
      </c>
    </row>
    <row r="550" spans="3:4" ht="16.5">
      <c r="C550" t="s">
        <v>6834</v>
      </c>
      <c r="D550" s="88" t="s">
        <v>6835</v>
      </c>
    </row>
    <row r="551" spans="3:4" ht="16.5">
      <c r="C551" t="s">
        <v>6836</v>
      </c>
      <c r="D551" s="88" t="s">
        <v>6837</v>
      </c>
    </row>
    <row r="552" spans="3:4" ht="16.5">
      <c r="C552" t="s">
        <v>6838</v>
      </c>
      <c r="D552" s="88" t="s">
        <v>6839</v>
      </c>
    </row>
    <row r="553" spans="3:4" ht="16.5">
      <c r="C553" t="s">
        <v>6840</v>
      </c>
      <c r="D553" s="88" t="s">
        <v>6841</v>
      </c>
    </row>
    <row r="554" spans="3:4" ht="16.5">
      <c r="C554" t="s">
        <v>6842</v>
      </c>
      <c r="D554" s="88" t="s">
        <v>6843</v>
      </c>
    </row>
    <row r="555" spans="3:4" ht="16.5">
      <c r="C555" t="s">
        <v>6844</v>
      </c>
      <c r="D555" s="88" t="s">
        <v>6845</v>
      </c>
    </row>
    <row r="556" spans="3:4" ht="16.5">
      <c r="C556" t="s">
        <v>6846</v>
      </c>
      <c r="D556" s="88" t="s">
        <v>6847</v>
      </c>
    </row>
    <row r="557" spans="3:4" ht="16.5">
      <c r="C557" t="s">
        <v>6848</v>
      </c>
      <c r="D557" s="88" t="s">
        <v>6849</v>
      </c>
    </row>
    <row r="558" spans="3:4" ht="16.5">
      <c r="C558" t="s">
        <v>6850</v>
      </c>
      <c r="D558" s="88" t="s">
        <v>6851</v>
      </c>
    </row>
    <row r="559" spans="3:4" ht="16.5">
      <c r="C559" t="s">
        <v>6852</v>
      </c>
      <c r="D559" s="88" t="s">
        <v>6853</v>
      </c>
    </row>
    <row r="560" spans="3:4" ht="16.5">
      <c r="C560" t="s">
        <v>6854</v>
      </c>
      <c r="D560" s="88" t="s">
        <v>6855</v>
      </c>
    </row>
    <row r="561" spans="3:4" ht="16.5">
      <c r="C561" t="s">
        <v>6856</v>
      </c>
      <c r="D561" s="88" t="s">
        <v>6857</v>
      </c>
    </row>
    <row r="562" spans="3:4" ht="16.5">
      <c r="C562" t="s">
        <v>6858</v>
      </c>
      <c r="D562" s="88" t="s">
        <v>6859</v>
      </c>
    </row>
    <row r="563" spans="3:4" ht="16.5">
      <c r="C563" t="s">
        <v>6860</v>
      </c>
      <c r="D563" s="88" t="s">
        <v>6861</v>
      </c>
    </row>
    <row r="564" spans="3:4" ht="16.5">
      <c r="C564" t="s">
        <v>6862</v>
      </c>
      <c r="D564" s="88" t="s">
        <v>6863</v>
      </c>
    </row>
    <row r="565" spans="3:4" ht="16.5">
      <c r="C565" t="s">
        <v>6864</v>
      </c>
      <c r="D565" s="88" t="s">
        <v>6865</v>
      </c>
    </row>
    <row r="566" spans="3:4" ht="16.5">
      <c r="C566" t="s">
        <v>6866</v>
      </c>
      <c r="D566" s="88" t="s">
        <v>6867</v>
      </c>
    </row>
    <row r="567" spans="3:4" ht="16.5">
      <c r="C567" t="s">
        <v>6868</v>
      </c>
      <c r="D567" s="88" t="s">
        <v>6869</v>
      </c>
    </row>
    <row r="568" spans="3:4" ht="16.5">
      <c r="C568" t="s">
        <v>6870</v>
      </c>
      <c r="D568" s="88" t="s">
        <v>6871</v>
      </c>
    </row>
    <row r="569" spans="3:4" ht="16.5">
      <c r="C569" t="s">
        <v>6872</v>
      </c>
      <c r="D569" s="88" t="s">
        <v>6873</v>
      </c>
    </row>
    <row r="570" spans="3:4" ht="16.5">
      <c r="C570" t="s">
        <v>6874</v>
      </c>
      <c r="D570" s="88" t="s">
        <v>6875</v>
      </c>
    </row>
    <row r="571" spans="3:4" ht="16.5">
      <c r="C571" t="s">
        <v>6876</v>
      </c>
      <c r="D571" s="88" t="s">
        <v>6877</v>
      </c>
    </row>
    <row r="572" spans="3:4" ht="16.5">
      <c r="C572" t="s">
        <v>6878</v>
      </c>
      <c r="D572" s="88" t="s">
        <v>6879</v>
      </c>
    </row>
    <row r="573" spans="3:4" ht="16.5">
      <c r="C573" t="s">
        <v>6880</v>
      </c>
      <c r="D573" s="88" t="s">
        <v>6881</v>
      </c>
    </row>
    <row r="574" spans="3:4" ht="16.5">
      <c r="C574" t="s">
        <v>6882</v>
      </c>
      <c r="D574" s="88" t="s">
        <v>6883</v>
      </c>
    </row>
    <row r="575" spans="3:4" ht="16.5">
      <c r="C575" t="s">
        <v>6884</v>
      </c>
      <c r="D575" s="88" t="s">
        <v>6885</v>
      </c>
    </row>
    <row r="576" spans="3:4" ht="16.5">
      <c r="C576" t="s">
        <v>6886</v>
      </c>
      <c r="D576" s="88" t="s">
        <v>6887</v>
      </c>
    </row>
    <row r="577" spans="3:4" ht="16.5">
      <c r="C577" t="s">
        <v>6888</v>
      </c>
      <c r="D577" s="88" t="s">
        <v>6889</v>
      </c>
    </row>
    <row r="578" spans="3:4" ht="16.5">
      <c r="C578" t="s">
        <v>6890</v>
      </c>
      <c r="D578" s="88" t="s">
        <v>6891</v>
      </c>
    </row>
    <row r="579" spans="3:4" ht="16.5">
      <c r="C579" t="s">
        <v>6892</v>
      </c>
      <c r="D579" s="88" t="s">
        <v>6893</v>
      </c>
    </row>
    <row r="580" spans="3:4" ht="16.5">
      <c r="C580" t="s">
        <v>6894</v>
      </c>
      <c r="D580" s="88" t="s">
        <v>6895</v>
      </c>
    </row>
    <row r="581" spans="3:4" ht="16.5">
      <c r="C581" t="s">
        <v>6896</v>
      </c>
      <c r="D581" s="88" t="s">
        <v>6897</v>
      </c>
    </row>
    <row r="582" spans="3:4" ht="16.5">
      <c r="C582" t="s">
        <v>6898</v>
      </c>
      <c r="D582" s="88" t="s">
        <v>6899</v>
      </c>
    </row>
    <row r="583" spans="3:4" ht="16.5">
      <c r="C583" t="s">
        <v>6900</v>
      </c>
      <c r="D583" s="88" t="s">
        <v>6901</v>
      </c>
    </row>
    <row r="584" spans="3:4" ht="16.5">
      <c r="C584" t="s">
        <v>6902</v>
      </c>
      <c r="D584" s="88" t="s">
        <v>6903</v>
      </c>
    </row>
    <row r="585" spans="3:4" ht="16.5">
      <c r="C585" t="s">
        <v>6904</v>
      </c>
      <c r="D585" s="88" t="s">
        <v>6905</v>
      </c>
    </row>
    <row r="586" spans="3:4" ht="16.5">
      <c r="C586" t="s">
        <v>6906</v>
      </c>
      <c r="D586" s="88" t="s">
        <v>6907</v>
      </c>
    </row>
    <row r="587" spans="3:4" ht="16.5">
      <c r="C587" t="s">
        <v>6908</v>
      </c>
      <c r="D587" s="88" t="s">
        <v>6909</v>
      </c>
    </row>
    <row r="588" spans="3:4" ht="16.5">
      <c r="C588" t="s">
        <v>6910</v>
      </c>
      <c r="D588" s="88" t="s">
        <v>6911</v>
      </c>
    </row>
    <row r="589" spans="3:4" ht="16.5">
      <c r="C589" t="s">
        <v>6912</v>
      </c>
      <c r="D589" s="88" t="s">
        <v>6913</v>
      </c>
    </row>
    <row r="590" spans="3:4" ht="16.5">
      <c r="C590" t="s">
        <v>6914</v>
      </c>
      <c r="D590" s="88" t="s">
        <v>6915</v>
      </c>
    </row>
    <row r="591" spans="3:4" ht="16.5">
      <c r="C591" t="s">
        <v>6916</v>
      </c>
      <c r="D591" s="88" t="s">
        <v>6917</v>
      </c>
    </row>
    <row r="592" spans="3:4" ht="16.5">
      <c r="C592" t="s">
        <v>6918</v>
      </c>
      <c r="D592" s="88" t="s">
        <v>6919</v>
      </c>
    </row>
    <row r="593" spans="3:4" ht="16.5">
      <c r="C593" t="s">
        <v>6920</v>
      </c>
      <c r="D593" s="88" t="s">
        <v>6921</v>
      </c>
    </row>
    <row r="594" spans="3:4" ht="16.5">
      <c r="C594" t="s">
        <v>6922</v>
      </c>
      <c r="D594" s="88" t="s">
        <v>6923</v>
      </c>
    </row>
    <row r="595" spans="3:4" ht="16.5">
      <c r="C595" t="s">
        <v>6924</v>
      </c>
      <c r="D595" s="88" t="s">
        <v>6925</v>
      </c>
    </row>
    <row r="596" spans="3:4" ht="16.5">
      <c r="C596" t="s">
        <v>6926</v>
      </c>
      <c r="D596" s="88" t="s">
        <v>6927</v>
      </c>
    </row>
    <row r="597" spans="3:4" ht="16.5">
      <c r="C597" t="s">
        <v>6928</v>
      </c>
      <c r="D597" s="88" t="s">
        <v>6929</v>
      </c>
    </row>
    <row r="598" spans="3:4" ht="16.5">
      <c r="C598" t="s">
        <v>6930</v>
      </c>
      <c r="D598" s="88" t="s">
        <v>6931</v>
      </c>
    </row>
    <row r="599" spans="3:4" ht="16.5">
      <c r="C599" t="s">
        <v>6932</v>
      </c>
      <c r="D599" s="88" t="s">
        <v>6933</v>
      </c>
    </row>
    <row r="600" spans="3:4" ht="16.5">
      <c r="C600" t="s">
        <v>6934</v>
      </c>
      <c r="D600" s="88" t="s">
        <v>6935</v>
      </c>
    </row>
    <row r="601" spans="3:4" ht="16.5">
      <c r="C601" t="s">
        <v>6936</v>
      </c>
      <c r="D601" s="88" t="s">
        <v>6937</v>
      </c>
    </row>
    <row r="602" spans="3:4" ht="16.5">
      <c r="C602" t="s">
        <v>6938</v>
      </c>
      <c r="D602" s="88" t="s">
        <v>6939</v>
      </c>
    </row>
    <row r="603" spans="3:4" ht="16.5">
      <c r="C603" t="s">
        <v>6940</v>
      </c>
      <c r="D603" s="88" t="s">
        <v>6941</v>
      </c>
    </row>
    <row r="604" spans="3:4" ht="16.5">
      <c r="C604" t="s">
        <v>6942</v>
      </c>
      <c r="D604" s="88" t="s">
        <v>6943</v>
      </c>
    </row>
    <row r="605" spans="3:4" ht="16.5">
      <c r="C605" t="s">
        <v>6944</v>
      </c>
      <c r="D605" s="88" t="s">
        <v>6945</v>
      </c>
    </row>
    <row r="606" spans="3:4" ht="16.5">
      <c r="C606" t="s">
        <v>6946</v>
      </c>
      <c r="D606" s="88" t="s">
        <v>6947</v>
      </c>
    </row>
    <row r="607" spans="3:4" ht="16.5">
      <c r="C607" t="s">
        <v>6948</v>
      </c>
      <c r="D607" s="88" t="s">
        <v>6949</v>
      </c>
    </row>
    <row r="608" spans="3:4" ht="16.5">
      <c r="C608" t="s">
        <v>6950</v>
      </c>
      <c r="D608" s="88" t="s">
        <v>6951</v>
      </c>
    </row>
    <row r="609" spans="3:4" ht="16.5">
      <c r="C609" t="s">
        <v>6952</v>
      </c>
      <c r="D609" s="88" t="s">
        <v>6953</v>
      </c>
    </row>
    <row r="610" spans="3:4" ht="16.5">
      <c r="C610" t="s">
        <v>6954</v>
      </c>
      <c r="D610" s="88" t="s">
        <v>6955</v>
      </c>
    </row>
    <row r="611" spans="3:4" ht="16.5">
      <c r="C611" t="s">
        <v>6956</v>
      </c>
      <c r="D611" s="88" t="s">
        <v>6957</v>
      </c>
    </row>
    <row r="612" spans="3:4" ht="16.5">
      <c r="C612" t="s">
        <v>6958</v>
      </c>
      <c r="D612" s="88" t="s">
        <v>6959</v>
      </c>
    </row>
    <row r="613" spans="3:4" ht="16.5">
      <c r="C613" t="s">
        <v>6960</v>
      </c>
      <c r="D613" s="88" t="s">
        <v>6961</v>
      </c>
    </row>
    <row r="614" spans="3:4" ht="16.5">
      <c r="C614" t="s">
        <v>6962</v>
      </c>
      <c r="D614" s="88" t="s">
        <v>6963</v>
      </c>
    </row>
    <row r="615" spans="3:4" ht="16.5">
      <c r="C615" t="s">
        <v>6964</v>
      </c>
      <c r="D615" s="88" t="s">
        <v>6965</v>
      </c>
    </row>
    <row r="616" spans="3:4" ht="16.5">
      <c r="C616" t="s">
        <v>6966</v>
      </c>
      <c r="D616" s="88" t="s">
        <v>6967</v>
      </c>
    </row>
    <row r="617" spans="3:4" ht="16.5">
      <c r="C617" t="s">
        <v>6968</v>
      </c>
      <c r="D617" s="88" t="s">
        <v>6969</v>
      </c>
    </row>
    <row r="618" spans="3:4" ht="16.5">
      <c r="C618" t="s">
        <v>6970</v>
      </c>
      <c r="D618" s="88" t="s">
        <v>6971</v>
      </c>
    </row>
    <row r="619" spans="3:4" ht="16.5">
      <c r="C619" t="s">
        <v>6972</v>
      </c>
      <c r="D619" s="88" t="s">
        <v>6973</v>
      </c>
    </row>
    <row r="620" spans="3:4" ht="16.5">
      <c r="C620" t="s">
        <v>6974</v>
      </c>
      <c r="D620" s="88" t="s">
        <v>6975</v>
      </c>
    </row>
    <row r="621" spans="3:4" ht="16.5">
      <c r="C621" t="s">
        <v>6976</v>
      </c>
      <c r="D621" s="88" t="s">
        <v>6977</v>
      </c>
    </row>
    <row r="622" spans="3:4" ht="16.5">
      <c r="C622" t="s">
        <v>6978</v>
      </c>
      <c r="D622" s="88" t="s">
        <v>6979</v>
      </c>
    </row>
    <row r="623" spans="3:4" ht="16.5">
      <c r="C623" t="s">
        <v>6980</v>
      </c>
      <c r="D623" s="88" t="s">
        <v>6981</v>
      </c>
    </row>
    <row r="624" spans="3:4" ht="16.5">
      <c r="C624" t="s">
        <v>6982</v>
      </c>
      <c r="D624" s="88" t="s">
        <v>6983</v>
      </c>
    </row>
    <row r="625" spans="3:4" ht="16.5">
      <c r="C625" t="s">
        <v>6984</v>
      </c>
      <c r="D625" s="88" t="s">
        <v>6985</v>
      </c>
    </row>
    <row r="626" spans="3:4" ht="16.5">
      <c r="C626" t="s">
        <v>6986</v>
      </c>
      <c r="D626" s="88" t="s">
        <v>6987</v>
      </c>
    </row>
    <row r="627" spans="3:4" ht="16.5">
      <c r="C627" t="s">
        <v>6988</v>
      </c>
      <c r="D627" s="88" t="s">
        <v>6989</v>
      </c>
    </row>
    <row r="628" spans="3:4" ht="16.5">
      <c r="C628" t="s">
        <v>6990</v>
      </c>
      <c r="D628" s="88" t="s">
        <v>6991</v>
      </c>
    </row>
    <row r="629" spans="3:4" ht="16.5">
      <c r="C629" t="s">
        <v>6992</v>
      </c>
      <c r="D629" s="88" t="s">
        <v>6993</v>
      </c>
    </row>
    <row r="630" spans="3:4" ht="16.5">
      <c r="C630" t="s">
        <v>6994</v>
      </c>
      <c r="D630" s="88" t="s">
        <v>6995</v>
      </c>
    </row>
    <row r="631" spans="3:4" ht="16.5">
      <c r="C631" t="s">
        <v>6996</v>
      </c>
      <c r="D631" s="88" t="s">
        <v>6997</v>
      </c>
    </row>
    <row r="632" spans="3:4" ht="16.5">
      <c r="C632" t="s">
        <v>6998</v>
      </c>
      <c r="D632" s="88" t="s">
        <v>6999</v>
      </c>
    </row>
    <row r="633" spans="3:4" ht="16.5">
      <c r="C633" t="s">
        <v>7000</v>
      </c>
      <c r="D633" s="88" t="s">
        <v>7001</v>
      </c>
    </row>
    <row r="634" spans="3:4" ht="16.5">
      <c r="C634" t="s">
        <v>7002</v>
      </c>
      <c r="D634" s="88" t="s">
        <v>7003</v>
      </c>
    </row>
    <row r="635" spans="3:4" ht="16.5">
      <c r="C635" t="s">
        <v>7004</v>
      </c>
      <c r="D635" s="88" t="s">
        <v>7005</v>
      </c>
    </row>
    <row r="636" spans="3:4" ht="16.5">
      <c r="C636" t="s">
        <v>7006</v>
      </c>
      <c r="D636" s="88" t="s">
        <v>7007</v>
      </c>
    </row>
    <row r="637" spans="3:4" ht="16.5">
      <c r="C637" t="s">
        <v>7008</v>
      </c>
      <c r="D637" s="88" t="s">
        <v>7009</v>
      </c>
    </row>
    <row r="638" spans="3:4" ht="16.5">
      <c r="C638" t="s">
        <v>7010</v>
      </c>
      <c r="D638" s="88" t="s">
        <v>7011</v>
      </c>
    </row>
    <row r="639" spans="3:4" ht="16.5">
      <c r="C639" t="s">
        <v>7012</v>
      </c>
      <c r="D639" s="88" t="s">
        <v>7013</v>
      </c>
    </row>
    <row r="640" spans="3:4" ht="16.5">
      <c r="C640" t="s">
        <v>7014</v>
      </c>
      <c r="D640" s="88" t="s">
        <v>7015</v>
      </c>
    </row>
    <row r="641" spans="3:4" ht="16.5">
      <c r="C641" t="s">
        <v>7016</v>
      </c>
      <c r="D641" s="88" t="s">
        <v>7017</v>
      </c>
    </row>
    <row r="642" spans="3:4" ht="16.5">
      <c r="C642" t="s">
        <v>7018</v>
      </c>
      <c r="D642" s="88" t="s">
        <v>7019</v>
      </c>
    </row>
    <row r="643" spans="3:4" ht="16.5">
      <c r="C643" t="s">
        <v>7020</v>
      </c>
      <c r="D643" s="88" t="s">
        <v>7021</v>
      </c>
    </row>
    <row r="644" spans="3:4" ht="16.5">
      <c r="C644" t="s">
        <v>7022</v>
      </c>
      <c r="D644" s="88" t="s">
        <v>7023</v>
      </c>
    </row>
    <row r="645" spans="3:4" ht="16.5">
      <c r="C645" t="s">
        <v>7024</v>
      </c>
      <c r="D645" s="88" t="s">
        <v>7025</v>
      </c>
    </row>
    <row r="646" spans="3:4" ht="16.5">
      <c r="C646" t="s">
        <v>7026</v>
      </c>
      <c r="D646" s="88" t="s">
        <v>7027</v>
      </c>
    </row>
    <row r="647" spans="3:4" ht="16.5">
      <c r="C647" t="s">
        <v>7028</v>
      </c>
      <c r="D647" s="88" t="s">
        <v>7029</v>
      </c>
    </row>
    <row r="648" spans="3:4" ht="16.5">
      <c r="C648" t="s">
        <v>7030</v>
      </c>
      <c r="D648" s="88" t="s">
        <v>7031</v>
      </c>
    </row>
    <row r="649" spans="3:4" ht="16.5">
      <c r="C649" t="s">
        <v>7032</v>
      </c>
      <c r="D649" s="88" t="s">
        <v>7033</v>
      </c>
    </row>
    <row r="650" spans="3:4" ht="16.5">
      <c r="C650" t="s">
        <v>7034</v>
      </c>
      <c r="D650" s="88" t="s">
        <v>7035</v>
      </c>
    </row>
    <row r="651" spans="3:4" ht="16.5">
      <c r="C651" t="s">
        <v>7036</v>
      </c>
      <c r="D651" s="88" t="s">
        <v>7037</v>
      </c>
    </row>
    <row r="652" spans="3:4" ht="16.5">
      <c r="C652" t="s">
        <v>7038</v>
      </c>
      <c r="D652" s="88" t="s">
        <v>7039</v>
      </c>
    </row>
    <row r="653" spans="3:4" ht="16.5">
      <c r="C653" t="s">
        <v>7040</v>
      </c>
      <c r="D653" s="88" t="s">
        <v>7041</v>
      </c>
    </row>
    <row r="654" spans="3:4" ht="16.5">
      <c r="C654" t="s">
        <v>7042</v>
      </c>
      <c r="D654" s="88" t="s">
        <v>7043</v>
      </c>
    </row>
    <row r="655" spans="3:4" ht="16.5">
      <c r="C655" t="s">
        <v>7044</v>
      </c>
      <c r="D655" s="88" t="s">
        <v>7045</v>
      </c>
    </row>
    <row r="656" spans="3:4" ht="16.5">
      <c r="C656" t="s">
        <v>7046</v>
      </c>
      <c r="D656" s="88" t="s">
        <v>7047</v>
      </c>
    </row>
    <row r="657" spans="3:4" ht="16.5">
      <c r="C657" t="s">
        <v>7048</v>
      </c>
      <c r="D657" s="88" t="s">
        <v>7049</v>
      </c>
    </row>
    <row r="658" spans="3:4" ht="16.5">
      <c r="C658" t="s">
        <v>7050</v>
      </c>
      <c r="D658" s="88" t="s">
        <v>7051</v>
      </c>
    </row>
    <row r="659" spans="3:4" ht="16.5">
      <c r="C659" t="s">
        <v>7052</v>
      </c>
      <c r="D659" s="88" t="s">
        <v>7053</v>
      </c>
    </row>
    <row r="660" spans="3:4" ht="16.5">
      <c r="C660" t="s">
        <v>7054</v>
      </c>
      <c r="D660" s="88" t="s">
        <v>7055</v>
      </c>
    </row>
    <row r="661" spans="3:4" ht="16.5">
      <c r="C661" t="s">
        <v>7056</v>
      </c>
      <c r="D661" s="88" t="s">
        <v>7057</v>
      </c>
    </row>
    <row r="662" spans="3:4" ht="16.5">
      <c r="C662" t="s">
        <v>7058</v>
      </c>
      <c r="D662" s="88" t="s">
        <v>7059</v>
      </c>
    </row>
    <row r="663" spans="3:4" ht="16.5">
      <c r="C663" t="s">
        <v>7060</v>
      </c>
      <c r="D663" s="88" t="s">
        <v>7061</v>
      </c>
    </row>
    <row r="664" spans="3:4" ht="16.5">
      <c r="C664" t="s">
        <v>7062</v>
      </c>
      <c r="D664" s="88" t="s">
        <v>7063</v>
      </c>
    </row>
    <row r="665" spans="3:4" ht="16.5">
      <c r="C665" t="s">
        <v>7064</v>
      </c>
      <c r="D665" s="88" t="s">
        <v>7065</v>
      </c>
    </row>
    <row r="666" spans="3:4" ht="16.5">
      <c r="C666" t="s">
        <v>7066</v>
      </c>
      <c r="D666" s="88" t="s">
        <v>7067</v>
      </c>
    </row>
    <row r="667" spans="3:4" ht="16.5">
      <c r="C667" t="s">
        <v>7068</v>
      </c>
      <c r="D667" s="88" t="s">
        <v>7069</v>
      </c>
    </row>
    <row r="668" spans="3:4" ht="16.5">
      <c r="C668" t="s">
        <v>7070</v>
      </c>
      <c r="D668" s="88" t="s">
        <v>7071</v>
      </c>
    </row>
    <row r="669" spans="3:4" ht="16.5">
      <c r="C669" t="s">
        <v>7072</v>
      </c>
      <c r="D669" s="88" t="s">
        <v>7073</v>
      </c>
    </row>
    <row r="670" spans="3:4" ht="16.5">
      <c r="C670" t="s">
        <v>7074</v>
      </c>
      <c r="D670" s="88" t="s">
        <v>7075</v>
      </c>
    </row>
    <row r="671" spans="3:4" ht="16.5">
      <c r="C671" t="s">
        <v>7076</v>
      </c>
      <c r="D671" s="88" t="s">
        <v>7077</v>
      </c>
    </row>
    <row r="672" spans="3:4" ht="16.5">
      <c r="C672" t="s">
        <v>7078</v>
      </c>
      <c r="D672" s="88" t="s">
        <v>7079</v>
      </c>
    </row>
    <row r="673" spans="3:4" ht="16.5">
      <c r="C673" t="s">
        <v>7080</v>
      </c>
      <c r="D673" s="88" t="s">
        <v>7081</v>
      </c>
    </row>
    <row r="674" spans="3:4" ht="16.5">
      <c r="C674" t="s">
        <v>7082</v>
      </c>
      <c r="D674" s="88" t="s">
        <v>7083</v>
      </c>
    </row>
    <row r="675" spans="3:4" ht="16.5">
      <c r="C675" t="s">
        <v>7084</v>
      </c>
      <c r="D675" s="88" t="s">
        <v>7085</v>
      </c>
    </row>
    <row r="676" spans="3:4" ht="16.5">
      <c r="C676" t="s">
        <v>7086</v>
      </c>
      <c r="D676" s="88" t="s">
        <v>7087</v>
      </c>
    </row>
    <row r="677" spans="3:4" ht="16.5">
      <c r="C677" t="s">
        <v>7088</v>
      </c>
      <c r="D677" s="88" t="s">
        <v>7089</v>
      </c>
    </row>
    <row r="678" spans="3:4" ht="16.5">
      <c r="C678" t="s">
        <v>7090</v>
      </c>
      <c r="D678" s="88" t="s">
        <v>7091</v>
      </c>
    </row>
    <row r="679" spans="3:4" ht="16.5">
      <c r="C679" t="s">
        <v>7092</v>
      </c>
      <c r="D679" s="88" t="s">
        <v>7093</v>
      </c>
    </row>
    <row r="680" spans="3:4" ht="16.5">
      <c r="C680" t="s">
        <v>7094</v>
      </c>
      <c r="D680" s="88" t="s">
        <v>7095</v>
      </c>
    </row>
    <row r="681" spans="3:4" ht="16.5">
      <c r="C681" t="s">
        <v>7096</v>
      </c>
      <c r="D681" s="88" t="s">
        <v>7097</v>
      </c>
    </row>
    <row r="682" spans="3:4" ht="16.5">
      <c r="C682" t="s">
        <v>7098</v>
      </c>
      <c r="D682" s="88" t="s">
        <v>7099</v>
      </c>
    </row>
    <row r="683" spans="3:4" ht="16.5">
      <c r="C683" t="s">
        <v>7100</v>
      </c>
      <c r="D683" s="88" t="s">
        <v>7101</v>
      </c>
    </row>
    <row r="684" spans="3:4" ht="16.5">
      <c r="C684" t="s">
        <v>7102</v>
      </c>
      <c r="D684" s="88" t="s">
        <v>7103</v>
      </c>
    </row>
    <row r="685" spans="3:4" ht="16.5">
      <c r="C685" t="s">
        <v>7104</v>
      </c>
      <c r="D685" s="88" t="s">
        <v>7105</v>
      </c>
    </row>
    <row r="686" spans="3:4" ht="16.5">
      <c r="C686" t="s">
        <v>7106</v>
      </c>
      <c r="D686" s="88" t="s">
        <v>7107</v>
      </c>
    </row>
    <row r="687" spans="3:4" ht="16.5">
      <c r="C687" t="s">
        <v>7108</v>
      </c>
      <c r="D687" s="88" t="s">
        <v>7109</v>
      </c>
    </row>
    <row r="688" spans="3:4" ht="16.5">
      <c r="C688" t="s">
        <v>7110</v>
      </c>
      <c r="D688" s="88" t="s">
        <v>7111</v>
      </c>
    </row>
    <row r="689" spans="3:4" ht="16.5">
      <c r="C689" t="s">
        <v>7112</v>
      </c>
      <c r="D689" s="88" t="s">
        <v>7113</v>
      </c>
    </row>
    <row r="690" spans="3:4" ht="16.5">
      <c r="C690" t="s">
        <v>7114</v>
      </c>
      <c r="D690" s="88" t="s">
        <v>7115</v>
      </c>
    </row>
    <row r="691" spans="3:4" ht="16.5">
      <c r="C691" t="s">
        <v>7116</v>
      </c>
      <c r="D691" s="88" t="s">
        <v>7117</v>
      </c>
    </row>
    <row r="692" spans="3:4" ht="16.5">
      <c r="C692" t="s">
        <v>7118</v>
      </c>
      <c r="D692" s="88" t="s">
        <v>7119</v>
      </c>
    </row>
    <row r="693" spans="3:4" ht="16.5">
      <c r="C693" t="s">
        <v>7120</v>
      </c>
      <c r="D693" s="88" t="s">
        <v>7121</v>
      </c>
    </row>
    <row r="694" spans="3:4" ht="16.5">
      <c r="C694" t="s">
        <v>7122</v>
      </c>
      <c r="D694" s="88" t="s">
        <v>7123</v>
      </c>
    </row>
    <row r="695" spans="3:4" ht="16.5">
      <c r="C695" t="s">
        <v>7124</v>
      </c>
      <c r="D695" s="88" t="s">
        <v>7125</v>
      </c>
    </row>
    <row r="696" spans="3:4" ht="16.5">
      <c r="C696" t="s">
        <v>7126</v>
      </c>
      <c r="D696" s="88" t="s">
        <v>7127</v>
      </c>
    </row>
    <row r="697" spans="3:4" ht="16.5">
      <c r="C697" t="s">
        <v>7128</v>
      </c>
      <c r="D697" s="88" t="s">
        <v>7129</v>
      </c>
    </row>
    <row r="698" spans="3:4" ht="16.5">
      <c r="C698" t="s">
        <v>7130</v>
      </c>
      <c r="D698" s="88" t="s">
        <v>7131</v>
      </c>
    </row>
    <row r="699" spans="3:4" ht="16.5">
      <c r="C699" t="s">
        <v>7132</v>
      </c>
      <c r="D699" s="88" t="s">
        <v>7133</v>
      </c>
    </row>
    <row r="700" spans="3:4" ht="16.5">
      <c r="C700" t="s">
        <v>7134</v>
      </c>
      <c r="D700" s="88" t="s">
        <v>7135</v>
      </c>
    </row>
    <row r="701" spans="3:4" ht="16.5">
      <c r="C701" t="s">
        <v>7136</v>
      </c>
      <c r="D701" s="88" t="s">
        <v>7137</v>
      </c>
    </row>
    <row r="702" spans="3:4" ht="16.5">
      <c r="C702" t="s">
        <v>7138</v>
      </c>
      <c r="D702" s="88" t="s">
        <v>7139</v>
      </c>
    </row>
    <row r="703" spans="3:4" ht="16.5">
      <c r="C703" t="s">
        <v>7140</v>
      </c>
      <c r="D703" s="88" t="s">
        <v>7141</v>
      </c>
    </row>
    <row r="704" spans="3:4" ht="16.5">
      <c r="C704" t="s">
        <v>7142</v>
      </c>
      <c r="D704" s="88" t="s">
        <v>7143</v>
      </c>
    </row>
    <row r="705" spans="3:4" ht="16.5">
      <c r="C705" t="s">
        <v>7144</v>
      </c>
      <c r="D705" s="88" t="s">
        <v>7145</v>
      </c>
    </row>
    <row r="706" spans="3:4" ht="16.5">
      <c r="C706" t="s">
        <v>7146</v>
      </c>
      <c r="D706" s="88" t="s">
        <v>7147</v>
      </c>
    </row>
    <row r="707" spans="3:4" ht="16.5">
      <c r="C707" t="s">
        <v>7148</v>
      </c>
      <c r="D707" s="88" t="s">
        <v>7149</v>
      </c>
    </row>
    <row r="708" spans="3:4" ht="16.5">
      <c r="C708" t="s">
        <v>7150</v>
      </c>
      <c r="D708" s="88" t="s">
        <v>7151</v>
      </c>
    </row>
    <row r="709" spans="3:4" ht="16.5">
      <c r="C709" t="s">
        <v>7152</v>
      </c>
      <c r="D709" s="88" t="s">
        <v>7153</v>
      </c>
    </row>
    <row r="710" spans="3:4" ht="16.5">
      <c r="C710" t="s">
        <v>7154</v>
      </c>
      <c r="D710" s="88" t="s">
        <v>7155</v>
      </c>
    </row>
    <row r="711" spans="3:4" ht="16.5">
      <c r="C711" t="s">
        <v>7156</v>
      </c>
      <c r="D711" s="88" t="s">
        <v>7157</v>
      </c>
    </row>
    <row r="712" spans="3:4" ht="16.5">
      <c r="C712" t="s">
        <v>7158</v>
      </c>
      <c r="D712" s="88" t="s">
        <v>7159</v>
      </c>
    </row>
    <row r="713" spans="3:4" ht="16.5">
      <c r="C713" t="s">
        <v>7160</v>
      </c>
      <c r="D713" s="88" t="s">
        <v>7161</v>
      </c>
    </row>
    <row r="714" spans="3:4" ht="16.5">
      <c r="C714" t="s">
        <v>7162</v>
      </c>
      <c r="D714" s="88" t="s">
        <v>7163</v>
      </c>
    </row>
    <row r="715" spans="3:4" ht="16.5">
      <c r="C715" t="s">
        <v>7164</v>
      </c>
      <c r="D715" s="88" t="s">
        <v>7165</v>
      </c>
    </row>
    <row r="716" spans="3:4" ht="16.5">
      <c r="C716" t="s">
        <v>7166</v>
      </c>
      <c r="D716" s="88" t="s">
        <v>7167</v>
      </c>
    </row>
    <row r="717" spans="3:4" ht="16.5">
      <c r="C717" t="s">
        <v>7168</v>
      </c>
      <c r="D717" s="88" t="s">
        <v>7169</v>
      </c>
    </row>
    <row r="718" spans="3:4" ht="16.5">
      <c r="C718" t="s">
        <v>7170</v>
      </c>
      <c r="D718" s="88" t="s">
        <v>7171</v>
      </c>
    </row>
    <row r="719" spans="3:4" ht="16.5">
      <c r="C719" t="s">
        <v>7172</v>
      </c>
      <c r="D719" s="88" t="s">
        <v>7173</v>
      </c>
    </row>
    <row r="720" spans="3:4" ht="16.5">
      <c r="C720" t="s">
        <v>7174</v>
      </c>
      <c r="D720" s="88" t="s">
        <v>7175</v>
      </c>
    </row>
    <row r="721" spans="3:4" ht="16.5">
      <c r="C721" t="s">
        <v>7176</v>
      </c>
      <c r="D721" s="88" t="s">
        <v>7177</v>
      </c>
    </row>
    <row r="722" spans="3:4" ht="16.5">
      <c r="C722" t="s">
        <v>7178</v>
      </c>
      <c r="D722" s="88" t="s">
        <v>7179</v>
      </c>
    </row>
    <row r="723" spans="3:4" ht="16.5">
      <c r="C723" t="s">
        <v>7180</v>
      </c>
      <c r="D723" s="88" t="s">
        <v>7181</v>
      </c>
    </row>
    <row r="724" spans="3:4" ht="16.5">
      <c r="C724" t="s">
        <v>7182</v>
      </c>
      <c r="D724" s="88" t="s">
        <v>7183</v>
      </c>
    </row>
    <row r="725" spans="3:4" ht="16.5">
      <c r="C725" t="s">
        <v>7184</v>
      </c>
      <c r="D725" s="88" t="s">
        <v>7185</v>
      </c>
    </row>
    <row r="726" spans="3:4" ht="16.5">
      <c r="C726" t="s">
        <v>7186</v>
      </c>
      <c r="D726" s="88" t="s">
        <v>7187</v>
      </c>
    </row>
    <row r="727" spans="3:4" ht="16.5">
      <c r="C727" t="s">
        <v>7188</v>
      </c>
      <c r="D727" s="88" t="s">
        <v>7189</v>
      </c>
    </row>
    <row r="728" spans="3:4" ht="16.5">
      <c r="C728" t="s">
        <v>7190</v>
      </c>
      <c r="D728" s="88" t="s">
        <v>7191</v>
      </c>
    </row>
    <row r="729" spans="3:4" ht="16.5">
      <c r="C729" t="s">
        <v>7192</v>
      </c>
      <c r="D729" s="88" t="s">
        <v>7193</v>
      </c>
    </row>
    <row r="730" spans="3:4" ht="16.5">
      <c r="C730" t="s">
        <v>7194</v>
      </c>
      <c r="D730" s="88" t="s">
        <v>7195</v>
      </c>
    </row>
    <row r="731" spans="3:4" ht="16.5">
      <c r="C731" t="s">
        <v>7196</v>
      </c>
      <c r="D731" s="88" t="s">
        <v>7197</v>
      </c>
    </row>
    <row r="732" spans="3:4" ht="16.5">
      <c r="C732" t="s">
        <v>7198</v>
      </c>
      <c r="D732" s="88" t="s">
        <v>7199</v>
      </c>
    </row>
    <row r="733" spans="3:4" ht="16.5">
      <c r="C733" t="s">
        <v>7200</v>
      </c>
      <c r="D733" s="88" t="s">
        <v>7201</v>
      </c>
    </row>
    <row r="734" spans="3:4" ht="16.5">
      <c r="C734" t="s">
        <v>7202</v>
      </c>
      <c r="D734" s="88" t="s">
        <v>7203</v>
      </c>
    </row>
    <row r="735" spans="3:4" ht="16.5">
      <c r="C735" t="s">
        <v>7204</v>
      </c>
      <c r="D735" s="88" t="s">
        <v>7205</v>
      </c>
    </row>
    <row r="736" spans="3:4" ht="16.5">
      <c r="C736" t="s">
        <v>7206</v>
      </c>
      <c r="D736" s="88" t="s">
        <v>7207</v>
      </c>
    </row>
    <row r="737" spans="3:4" ht="16.5">
      <c r="C737" t="s">
        <v>7208</v>
      </c>
      <c r="D737" s="88" t="s">
        <v>7209</v>
      </c>
    </row>
    <row r="738" spans="3:4" ht="16.5">
      <c r="C738" t="s">
        <v>7210</v>
      </c>
      <c r="D738" s="88" t="s">
        <v>7211</v>
      </c>
    </row>
    <row r="739" spans="3:4" ht="16.5">
      <c r="C739" t="s">
        <v>7212</v>
      </c>
      <c r="D739" s="88" t="s">
        <v>7213</v>
      </c>
    </row>
    <row r="740" spans="3:4" ht="16.5">
      <c r="C740" t="s">
        <v>7214</v>
      </c>
      <c r="D740" s="88" t="s">
        <v>7215</v>
      </c>
    </row>
    <row r="741" spans="3:4" ht="16.5">
      <c r="C741" t="s">
        <v>7216</v>
      </c>
      <c r="D741" s="88" t="s">
        <v>7217</v>
      </c>
    </row>
    <row r="742" spans="3:4" ht="16.5">
      <c r="C742" t="s">
        <v>7218</v>
      </c>
      <c r="D742" s="88" t="s">
        <v>7219</v>
      </c>
    </row>
    <row r="743" spans="3:4" ht="16.5">
      <c r="C743" t="s">
        <v>7220</v>
      </c>
      <c r="D743" s="88" t="s">
        <v>7221</v>
      </c>
    </row>
    <row r="744" spans="3:4" ht="16.5">
      <c r="C744" t="s">
        <v>7222</v>
      </c>
      <c r="D744" s="88" t="s">
        <v>7223</v>
      </c>
    </row>
    <row r="745" spans="3:4" ht="16.5">
      <c r="C745" t="s">
        <v>7224</v>
      </c>
      <c r="D745" s="88" t="s">
        <v>7225</v>
      </c>
    </row>
    <row r="746" spans="3:4" ht="16.5">
      <c r="C746" t="s">
        <v>7226</v>
      </c>
      <c r="D746" s="88" t="s">
        <v>7227</v>
      </c>
    </row>
    <row r="747" spans="3:4" ht="16.5">
      <c r="C747" t="s">
        <v>7228</v>
      </c>
      <c r="D747" s="88" t="s">
        <v>7229</v>
      </c>
    </row>
    <row r="748" spans="3:4" ht="16.5">
      <c r="C748" t="s">
        <v>7230</v>
      </c>
      <c r="D748" s="88" t="s">
        <v>7231</v>
      </c>
    </row>
    <row r="749" spans="3:4" ht="16.5">
      <c r="C749" t="s">
        <v>7232</v>
      </c>
      <c r="D749" s="88" t="s">
        <v>7233</v>
      </c>
    </row>
    <row r="750" spans="3:4" ht="16.5">
      <c r="C750" t="s">
        <v>7234</v>
      </c>
      <c r="D750" s="88" t="s">
        <v>7235</v>
      </c>
    </row>
    <row r="751" spans="3:4" ht="16.5">
      <c r="C751" t="s">
        <v>7236</v>
      </c>
      <c r="D751" s="88" t="s">
        <v>7237</v>
      </c>
    </row>
    <row r="752" spans="3:4" ht="16.5">
      <c r="C752" t="s">
        <v>7238</v>
      </c>
      <c r="D752" s="88" t="s">
        <v>7239</v>
      </c>
    </row>
    <row r="753" spans="3:4" ht="16.5">
      <c r="C753" t="s">
        <v>7240</v>
      </c>
      <c r="D753" s="88" t="s">
        <v>7241</v>
      </c>
    </row>
    <row r="754" spans="3:4" ht="16.5">
      <c r="C754" t="s">
        <v>7242</v>
      </c>
      <c r="D754" s="88" t="s">
        <v>7243</v>
      </c>
    </row>
    <row r="755" spans="3:4" ht="16.5">
      <c r="C755" t="s">
        <v>7244</v>
      </c>
      <c r="D755" s="88" t="s">
        <v>7245</v>
      </c>
    </row>
    <row r="756" spans="3:4" ht="16.5">
      <c r="C756" t="s">
        <v>7246</v>
      </c>
      <c r="D756" s="88" t="s">
        <v>7247</v>
      </c>
    </row>
    <row r="757" spans="3:4" ht="16.5">
      <c r="C757" t="s">
        <v>7248</v>
      </c>
      <c r="D757" s="88" t="s">
        <v>7249</v>
      </c>
    </row>
    <row r="758" spans="3:4" ht="16.5">
      <c r="C758" t="s">
        <v>7250</v>
      </c>
      <c r="D758" s="88" t="s">
        <v>7251</v>
      </c>
    </row>
    <row r="759" spans="3:4" ht="16.5">
      <c r="C759" t="s">
        <v>7252</v>
      </c>
      <c r="D759" s="88" t="s">
        <v>7253</v>
      </c>
    </row>
    <row r="760" spans="3:4" ht="16.5">
      <c r="C760" t="s">
        <v>7254</v>
      </c>
      <c r="D760" s="88" t="s">
        <v>7255</v>
      </c>
    </row>
    <row r="761" spans="3:4" ht="16.5">
      <c r="C761" t="s">
        <v>7256</v>
      </c>
      <c r="D761" s="88" t="s">
        <v>7257</v>
      </c>
    </row>
    <row r="762" spans="3:4" ht="16.5">
      <c r="C762" t="s">
        <v>7258</v>
      </c>
      <c r="D762" s="88" t="s">
        <v>7259</v>
      </c>
    </row>
    <row r="763" spans="3:4" ht="16.5">
      <c r="C763" t="s">
        <v>7260</v>
      </c>
      <c r="D763" s="88" t="s">
        <v>7261</v>
      </c>
    </row>
    <row r="764" spans="3:4" ht="16.5">
      <c r="C764" t="s">
        <v>7262</v>
      </c>
      <c r="D764" s="88" t="s">
        <v>7263</v>
      </c>
    </row>
    <row r="765" spans="3:4" ht="16.5">
      <c r="C765" t="s">
        <v>7264</v>
      </c>
      <c r="D765" s="88" t="s">
        <v>7265</v>
      </c>
    </row>
    <row r="766" spans="3:4" ht="16.5">
      <c r="C766" t="s">
        <v>7266</v>
      </c>
      <c r="D766" s="88" t="s">
        <v>7267</v>
      </c>
    </row>
    <row r="767" spans="3:4" ht="16.5">
      <c r="C767" t="s">
        <v>7268</v>
      </c>
      <c r="D767" s="88" t="s">
        <v>7269</v>
      </c>
    </row>
    <row r="768" spans="3:4" ht="16.5">
      <c r="C768" t="s">
        <v>7270</v>
      </c>
      <c r="D768" s="88" t="s">
        <v>7271</v>
      </c>
    </row>
    <row r="769" spans="3:4" ht="16.5">
      <c r="C769" t="s">
        <v>7272</v>
      </c>
      <c r="D769" s="88" t="s">
        <v>7273</v>
      </c>
    </row>
    <row r="770" spans="3:4" ht="16.5">
      <c r="C770" t="s">
        <v>7274</v>
      </c>
      <c r="D770" s="88" t="s">
        <v>7275</v>
      </c>
    </row>
    <row r="771" spans="3:4" ht="16.5">
      <c r="C771" t="s">
        <v>7276</v>
      </c>
      <c r="D771" s="88" t="s">
        <v>7277</v>
      </c>
    </row>
    <row r="772" spans="3:4" ht="16.5">
      <c r="C772" t="s">
        <v>7278</v>
      </c>
      <c r="D772" s="88" t="s">
        <v>7279</v>
      </c>
    </row>
    <row r="773" spans="3:4" ht="16.5">
      <c r="C773" t="s">
        <v>7280</v>
      </c>
      <c r="D773" s="88" t="s">
        <v>7281</v>
      </c>
    </row>
    <row r="774" spans="3:4" ht="16.5">
      <c r="C774" t="s">
        <v>7282</v>
      </c>
      <c r="D774" s="88" t="s">
        <v>7283</v>
      </c>
    </row>
    <row r="775" spans="3:4" ht="16.5">
      <c r="C775" t="s">
        <v>7284</v>
      </c>
      <c r="D775" s="88" t="s">
        <v>7285</v>
      </c>
    </row>
    <row r="776" spans="3:4" ht="16.5">
      <c r="C776" t="s">
        <v>7286</v>
      </c>
      <c r="D776" s="88" t="s">
        <v>7287</v>
      </c>
    </row>
    <row r="777" spans="3:4" ht="16.5">
      <c r="C777" t="s">
        <v>7288</v>
      </c>
      <c r="D777" s="88" t="s">
        <v>7289</v>
      </c>
    </row>
    <row r="778" spans="3:4" ht="16.5">
      <c r="C778" t="s">
        <v>7290</v>
      </c>
      <c r="D778" s="88" t="s">
        <v>7291</v>
      </c>
    </row>
    <row r="779" spans="3:4" ht="16.5">
      <c r="C779" t="s">
        <v>7292</v>
      </c>
      <c r="D779" s="88" t="s">
        <v>7293</v>
      </c>
    </row>
    <row r="780" spans="3:4" ht="16.5">
      <c r="C780" t="s">
        <v>7294</v>
      </c>
      <c r="D780" s="88" t="s">
        <v>7295</v>
      </c>
    </row>
    <row r="781" spans="3:4" ht="16.5">
      <c r="C781" t="s">
        <v>7296</v>
      </c>
      <c r="D781" s="88" t="s">
        <v>7297</v>
      </c>
    </row>
    <row r="782" spans="3:4" ht="16.5">
      <c r="C782" t="s">
        <v>7298</v>
      </c>
      <c r="D782" s="88" t="s">
        <v>7299</v>
      </c>
    </row>
    <row r="783" spans="3:4" ht="16.5">
      <c r="C783" t="s">
        <v>7300</v>
      </c>
      <c r="D783" s="88" t="s">
        <v>7301</v>
      </c>
    </row>
    <row r="784" spans="3:4" ht="16.5">
      <c r="C784" t="s">
        <v>7302</v>
      </c>
      <c r="D784" s="88" t="s">
        <v>7303</v>
      </c>
    </row>
    <row r="785" spans="3:4" ht="16.5">
      <c r="C785" t="s">
        <v>7304</v>
      </c>
      <c r="D785" s="88" t="s">
        <v>7305</v>
      </c>
    </row>
    <row r="786" spans="3:4" ht="16.5">
      <c r="C786" t="s">
        <v>7306</v>
      </c>
      <c r="D786" s="88" t="s">
        <v>7307</v>
      </c>
    </row>
    <row r="787" spans="3:4" ht="16.5">
      <c r="C787" t="s">
        <v>7308</v>
      </c>
      <c r="D787" s="88" t="s">
        <v>7309</v>
      </c>
    </row>
    <row r="788" spans="3:4" ht="16.5">
      <c r="C788" t="s">
        <v>7310</v>
      </c>
      <c r="D788" s="88" t="s">
        <v>7311</v>
      </c>
    </row>
    <row r="789" spans="3:4" ht="16.5">
      <c r="C789" t="s">
        <v>7312</v>
      </c>
      <c r="D789" s="88" t="s">
        <v>7313</v>
      </c>
    </row>
    <row r="790" spans="3:4" ht="16.5">
      <c r="C790" t="s">
        <v>7314</v>
      </c>
      <c r="D790" s="88" t="s">
        <v>7315</v>
      </c>
    </row>
    <row r="791" spans="3:4" ht="16.5">
      <c r="C791" t="s">
        <v>7316</v>
      </c>
      <c r="D791" s="88" t="s">
        <v>7317</v>
      </c>
    </row>
    <row r="792" spans="3:4" ht="16.5">
      <c r="C792" t="s">
        <v>7318</v>
      </c>
      <c r="D792" s="88" t="s">
        <v>7319</v>
      </c>
    </row>
    <row r="793" spans="3:4" ht="16.5">
      <c r="C793" t="s">
        <v>7320</v>
      </c>
      <c r="D793" s="88" t="s">
        <v>7321</v>
      </c>
    </row>
    <row r="794" spans="3:4" ht="16.5">
      <c r="C794" t="s">
        <v>7322</v>
      </c>
      <c r="D794" s="88" t="s">
        <v>7323</v>
      </c>
    </row>
    <row r="795" spans="3:4" ht="16.5">
      <c r="C795" t="s">
        <v>7324</v>
      </c>
      <c r="D795" s="88" t="s">
        <v>7325</v>
      </c>
    </row>
    <row r="796" spans="3:4" ht="16.5">
      <c r="C796" t="s">
        <v>7326</v>
      </c>
      <c r="D796" s="88" t="s">
        <v>7327</v>
      </c>
    </row>
    <row r="797" spans="3:4" ht="16.5">
      <c r="C797" t="s">
        <v>7328</v>
      </c>
      <c r="D797" s="88" t="s">
        <v>7329</v>
      </c>
    </row>
    <row r="798" spans="3:4" ht="16.5">
      <c r="C798" t="s">
        <v>7330</v>
      </c>
      <c r="D798" s="88" t="s">
        <v>7331</v>
      </c>
    </row>
    <row r="799" spans="3:4" ht="16.5">
      <c r="C799" t="s">
        <v>7332</v>
      </c>
      <c r="D799" s="88" t="s">
        <v>7333</v>
      </c>
    </row>
    <row r="800" spans="3:4" ht="16.5">
      <c r="C800" t="s">
        <v>7334</v>
      </c>
      <c r="D800" s="88" t="s">
        <v>7335</v>
      </c>
    </row>
    <row r="801" spans="3:4" ht="16.5">
      <c r="C801" t="s">
        <v>7336</v>
      </c>
      <c r="D801" s="88" t="s">
        <v>7337</v>
      </c>
    </row>
    <row r="802" spans="3:4" ht="16.5">
      <c r="C802" t="s">
        <v>7338</v>
      </c>
      <c r="D802" s="88" t="s">
        <v>7339</v>
      </c>
    </row>
    <row r="803" spans="3:4" ht="12" customHeight="1">
      <c r="C803" t="s">
        <v>7340</v>
      </c>
      <c r="D803" s="88" t="s">
        <v>7341</v>
      </c>
    </row>
    <row r="804" spans="3:4" ht="16.5" customHeight="1">
      <c r="C804" t="s">
        <v>7342</v>
      </c>
      <c r="D804" s="88" t="s">
        <v>7343</v>
      </c>
    </row>
    <row r="805" spans="3:4">
      <c r="C805" s="90" t="s">
        <v>7344</v>
      </c>
      <c r="D805" s="88" t="s">
        <v>7345</v>
      </c>
    </row>
    <row r="806" spans="3:4">
      <c r="C806" s="90" t="s">
        <v>7346</v>
      </c>
      <c r="D806" s="88" t="s">
        <v>7347</v>
      </c>
    </row>
    <row r="807" spans="3:4">
      <c r="C807" s="90" t="s">
        <v>7348</v>
      </c>
      <c r="D807" s="88" t="s">
        <v>7349</v>
      </c>
    </row>
    <row r="808" spans="3:4">
      <c r="C808" s="90" t="s">
        <v>7350</v>
      </c>
      <c r="D808" s="88" t="s">
        <v>7351</v>
      </c>
    </row>
    <row r="809" spans="3:4">
      <c r="C809" s="90" t="s">
        <v>7352</v>
      </c>
      <c r="D809" s="88" t="s">
        <v>7353</v>
      </c>
    </row>
    <row r="810" spans="3:4">
      <c r="C810" s="90" t="s">
        <v>7354</v>
      </c>
      <c r="D810" s="88" t="s">
        <v>7355</v>
      </c>
    </row>
    <row r="811" spans="3:4">
      <c r="C811" s="90" t="s">
        <v>7356</v>
      </c>
      <c r="D811" s="88" t="s">
        <v>7357</v>
      </c>
    </row>
    <row r="812" spans="3:4">
      <c r="C812" s="90" t="s">
        <v>7358</v>
      </c>
      <c r="D812" s="88" t="s">
        <v>7359</v>
      </c>
    </row>
    <row r="813" spans="3:4">
      <c r="C813" s="90" t="s">
        <v>7360</v>
      </c>
      <c r="D813" s="88" t="s">
        <v>7361</v>
      </c>
    </row>
    <row r="814" spans="3:4">
      <c r="C814" s="90" t="s">
        <v>7362</v>
      </c>
      <c r="D814" s="88" t="s">
        <v>7363</v>
      </c>
    </row>
    <row r="815" spans="3:4">
      <c r="C815" s="90" t="s">
        <v>7364</v>
      </c>
      <c r="D815" s="88" t="s">
        <v>7365</v>
      </c>
    </row>
    <row r="816" spans="3:4">
      <c r="C816" s="90" t="s">
        <v>7366</v>
      </c>
      <c r="D816" s="88" t="s">
        <v>7367</v>
      </c>
    </row>
    <row r="817" spans="3:4">
      <c r="C817" s="90" t="s">
        <v>7368</v>
      </c>
      <c r="D817" s="88" t="s">
        <v>7369</v>
      </c>
    </row>
    <row r="818" spans="3:4">
      <c r="C818" s="90" t="s">
        <v>7370</v>
      </c>
      <c r="D818" s="88" t="s">
        <v>7371</v>
      </c>
    </row>
    <row r="819" spans="3:4">
      <c r="C819" s="90" t="s">
        <v>7372</v>
      </c>
      <c r="D819" s="88" t="s">
        <v>7373</v>
      </c>
    </row>
    <row r="820" spans="3:4">
      <c r="C820" s="90" t="s">
        <v>7374</v>
      </c>
      <c r="D820" s="88" t="s">
        <v>7375</v>
      </c>
    </row>
    <row r="821" spans="3:4">
      <c r="C821" s="90" t="s">
        <v>7376</v>
      </c>
      <c r="D821" s="88" t="s">
        <v>7377</v>
      </c>
    </row>
    <row r="822" spans="3:4">
      <c r="C822" s="90" t="s">
        <v>7378</v>
      </c>
      <c r="D822" s="88" t="s">
        <v>7379</v>
      </c>
    </row>
    <row r="823" spans="3:4">
      <c r="C823" s="90" t="s">
        <v>7380</v>
      </c>
      <c r="D823" s="88" t="s">
        <v>7381</v>
      </c>
    </row>
    <row r="824" spans="3:4">
      <c r="C824" s="90" t="s">
        <v>7382</v>
      </c>
      <c r="D824" s="88" t="s">
        <v>7383</v>
      </c>
    </row>
    <row r="825" spans="3:4">
      <c r="C825" s="90" t="s">
        <v>7384</v>
      </c>
      <c r="D825" s="88" t="s">
        <v>7385</v>
      </c>
    </row>
    <row r="826" spans="3:4">
      <c r="C826" s="90" t="s">
        <v>7386</v>
      </c>
      <c r="D826" s="88" t="s">
        <v>7387</v>
      </c>
    </row>
    <row r="827" spans="3:4">
      <c r="C827" s="90" t="s">
        <v>7388</v>
      </c>
      <c r="D827" s="88" t="s">
        <v>7389</v>
      </c>
    </row>
    <row r="828" spans="3:4">
      <c r="C828" s="90" t="s">
        <v>7390</v>
      </c>
      <c r="D828" s="88" t="s">
        <v>7391</v>
      </c>
    </row>
    <row r="829" spans="3:4">
      <c r="C829" s="90" t="s">
        <v>7392</v>
      </c>
      <c r="D829" s="88" t="s">
        <v>7393</v>
      </c>
    </row>
    <row r="830" spans="3:4">
      <c r="C830" s="90" t="s">
        <v>7394</v>
      </c>
      <c r="D830" s="88" t="s">
        <v>7395</v>
      </c>
    </row>
    <row r="831" spans="3:4">
      <c r="C831" s="90" t="s">
        <v>7396</v>
      </c>
      <c r="D831" s="88" t="s">
        <v>7397</v>
      </c>
    </row>
    <row r="832" spans="3:4">
      <c r="C832" s="90" t="s">
        <v>7398</v>
      </c>
      <c r="D832" s="88" t="s">
        <v>7399</v>
      </c>
    </row>
    <row r="833" spans="3:4">
      <c r="C833" s="90" t="s">
        <v>7400</v>
      </c>
      <c r="D833" s="88" t="s">
        <v>7401</v>
      </c>
    </row>
    <row r="834" spans="3:4">
      <c r="C834" s="90" t="s">
        <v>7402</v>
      </c>
      <c r="D834" s="88" t="s">
        <v>7403</v>
      </c>
    </row>
    <row r="835" spans="3:4">
      <c r="C835" s="90" t="s">
        <v>7404</v>
      </c>
      <c r="D835" s="88" t="s">
        <v>7405</v>
      </c>
    </row>
    <row r="836" spans="3:4">
      <c r="C836" s="90" t="s">
        <v>7406</v>
      </c>
      <c r="D836" s="88" t="s">
        <v>7407</v>
      </c>
    </row>
    <row r="837" spans="3:4">
      <c r="C837" s="90" t="s">
        <v>7408</v>
      </c>
      <c r="D837" s="88" t="s">
        <v>7409</v>
      </c>
    </row>
    <row r="838" spans="3:4">
      <c r="C838" s="90" t="s">
        <v>7410</v>
      </c>
      <c r="D838" s="88" t="s">
        <v>7411</v>
      </c>
    </row>
    <row r="839" spans="3:4">
      <c r="C839" s="90" t="s">
        <v>7412</v>
      </c>
      <c r="D839" s="88" t="s">
        <v>7413</v>
      </c>
    </row>
    <row r="840" spans="3:4">
      <c r="C840" s="90" t="s">
        <v>7414</v>
      </c>
      <c r="D840" s="88" t="s">
        <v>7415</v>
      </c>
    </row>
    <row r="841" spans="3:4">
      <c r="C841" s="90" t="s">
        <v>7416</v>
      </c>
      <c r="D841" s="88" t="s">
        <v>7417</v>
      </c>
    </row>
    <row r="842" spans="3:4">
      <c r="C842" s="90" t="s">
        <v>7418</v>
      </c>
      <c r="D842" s="88" t="s">
        <v>7419</v>
      </c>
    </row>
    <row r="843" spans="3:4">
      <c r="C843" s="90" t="s">
        <v>7420</v>
      </c>
      <c r="D843" s="88" t="s">
        <v>7421</v>
      </c>
    </row>
    <row r="844" spans="3:4">
      <c r="C844" s="90" t="s">
        <v>7422</v>
      </c>
      <c r="D844" s="88" t="s">
        <v>7423</v>
      </c>
    </row>
    <row r="845" spans="3:4">
      <c r="C845" s="90" t="s">
        <v>7424</v>
      </c>
      <c r="D845" s="88" t="s">
        <v>7425</v>
      </c>
    </row>
    <row r="846" spans="3:4">
      <c r="C846" s="90" t="s">
        <v>7426</v>
      </c>
      <c r="D846" s="88" t="s">
        <v>7427</v>
      </c>
    </row>
    <row r="847" spans="3:4">
      <c r="C847" s="90" t="s">
        <v>7428</v>
      </c>
      <c r="D847" s="88" t="s">
        <v>7429</v>
      </c>
    </row>
    <row r="848" spans="3:4">
      <c r="C848" s="90" t="s">
        <v>7430</v>
      </c>
      <c r="D848" s="88" t="s">
        <v>7431</v>
      </c>
    </row>
    <row r="849" spans="3:4">
      <c r="C849" s="90" t="s">
        <v>7432</v>
      </c>
      <c r="D849" s="88" t="s">
        <v>7433</v>
      </c>
    </row>
    <row r="850" spans="3:4">
      <c r="C850" s="90" t="s">
        <v>7434</v>
      </c>
      <c r="D850" s="88" t="s">
        <v>7435</v>
      </c>
    </row>
    <row r="851" spans="3:4">
      <c r="C851" s="90" t="s">
        <v>7436</v>
      </c>
      <c r="D851" s="88" t="s">
        <v>7437</v>
      </c>
    </row>
    <row r="852" spans="3:4">
      <c r="C852" s="90" t="s">
        <v>7438</v>
      </c>
      <c r="D852" s="88" t="s">
        <v>7439</v>
      </c>
    </row>
    <row r="853" spans="3:4">
      <c r="C853" s="90" t="s">
        <v>7440</v>
      </c>
      <c r="D853" s="88" t="s">
        <v>7441</v>
      </c>
    </row>
    <row r="854" spans="3:4">
      <c r="C854" s="90" t="s">
        <v>7442</v>
      </c>
      <c r="D854" s="88" t="s">
        <v>7443</v>
      </c>
    </row>
    <row r="855" spans="3:4">
      <c r="C855" s="90" t="s">
        <v>7444</v>
      </c>
      <c r="D855" s="88" t="s">
        <v>7445</v>
      </c>
    </row>
    <row r="856" spans="3:4">
      <c r="C856" s="90" t="s">
        <v>7446</v>
      </c>
      <c r="D856" s="88" t="s">
        <v>7447</v>
      </c>
    </row>
    <row r="857" spans="3:4">
      <c r="C857" s="90" t="s">
        <v>7448</v>
      </c>
      <c r="D857" s="88" t="s">
        <v>7449</v>
      </c>
    </row>
    <row r="858" spans="3:4">
      <c r="C858" s="90" t="s">
        <v>7450</v>
      </c>
      <c r="D858" s="88" t="s">
        <v>7451</v>
      </c>
    </row>
    <row r="859" spans="3:4">
      <c r="C859" s="90" t="s">
        <v>7452</v>
      </c>
      <c r="D859" s="88" t="s">
        <v>7453</v>
      </c>
    </row>
    <row r="860" spans="3:4">
      <c r="C860" s="90" t="s">
        <v>7454</v>
      </c>
      <c r="D860" s="88" t="s">
        <v>7455</v>
      </c>
    </row>
    <row r="861" spans="3:4">
      <c r="C861" s="90" t="s">
        <v>7456</v>
      </c>
      <c r="D861" s="88" t="s">
        <v>7457</v>
      </c>
    </row>
    <row r="862" spans="3:4">
      <c r="C862" s="90" t="s">
        <v>7458</v>
      </c>
      <c r="D862" s="88" t="s">
        <v>7459</v>
      </c>
    </row>
    <row r="863" spans="3:4">
      <c r="C863" s="90" t="s">
        <v>7460</v>
      </c>
      <c r="D863" s="88" t="s">
        <v>7461</v>
      </c>
    </row>
    <row r="864" spans="3:4">
      <c r="C864" s="90" t="s">
        <v>7462</v>
      </c>
      <c r="D864" s="88" t="s">
        <v>7463</v>
      </c>
    </row>
    <row r="865" spans="3:4">
      <c r="C865" s="90" t="s">
        <v>7464</v>
      </c>
      <c r="D865" s="88" t="s">
        <v>7465</v>
      </c>
    </row>
    <row r="866" spans="3:4">
      <c r="C866" s="90" t="s">
        <v>7466</v>
      </c>
      <c r="D866" s="88" t="s">
        <v>7467</v>
      </c>
    </row>
    <row r="867" spans="3:4">
      <c r="C867" s="90" t="s">
        <v>7468</v>
      </c>
      <c r="D867" s="88" t="s">
        <v>7469</v>
      </c>
    </row>
    <row r="868" spans="3:4">
      <c r="C868" s="90" t="s">
        <v>7470</v>
      </c>
      <c r="D868" s="88" t="s">
        <v>7471</v>
      </c>
    </row>
    <row r="869" spans="3:4">
      <c r="C869" s="90" t="s">
        <v>7472</v>
      </c>
      <c r="D869" s="88" t="s">
        <v>7473</v>
      </c>
    </row>
    <row r="870" spans="3:4">
      <c r="C870" s="90" t="s">
        <v>7474</v>
      </c>
      <c r="D870" s="88" t="s">
        <v>7475</v>
      </c>
    </row>
    <row r="871" spans="3:4">
      <c r="C871" s="90" t="s">
        <v>7476</v>
      </c>
      <c r="D871" s="88" t="s">
        <v>7477</v>
      </c>
    </row>
    <row r="872" spans="3:4">
      <c r="C872" s="90" t="s">
        <v>7478</v>
      </c>
      <c r="D872" s="88" t="s">
        <v>7479</v>
      </c>
    </row>
    <row r="873" spans="3:4">
      <c r="C873" s="90" t="s">
        <v>7480</v>
      </c>
      <c r="D873" s="88" t="s">
        <v>7481</v>
      </c>
    </row>
    <row r="874" spans="3:4">
      <c r="C874" s="90" t="s">
        <v>7482</v>
      </c>
      <c r="D874" s="88" t="s">
        <v>7483</v>
      </c>
    </row>
    <row r="875" spans="3:4">
      <c r="C875" s="90" t="s">
        <v>7484</v>
      </c>
      <c r="D875" s="88" t="s">
        <v>7485</v>
      </c>
    </row>
    <row r="876" spans="3:4">
      <c r="C876" s="90" t="s">
        <v>7486</v>
      </c>
      <c r="D876" s="88" t="s">
        <v>7487</v>
      </c>
    </row>
    <row r="877" spans="3:4">
      <c r="C877" s="90" t="s">
        <v>7488</v>
      </c>
      <c r="D877" s="88" t="s">
        <v>7489</v>
      </c>
    </row>
    <row r="878" spans="3:4">
      <c r="C878" s="90" t="s">
        <v>7490</v>
      </c>
      <c r="D878" s="88" t="s">
        <v>7491</v>
      </c>
    </row>
    <row r="879" spans="3:4">
      <c r="C879" s="90" t="s">
        <v>7492</v>
      </c>
      <c r="D879" s="88" t="s">
        <v>7493</v>
      </c>
    </row>
    <row r="880" spans="3:4">
      <c r="C880" s="90" t="s">
        <v>7494</v>
      </c>
      <c r="D880" s="88" t="s">
        <v>7495</v>
      </c>
    </row>
    <row r="881" spans="3:4">
      <c r="C881" s="90" t="s">
        <v>7496</v>
      </c>
      <c r="D881" s="88" t="s">
        <v>7497</v>
      </c>
    </row>
    <row r="882" spans="3:4">
      <c r="C882" s="90" t="s">
        <v>7498</v>
      </c>
      <c r="D882" s="88" t="s">
        <v>7499</v>
      </c>
    </row>
    <row r="883" spans="3:4">
      <c r="C883" s="90" t="s">
        <v>7500</v>
      </c>
      <c r="D883" s="88" t="s">
        <v>7501</v>
      </c>
    </row>
    <row r="884" spans="3:4">
      <c r="C884" s="90" t="s">
        <v>7502</v>
      </c>
      <c r="D884" s="88" t="s">
        <v>7503</v>
      </c>
    </row>
    <row r="885" spans="3:4">
      <c r="C885" s="90" t="s">
        <v>7504</v>
      </c>
      <c r="D885" s="88" t="s">
        <v>7505</v>
      </c>
    </row>
    <row r="886" spans="3:4">
      <c r="C886" s="90" t="s">
        <v>7506</v>
      </c>
      <c r="D886" s="88" t="s">
        <v>7507</v>
      </c>
    </row>
    <row r="887" spans="3:4">
      <c r="C887" s="90" t="s">
        <v>7508</v>
      </c>
      <c r="D887" s="88" t="s">
        <v>7509</v>
      </c>
    </row>
    <row r="888" spans="3:4">
      <c r="C888" s="90" t="s">
        <v>7510</v>
      </c>
      <c r="D888" s="88" t="s">
        <v>7511</v>
      </c>
    </row>
    <row r="889" spans="3:4">
      <c r="C889" s="90" t="s">
        <v>7512</v>
      </c>
      <c r="D889" s="88" t="s">
        <v>7513</v>
      </c>
    </row>
    <row r="890" spans="3:4">
      <c r="C890" s="90" t="s">
        <v>7514</v>
      </c>
      <c r="D890" s="88" t="s">
        <v>7515</v>
      </c>
    </row>
    <row r="891" spans="3:4">
      <c r="C891" s="90" t="s">
        <v>7516</v>
      </c>
      <c r="D891" s="88" t="s">
        <v>7517</v>
      </c>
    </row>
    <row r="892" spans="3:4">
      <c r="C892" s="90" t="s">
        <v>7518</v>
      </c>
      <c r="D892" s="88" t="s">
        <v>7519</v>
      </c>
    </row>
    <row r="893" spans="3:4">
      <c r="C893" s="90" t="s">
        <v>7520</v>
      </c>
      <c r="D893" s="88" t="s">
        <v>7521</v>
      </c>
    </row>
    <row r="894" spans="3:4">
      <c r="C894" s="90" t="s">
        <v>7522</v>
      </c>
      <c r="D894" s="88" t="s">
        <v>7523</v>
      </c>
    </row>
    <row r="895" spans="3:4">
      <c r="C895" s="90" t="s">
        <v>7524</v>
      </c>
      <c r="D895" s="88" t="s">
        <v>7525</v>
      </c>
    </row>
    <row r="896" spans="3:4">
      <c r="C896" s="90" t="s">
        <v>7526</v>
      </c>
      <c r="D896" s="88" t="s">
        <v>7527</v>
      </c>
    </row>
    <row r="897" spans="3:4">
      <c r="C897" s="90" t="s">
        <v>7528</v>
      </c>
      <c r="D897" s="88" t="s">
        <v>7529</v>
      </c>
    </row>
    <row r="898" spans="3:4">
      <c r="C898" s="90" t="s">
        <v>7530</v>
      </c>
      <c r="D898" s="88" t="s">
        <v>7531</v>
      </c>
    </row>
    <row r="899" spans="3:4">
      <c r="C899" s="90" t="s">
        <v>7532</v>
      </c>
      <c r="D899" s="88" t="s">
        <v>7533</v>
      </c>
    </row>
    <row r="900" spans="3:4">
      <c r="C900" s="90" t="s">
        <v>7534</v>
      </c>
      <c r="D900" s="88" t="s">
        <v>7535</v>
      </c>
    </row>
    <row r="901" spans="3:4">
      <c r="C901" s="90" t="s">
        <v>7536</v>
      </c>
      <c r="D901" s="88" t="s">
        <v>7537</v>
      </c>
    </row>
    <row r="902" spans="3:4">
      <c r="C902" s="90" t="s">
        <v>7538</v>
      </c>
      <c r="D902" s="88" t="s">
        <v>7539</v>
      </c>
    </row>
    <row r="903" spans="3:4">
      <c r="C903" s="90" t="s">
        <v>7540</v>
      </c>
      <c r="D903" s="88" t="s">
        <v>7541</v>
      </c>
    </row>
    <row r="904" spans="3:4">
      <c r="C904" s="90" t="s">
        <v>7542</v>
      </c>
      <c r="D904" s="88" t="s">
        <v>7543</v>
      </c>
    </row>
    <row r="905" spans="3:4">
      <c r="C905" s="90" t="s">
        <v>7544</v>
      </c>
      <c r="D905" s="88" t="s">
        <v>7545</v>
      </c>
    </row>
    <row r="906" spans="3:4">
      <c r="C906" s="90" t="s">
        <v>7546</v>
      </c>
      <c r="D906" s="88" t="s">
        <v>7547</v>
      </c>
    </row>
    <row r="907" spans="3:4">
      <c r="C907" s="90" t="s">
        <v>7548</v>
      </c>
      <c r="D907" s="88" t="s">
        <v>7549</v>
      </c>
    </row>
    <row r="908" spans="3:4">
      <c r="C908" s="90" t="s">
        <v>7550</v>
      </c>
      <c r="D908" s="88" t="s">
        <v>7551</v>
      </c>
    </row>
    <row r="909" spans="3:4">
      <c r="C909" s="90" t="s">
        <v>7552</v>
      </c>
      <c r="D909" s="88" t="s">
        <v>7553</v>
      </c>
    </row>
    <row r="910" spans="3:4">
      <c r="C910" s="90" t="s">
        <v>7554</v>
      </c>
      <c r="D910" s="88" t="s">
        <v>7555</v>
      </c>
    </row>
    <row r="911" spans="3:4">
      <c r="C911" s="90" t="s">
        <v>7556</v>
      </c>
      <c r="D911" s="88" t="s">
        <v>7557</v>
      </c>
    </row>
    <row r="912" spans="3:4">
      <c r="C912" s="90" t="s">
        <v>7558</v>
      </c>
      <c r="D912" s="88" t="s">
        <v>7559</v>
      </c>
    </row>
    <row r="913" spans="3:4">
      <c r="C913" s="90" t="s">
        <v>7560</v>
      </c>
      <c r="D913" s="88" t="s">
        <v>7561</v>
      </c>
    </row>
    <row r="914" spans="3:4">
      <c r="C914" s="90" t="s">
        <v>7562</v>
      </c>
      <c r="D914" s="88" t="s">
        <v>7563</v>
      </c>
    </row>
    <row r="915" spans="3:4">
      <c r="C915" s="90" t="s">
        <v>7564</v>
      </c>
      <c r="D915" s="88" t="s">
        <v>7565</v>
      </c>
    </row>
    <row r="916" spans="3:4">
      <c r="C916" s="90" t="s">
        <v>7566</v>
      </c>
      <c r="D916" s="88" t="s">
        <v>7567</v>
      </c>
    </row>
    <row r="917" spans="3:4">
      <c r="C917" s="90" t="s">
        <v>7568</v>
      </c>
      <c r="D917" s="88" t="s">
        <v>7569</v>
      </c>
    </row>
    <row r="918" spans="3:4">
      <c r="C918" s="90" t="s">
        <v>7570</v>
      </c>
      <c r="D918" s="88" t="s">
        <v>7571</v>
      </c>
    </row>
    <row r="919" spans="3:4">
      <c r="C919" s="90" t="s">
        <v>7572</v>
      </c>
      <c r="D919" s="88" t="s">
        <v>7573</v>
      </c>
    </row>
    <row r="920" spans="3:4">
      <c r="C920" s="90" t="s">
        <v>7574</v>
      </c>
      <c r="D920" s="88" t="s">
        <v>7575</v>
      </c>
    </row>
    <row r="921" spans="3:4">
      <c r="C921" s="90" t="s">
        <v>7576</v>
      </c>
      <c r="D921" s="88" t="s">
        <v>7577</v>
      </c>
    </row>
    <row r="922" spans="3:4">
      <c r="C922" s="90" t="s">
        <v>7578</v>
      </c>
      <c r="D922" s="88" t="s">
        <v>7579</v>
      </c>
    </row>
    <row r="923" spans="3:4">
      <c r="C923" s="90" t="s">
        <v>7580</v>
      </c>
      <c r="D923" s="88" t="s">
        <v>7581</v>
      </c>
    </row>
    <row r="924" spans="3:4">
      <c r="C924" s="90" t="s">
        <v>7582</v>
      </c>
      <c r="D924" s="88" t="s">
        <v>7583</v>
      </c>
    </row>
    <row r="925" spans="3:4">
      <c r="C925" s="90" t="s">
        <v>7584</v>
      </c>
      <c r="D925" s="88" t="s">
        <v>7585</v>
      </c>
    </row>
    <row r="926" spans="3:4">
      <c r="C926" s="90" t="s">
        <v>7586</v>
      </c>
      <c r="D926" s="88" t="s">
        <v>7587</v>
      </c>
    </row>
    <row r="927" spans="3:4">
      <c r="C927" s="90" t="s">
        <v>7588</v>
      </c>
      <c r="D927" s="88" t="s">
        <v>7589</v>
      </c>
    </row>
    <row r="928" spans="3:4">
      <c r="C928" s="90" t="s">
        <v>7590</v>
      </c>
      <c r="D928" s="88" t="s">
        <v>7591</v>
      </c>
    </row>
    <row r="929" spans="3:4">
      <c r="C929" s="90" t="s">
        <v>7592</v>
      </c>
      <c r="D929" s="88" t="s">
        <v>7593</v>
      </c>
    </row>
    <row r="930" spans="3:4">
      <c r="C930" s="90" t="s">
        <v>7594</v>
      </c>
      <c r="D930" s="88" t="s">
        <v>7595</v>
      </c>
    </row>
    <row r="931" spans="3:4">
      <c r="C931" s="90" t="s">
        <v>7596</v>
      </c>
      <c r="D931" s="88" t="s">
        <v>7597</v>
      </c>
    </row>
    <row r="932" spans="3:4">
      <c r="C932" s="90" t="s">
        <v>7598</v>
      </c>
      <c r="D932" s="88" t="s">
        <v>7599</v>
      </c>
    </row>
    <row r="933" spans="3:4">
      <c r="C933" s="90" t="s">
        <v>7600</v>
      </c>
      <c r="D933" s="88" t="s">
        <v>7601</v>
      </c>
    </row>
    <row r="934" spans="3:4">
      <c r="C934" s="90" t="s">
        <v>7602</v>
      </c>
      <c r="D934" s="88" t="s">
        <v>7603</v>
      </c>
    </row>
    <row r="935" spans="3:4">
      <c r="C935" s="90" t="s">
        <v>7604</v>
      </c>
      <c r="D935" s="88" t="s">
        <v>7605</v>
      </c>
    </row>
    <row r="936" spans="3:4">
      <c r="C936" s="90" t="s">
        <v>7606</v>
      </c>
      <c r="D936" s="88" t="s">
        <v>7607</v>
      </c>
    </row>
    <row r="937" spans="3:4">
      <c r="C937" s="90" t="s">
        <v>7608</v>
      </c>
      <c r="D937" s="88" t="s">
        <v>7609</v>
      </c>
    </row>
    <row r="938" spans="3:4">
      <c r="C938" s="90" t="s">
        <v>7610</v>
      </c>
      <c r="D938" s="88" t="s">
        <v>7611</v>
      </c>
    </row>
    <row r="939" spans="3:4">
      <c r="C939" s="90" t="s">
        <v>7612</v>
      </c>
      <c r="D939" s="88" t="s">
        <v>7613</v>
      </c>
    </row>
    <row r="940" spans="3:4">
      <c r="C940" s="90" t="s">
        <v>7614</v>
      </c>
      <c r="D940" s="88" t="s">
        <v>7615</v>
      </c>
    </row>
    <row r="941" spans="3:4">
      <c r="C941" s="90" t="s">
        <v>7616</v>
      </c>
      <c r="D941" s="88" t="s">
        <v>7617</v>
      </c>
    </row>
    <row r="942" spans="3:4">
      <c r="C942" s="90" t="s">
        <v>7618</v>
      </c>
      <c r="D942" s="88" t="s">
        <v>7619</v>
      </c>
    </row>
    <row r="943" spans="3:4">
      <c r="C943" s="90" t="s">
        <v>7620</v>
      </c>
      <c r="D943" s="88" t="s">
        <v>7621</v>
      </c>
    </row>
    <row r="944" spans="3:4">
      <c r="C944" s="90" t="s">
        <v>7622</v>
      </c>
      <c r="D944" s="88" t="s">
        <v>7623</v>
      </c>
    </row>
    <row r="945" spans="3:4">
      <c r="C945" s="90" t="s">
        <v>7624</v>
      </c>
      <c r="D945" s="88" t="s">
        <v>7625</v>
      </c>
    </row>
    <row r="946" spans="3:4">
      <c r="C946" s="90" t="s">
        <v>7626</v>
      </c>
      <c r="D946" s="88" t="s">
        <v>7627</v>
      </c>
    </row>
    <row r="947" spans="3:4">
      <c r="C947" s="90" t="s">
        <v>7628</v>
      </c>
      <c r="D947" s="88" t="s">
        <v>7629</v>
      </c>
    </row>
    <row r="948" spans="3:4">
      <c r="C948" s="90" t="s">
        <v>7630</v>
      </c>
      <c r="D948" s="88" t="s">
        <v>7631</v>
      </c>
    </row>
    <row r="949" spans="3:4">
      <c r="C949" s="90" t="s">
        <v>7632</v>
      </c>
      <c r="D949" s="88" t="s">
        <v>7633</v>
      </c>
    </row>
    <row r="950" spans="3:4">
      <c r="C950" s="90" t="s">
        <v>7634</v>
      </c>
      <c r="D950" s="88" t="s">
        <v>7635</v>
      </c>
    </row>
    <row r="951" spans="3:4">
      <c r="C951" s="90" t="s">
        <v>7636</v>
      </c>
      <c r="D951" s="88" t="s">
        <v>7637</v>
      </c>
    </row>
    <row r="952" spans="3:4">
      <c r="C952" s="90" t="s">
        <v>7638</v>
      </c>
      <c r="D952" s="88" t="s">
        <v>7639</v>
      </c>
    </row>
    <row r="953" spans="3:4">
      <c r="C953" s="90" t="s">
        <v>7640</v>
      </c>
      <c r="D953" s="88" t="s">
        <v>7641</v>
      </c>
    </row>
    <row r="954" spans="3:4">
      <c r="C954" s="90" t="s">
        <v>7642</v>
      </c>
      <c r="D954" s="88" t="s">
        <v>7643</v>
      </c>
    </row>
    <row r="955" spans="3:4">
      <c r="C955" s="90" t="s">
        <v>7644</v>
      </c>
      <c r="D955" s="88" t="s">
        <v>7645</v>
      </c>
    </row>
    <row r="956" spans="3:4">
      <c r="C956" s="90" t="s">
        <v>7646</v>
      </c>
      <c r="D956" s="88" t="s">
        <v>7647</v>
      </c>
    </row>
    <row r="957" spans="3:4">
      <c r="C957" s="90" t="s">
        <v>7648</v>
      </c>
      <c r="D957" s="88" t="s">
        <v>7649</v>
      </c>
    </row>
    <row r="958" spans="3:4">
      <c r="C958" s="90" t="s">
        <v>7650</v>
      </c>
      <c r="D958" s="88" t="s">
        <v>7651</v>
      </c>
    </row>
    <row r="959" spans="3:4">
      <c r="C959" s="90" t="s">
        <v>7652</v>
      </c>
      <c r="D959" s="88" t="s">
        <v>7653</v>
      </c>
    </row>
    <row r="960" spans="3:4">
      <c r="C960" s="90" t="s">
        <v>7654</v>
      </c>
      <c r="D960" s="88" t="s">
        <v>7655</v>
      </c>
    </row>
    <row r="961" spans="3:4">
      <c r="C961" s="90" t="s">
        <v>7656</v>
      </c>
      <c r="D961" s="88" t="s">
        <v>7657</v>
      </c>
    </row>
    <row r="962" spans="3:4">
      <c r="C962" s="90" t="s">
        <v>7658</v>
      </c>
      <c r="D962" s="88" t="s">
        <v>7659</v>
      </c>
    </row>
    <row r="963" spans="3:4">
      <c r="C963" s="90" t="s">
        <v>7660</v>
      </c>
      <c r="D963" s="88" t="s">
        <v>7661</v>
      </c>
    </row>
    <row r="964" spans="3:4">
      <c r="C964" s="90" t="s">
        <v>7662</v>
      </c>
      <c r="D964" s="88" t="s">
        <v>7663</v>
      </c>
    </row>
    <row r="965" spans="3:4">
      <c r="C965" s="90" t="s">
        <v>7664</v>
      </c>
      <c r="D965" s="88" t="s">
        <v>7665</v>
      </c>
    </row>
    <row r="966" spans="3:4">
      <c r="C966" s="90" t="s">
        <v>7666</v>
      </c>
      <c r="D966" s="88" t="s">
        <v>7667</v>
      </c>
    </row>
    <row r="967" spans="3:4">
      <c r="C967" s="90" t="s">
        <v>7668</v>
      </c>
      <c r="D967" s="88" t="s">
        <v>7669</v>
      </c>
    </row>
    <row r="968" spans="3:4">
      <c r="C968" s="90" t="s">
        <v>7670</v>
      </c>
      <c r="D968" s="88" t="s">
        <v>7671</v>
      </c>
    </row>
    <row r="969" spans="3:4">
      <c r="C969" s="90" t="s">
        <v>7672</v>
      </c>
      <c r="D969" s="88" t="s">
        <v>7673</v>
      </c>
    </row>
    <row r="970" spans="3:4">
      <c r="C970" s="90" t="s">
        <v>7674</v>
      </c>
      <c r="D970" s="88" t="s">
        <v>7675</v>
      </c>
    </row>
    <row r="971" spans="3:4">
      <c r="C971" s="90" t="s">
        <v>7676</v>
      </c>
      <c r="D971" s="88" t="s">
        <v>7677</v>
      </c>
    </row>
    <row r="972" spans="3:4">
      <c r="C972" s="90" t="s">
        <v>7678</v>
      </c>
      <c r="D972" s="88" t="s">
        <v>7679</v>
      </c>
    </row>
    <row r="973" spans="3:4">
      <c r="C973" s="90" t="s">
        <v>7680</v>
      </c>
      <c r="D973" s="88" t="s">
        <v>7681</v>
      </c>
    </row>
    <row r="974" spans="3:4">
      <c r="C974" s="90" t="s">
        <v>7682</v>
      </c>
      <c r="D974" s="88" t="s">
        <v>7683</v>
      </c>
    </row>
    <row r="975" spans="3:4">
      <c r="C975" s="90" t="s">
        <v>7684</v>
      </c>
      <c r="D975" s="88" t="s">
        <v>7685</v>
      </c>
    </row>
    <row r="976" spans="3:4">
      <c r="C976" s="90" t="s">
        <v>7686</v>
      </c>
      <c r="D976" s="88" t="s">
        <v>7687</v>
      </c>
    </row>
    <row r="977" spans="3:4">
      <c r="C977" s="90" t="s">
        <v>7688</v>
      </c>
      <c r="D977" s="88" t="s">
        <v>7689</v>
      </c>
    </row>
    <row r="978" spans="3:4">
      <c r="C978" s="90" t="s">
        <v>7690</v>
      </c>
      <c r="D978" s="88" t="s">
        <v>7691</v>
      </c>
    </row>
    <row r="979" spans="3:4">
      <c r="C979" s="90" t="s">
        <v>7692</v>
      </c>
      <c r="D979" s="88" t="s">
        <v>7693</v>
      </c>
    </row>
    <row r="980" spans="3:4">
      <c r="C980" s="90" t="s">
        <v>7694</v>
      </c>
      <c r="D980" s="88" t="s">
        <v>7695</v>
      </c>
    </row>
    <row r="981" spans="3:4">
      <c r="C981" s="90" t="s">
        <v>7696</v>
      </c>
      <c r="D981" s="88" t="s">
        <v>7697</v>
      </c>
    </row>
    <row r="982" spans="3:4">
      <c r="C982" s="90" t="s">
        <v>7698</v>
      </c>
      <c r="D982" s="88" t="s">
        <v>7699</v>
      </c>
    </row>
    <row r="983" spans="3:4">
      <c r="C983" s="90" t="s">
        <v>7700</v>
      </c>
      <c r="D983" s="88" t="s">
        <v>7701</v>
      </c>
    </row>
    <row r="984" spans="3:4">
      <c r="C984" s="90" t="s">
        <v>7702</v>
      </c>
      <c r="D984" s="88" t="s">
        <v>7703</v>
      </c>
    </row>
    <row r="985" spans="3:4">
      <c r="C985" s="90" t="s">
        <v>7704</v>
      </c>
      <c r="D985" s="88" t="s">
        <v>7705</v>
      </c>
    </row>
    <row r="986" spans="3:4">
      <c r="C986" s="90" t="s">
        <v>7706</v>
      </c>
      <c r="D986" s="88" t="s">
        <v>7707</v>
      </c>
    </row>
    <row r="987" spans="3:4">
      <c r="C987" s="90" t="s">
        <v>7708</v>
      </c>
      <c r="D987" s="88" t="s">
        <v>7709</v>
      </c>
    </row>
    <row r="988" spans="3:4">
      <c r="C988" s="90" t="s">
        <v>7710</v>
      </c>
      <c r="D988" s="88" t="s">
        <v>7711</v>
      </c>
    </row>
    <row r="989" spans="3:4">
      <c r="C989" s="90" t="s">
        <v>7712</v>
      </c>
      <c r="D989" s="88" t="s">
        <v>7713</v>
      </c>
    </row>
    <row r="990" spans="3:4">
      <c r="C990" s="90" t="s">
        <v>7714</v>
      </c>
      <c r="D990" s="88" t="s">
        <v>7715</v>
      </c>
    </row>
    <row r="991" spans="3:4">
      <c r="C991" s="90" t="s">
        <v>7716</v>
      </c>
      <c r="D991" s="88" t="s">
        <v>7717</v>
      </c>
    </row>
    <row r="992" spans="3:4">
      <c r="C992" s="90" t="s">
        <v>7718</v>
      </c>
      <c r="D992" s="88" t="s">
        <v>7719</v>
      </c>
    </row>
    <row r="993" spans="3:4">
      <c r="C993" s="90" t="s">
        <v>7720</v>
      </c>
      <c r="D993" s="88" t="s">
        <v>7721</v>
      </c>
    </row>
    <row r="994" spans="3:4">
      <c r="C994" s="90" t="s">
        <v>7722</v>
      </c>
      <c r="D994" s="88" t="s">
        <v>7723</v>
      </c>
    </row>
    <row r="995" spans="3:4">
      <c r="C995" s="90" t="s">
        <v>7724</v>
      </c>
      <c r="D995" s="88" t="s">
        <v>7725</v>
      </c>
    </row>
    <row r="996" spans="3:4">
      <c r="C996" s="90" t="s">
        <v>7726</v>
      </c>
      <c r="D996" s="88" t="s">
        <v>7727</v>
      </c>
    </row>
    <row r="997" spans="3:4">
      <c r="C997" s="90" t="s">
        <v>7728</v>
      </c>
      <c r="D997" s="88" t="s">
        <v>7729</v>
      </c>
    </row>
    <row r="998" spans="3:4">
      <c r="C998" s="90" t="s">
        <v>7730</v>
      </c>
      <c r="D998" s="88" t="s">
        <v>7731</v>
      </c>
    </row>
    <row r="999" spans="3:4">
      <c r="C999" s="90" t="s">
        <v>7732</v>
      </c>
      <c r="D999" s="88" t="s">
        <v>7733</v>
      </c>
    </row>
    <row r="1000" spans="3:4">
      <c r="C1000" s="90" t="s">
        <v>7734</v>
      </c>
      <c r="D1000" s="88" t="s">
        <v>7735</v>
      </c>
    </row>
    <row r="1001" spans="3:4">
      <c r="C1001" s="90" t="s">
        <v>7736</v>
      </c>
      <c r="D1001" s="88" t="s">
        <v>7737</v>
      </c>
    </row>
    <row r="1002" spans="3:4">
      <c r="C1002" s="90" t="s">
        <v>7738</v>
      </c>
      <c r="D1002" s="88" t="s">
        <v>7739</v>
      </c>
    </row>
    <row r="1003" spans="3:4">
      <c r="C1003" s="90" t="s">
        <v>7740</v>
      </c>
      <c r="D1003" s="88" t="s">
        <v>7741</v>
      </c>
    </row>
    <row r="1004" spans="3:4">
      <c r="C1004" s="90" t="s">
        <v>7742</v>
      </c>
      <c r="D1004" s="88" t="s">
        <v>7743</v>
      </c>
    </row>
    <row r="1005" spans="3:4">
      <c r="C1005" s="90" t="s">
        <v>7744</v>
      </c>
      <c r="D1005" s="88" t="s">
        <v>7745</v>
      </c>
    </row>
    <row r="1006" spans="3:4">
      <c r="C1006" s="90" t="s">
        <v>7746</v>
      </c>
      <c r="D1006" s="88" t="s">
        <v>7747</v>
      </c>
    </row>
    <row r="1007" spans="3:4">
      <c r="C1007" s="90" t="s">
        <v>7748</v>
      </c>
      <c r="D1007" s="88" t="s">
        <v>7749</v>
      </c>
    </row>
    <row r="1008" spans="3:4">
      <c r="C1008" s="90" t="s">
        <v>7750</v>
      </c>
      <c r="D1008" s="88" t="s">
        <v>7751</v>
      </c>
    </row>
    <row r="1009" spans="3:4">
      <c r="C1009" s="90" t="s">
        <v>7752</v>
      </c>
      <c r="D1009" s="88" t="s">
        <v>7753</v>
      </c>
    </row>
    <row r="1010" spans="3:4">
      <c r="C1010" s="90" t="s">
        <v>7754</v>
      </c>
      <c r="D1010" s="88" t="s">
        <v>7755</v>
      </c>
    </row>
    <row r="1011" spans="3:4">
      <c r="C1011" s="90" t="s">
        <v>7756</v>
      </c>
      <c r="D1011" s="88" t="s">
        <v>7757</v>
      </c>
    </row>
    <row r="1012" spans="3:4">
      <c r="C1012" s="90" t="s">
        <v>7758</v>
      </c>
      <c r="D1012" s="88" t="s">
        <v>7759</v>
      </c>
    </row>
    <row r="1013" spans="3:4">
      <c r="C1013" s="90" t="s">
        <v>7760</v>
      </c>
      <c r="D1013" s="88" t="s">
        <v>7761</v>
      </c>
    </row>
    <row r="1014" spans="3:4">
      <c r="C1014" s="90" t="s">
        <v>7762</v>
      </c>
      <c r="D1014" s="88" t="s">
        <v>7763</v>
      </c>
    </row>
    <row r="1015" spans="3:4">
      <c r="C1015" s="90" t="s">
        <v>7764</v>
      </c>
      <c r="D1015" s="88" t="s">
        <v>7765</v>
      </c>
    </row>
    <row r="1016" spans="3:4">
      <c r="C1016" s="90" t="s">
        <v>7766</v>
      </c>
      <c r="D1016" s="88" t="s">
        <v>7767</v>
      </c>
    </row>
    <row r="1017" spans="3:4">
      <c r="C1017" s="90" t="s">
        <v>7768</v>
      </c>
      <c r="D1017" s="88" t="s">
        <v>7769</v>
      </c>
    </row>
    <row r="1018" spans="3:4">
      <c r="C1018" s="90" t="s">
        <v>7770</v>
      </c>
      <c r="D1018" s="88" t="s">
        <v>7771</v>
      </c>
    </row>
    <row r="1019" spans="3:4">
      <c r="C1019" s="90" t="s">
        <v>7772</v>
      </c>
      <c r="D1019" s="88" t="s">
        <v>7773</v>
      </c>
    </row>
    <row r="1020" spans="3:4">
      <c r="C1020" s="90" t="s">
        <v>7774</v>
      </c>
      <c r="D1020" s="88" t="s">
        <v>7775</v>
      </c>
    </row>
    <row r="1021" spans="3:4">
      <c r="C1021" s="90" t="s">
        <v>7776</v>
      </c>
      <c r="D1021" s="88" t="s">
        <v>7777</v>
      </c>
    </row>
    <row r="1022" spans="3:4">
      <c r="C1022" s="90" t="s">
        <v>7778</v>
      </c>
      <c r="D1022" s="88" t="s">
        <v>7779</v>
      </c>
    </row>
    <row r="1023" spans="3:4">
      <c r="C1023" s="90" t="s">
        <v>7780</v>
      </c>
      <c r="D1023" s="88" t="s">
        <v>7781</v>
      </c>
    </row>
    <row r="1024" spans="3:4">
      <c r="C1024" s="90" t="s">
        <v>7782</v>
      </c>
      <c r="D1024" s="88" t="s">
        <v>7783</v>
      </c>
    </row>
    <row r="1025" spans="3:4">
      <c r="C1025" s="90" t="s">
        <v>7784</v>
      </c>
      <c r="D1025" s="88" t="s">
        <v>7785</v>
      </c>
    </row>
    <row r="1026" spans="3:4">
      <c r="C1026" s="90" t="s">
        <v>7786</v>
      </c>
      <c r="D1026" s="88" t="s">
        <v>7787</v>
      </c>
    </row>
    <row r="1027" spans="3:4">
      <c r="C1027" s="90" t="s">
        <v>7788</v>
      </c>
      <c r="D1027" s="88" t="s">
        <v>7789</v>
      </c>
    </row>
    <row r="1028" spans="3:4">
      <c r="C1028" s="90" t="s">
        <v>7790</v>
      </c>
      <c r="D1028" s="88" t="s">
        <v>7791</v>
      </c>
    </row>
    <row r="1029" spans="3:4">
      <c r="C1029" s="90" t="s">
        <v>7792</v>
      </c>
      <c r="D1029" s="88" t="s">
        <v>7793</v>
      </c>
    </row>
    <row r="1030" spans="3:4">
      <c r="C1030" s="90" t="s">
        <v>7794</v>
      </c>
      <c r="D1030" s="88" t="s">
        <v>7795</v>
      </c>
    </row>
    <row r="1031" spans="3:4">
      <c r="C1031" s="90" t="s">
        <v>7796</v>
      </c>
      <c r="D1031" s="88" t="s">
        <v>7797</v>
      </c>
    </row>
    <row r="1032" spans="3:4">
      <c r="C1032" s="90" t="s">
        <v>7798</v>
      </c>
      <c r="D1032" s="88" t="s">
        <v>7799</v>
      </c>
    </row>
    <row r="1033" spans="3:4">
      <c r="C1033" s="90" t="s">
        <v>7800</v>
      </c>
      <c r="D1033" s="88" t="s">
        <v>7801</v>
      </c>
    </row>
    <row r="1034" spans="3:4">
      <c r="C1034" s="90" t="s">
        <v>7802</v>
      </c>
      <c r="D1034" s="88" t="s">
        <v>7803</v>
      </c>
    </row>
    <row r="1035" spans="3:4">
      <c r="C1035" s="90" t="s">
        <v>7804</v>
      </c>
      <c r="D1035" s="88" t="s">
        <v>7805</v>
      </c>
    </row>
    <row r="1036" spans="3:4">
      <c r="C1036" s="90" t="s">
        <v>7806</v>
      </c>
      <c r="D1036" s="88" t="s">
        <v>7807</v>
      </c>
    </row>
    <row r="1037" spans="3:4">
      <c r="C1037" s="90" t="s">
        <v>7808</v>
      </c>
      <c r="D1037" s="88" t="s">
        <v>7809</v>
      </c>
    </row>
    <row r="1038" spans="3:4">
      <c r="C1038" s="90" t="s">
        <v>7810</v>
      </c>
      <c r="D1038" s="88" t="s">
        <v>7811</v>
      </c>
    </row>
    <row r="1039" spans="3:4">
      <c r="C1039" s="90" t="s">
        <v>7812</v>
      </c>
      <c r="D1039" s="88" t="s">
        <v>7813</v>
      </c>
    </row>
    <row r="1040" spans="3:4">
      <c r="C1040" s="90" t="s">
        <v>7814</v>
      </c>
      <c r="D1040" s="88" t="s">
        <v>7815</v>
      </c>
    </row>
    <row r="1041" spans="3:4">
      <c r="C1041" s="90" t="s">
        <v>7816</v>
      </c>
      <c r="D1041" s="88" t="s">
        <v>7817</v>
      </c>
    </row>
    <row r="1042" spans="3:4">
      <c r="C1042" s="90" t="s">
        <v>7818</v>
      </c>
      <c r="D1042" s="88" t="s">
        <v>7819</v>
      </c>
    </row>
    <row r="1043" spans="3:4">
      <c r="C1043" s="90" t="s">
        <v>7820</v>
      </c>
      <c r="D1043" s="88" t="s">
        <v>7821</v>
      </c>
    </row>
    <row r="1044" spans="3:4">
      <c r="C1044" s="90" t="s">
        <v>7822</v>
      </c>
      <c r="D1044" s="88" t="s">
        <v>7823</v>
      </c>
    </row>
    <row r="1045" spans="3:4">
      <c r="C1045" s="90" t="s">
        <v>7824</v>
      </c>
      <c r="D1045" s="88" t="s">
        <v>7825</v>
      </c>
    </row>
    <row r="1046" spans="3:4">
      <c r="C1046" s="90" t="s">
        <v>7826</v>
      </c>
      <c r="D1046" s="88" t="s">
        <v>7827</v>
      </c>
    </row>
    <row r="1047" spans="3:4">
      <c r="C1047" s="90" t="s">
        <v>7828</v>
      </c>
      <c r="D1047" s="88" t="s">
        <v>7829</v>
      </c>
    </row>
    <row r="1048" spans="3:4">
      <c r="C1048" s="90" t="s">
        <v>7830</v>
      </c>
      <c r="D1048" s="88" t="s">
        <v>7831</v>
      </c>
    </row>
    <row r="1049" spans="3:4">
      <c r="C1049" s="90" t="s">
        <v>7832</v>
      </c>
      <c r="D1049" s="88" t="s">
        <v>7833</v>
      </c>
    </row>
    <row r="1050" spans="3:4">
      <c r="C1050" s="90" t="s">
        <v>7834</v>
      </c>
      <c r="D1050" s="88" t="s">
        <v>7835</v>
      </c>
    </row>
    <row r="1051" spans="3:4">
      <c r="C1051" s="90" t="s">
        <v>7836</v>
      </c>
      <c r="D1051" s="88" t="s">
        <v>7837</v>
      </c>
    </row>
    <row r="1052" spans="3:4">
      <c r="C1052" s="90" t="s">
        <v>7838</v>
      </c>
      <c r="D1052" s="88" t="s">
        <v>7839</v>
      </c>
    </row>
    <row r="1053" spans="3:4">
      <c r="C1053" s="90" t="s">
        <v>7840</v>
      </c>
      <c r="D1053" s="88" t="s">
        <v>7841</v>
      </c>
    </row>
    <row r="1054" spans="3:4">
      <c r="C1054" s="90" t="s">
        <v>7842</v>
      </c>
      <c r="D1054" s="88" t="s">
        <v>7843</v>
      </c>
    </row>
    <row r="1055" spans="3:4">
      <c r="C1055" s="90" t="s">
        <v>7844</v>
      </c>
      <c r="D1055" s="88" t="s">
        <v>7845</v>
      </c>
    </row>
    <row r="1056" spans="3:4">
      <c r="C1056" s="90" t="s">
        <v>7846</v>
      </c>
      <c r="D1056" s="88" t="s">
        <v>7847</v>
      </c>
    </row>
    <row r="1057" spans="3:4">
      <c r="C1057" s="90" t="s">
        <v>7848</v>
      </c>
      <c r="D1057" s="88" t="s">
        <v>7849</v>
      </c>
    </row>
    <row r="1058" spans="3:4">
      <c r="C1058" s="90" t="s">
        <v>7850</v>
      </c>
      <c r="D1058" s="88" t="s">
        <v>7851</v>
      </c>
    </row>
    <row r="1059" spans="3:4">
      <c r="C1059" s="90" t="s">
        <v>7852</v>
      </c>
      <c r="D1059" s="88" t="s">
        <v>7853</v>
      </c>
    </row>
    <row r="1060" spans="3:4">
      <c r="C1060" s="90" t="s">
        <v>7854</v>
      </c>
      <c r="D1060" s="88" t="s">
        <v>7855</v>
      </c>
    </row>
    <row r="1061" spans="3:4">
      <c r="C1061" s="90" t="s">
        <v>7856</v>
      </c>
      <c r="D1061" s="88" t="s">
        <v>7857</v>
      </c>
    </row>
    <row r="1062" spans="3:4">
      <c r="C1062" s="90" t="s">
        <v>7858</v>
      </c>
      <c r="D1062" s="88" t="s">
        <v>7859</v>
      </c>
    </row>
    <row r="1063" spans="3:4">
      <c r="C1063" s="90" t="s">
        <v>7860</v>
      </c>
      <c r="D1063" s="88" t="s">
        <v>7861</v>
      </c>
    </row>
    <row r="1064" spans="3:4">
      <c r="C1064" s="90" t="s">
        <v>7862</v>
      </c>
      <c r="D1064" s="88" t="s">
        <v>7863</v>
      </c>
    </row>
    <row r="1065" spans="3:4">
      <c r="C1065" s="90" t="s">
        <v>7864</v>
      </c>
      <c r="D1065" s="88" t="s">
        <v>7865</v>
      </c>
    </row>
    <row r="1066" spans="3:4">
      <c r="C1066" s="90" t="s">
        <v>7866</v>
      </c>
      <c r="D1066" s="88" t="s">
        <v>7867</v>
      </c>
    </row>
    <row r="1067" spans="3:4">
      <c r="C1067" s="90" t="s">
        <v>7868</v>
      </c>
      <c r="D1067" s="88" t="s">
        <v>7869</v>
      </c>
    </row>
    <row r="1068" spans="3:4">
      <c r="C1068" s="90" t="s">
        <v>7870</v>
      </c>
      <c r="D1068" s="88" t="s">
        <v>7871</v>
      </c>
    </row>
    <row r="1069" spans="3:4">
      <c r="C1069" s="90" t="s">
        <v>7872</v>
      </c>
      <c r="D1069" s="88" t="s">
        <v>7873</v>
      </c>
    </row>
    <row r="1070" spans="3:4">
      <c r="C1070" s="90" t="s">
        <v>7874</v>
      </c>
      <c r="D1070" s="88" t="s">
        <v>7875</v>
      </c>
    </row>
    <row r="1071" spans="3:4">
      <c r="C1071" s="90" t="s">
        <v>7876</v>
      </c>
      <c r="D1071" s="88" t="s">
        <v>7877</v>
      </c>
    </row>
    <row r="1072" spans="3:4">
      <c r="C1072" s="90" t="s">
        <v>7878</v>
      </c>
      <c r="D1072" s="88" t="s">
        <v>7879</v>
      </c>
    </row>
    <row r="1073" spans="3:4">
      <c r="C1073" s="90" t="s">
        <v>7880</v>
      </c>
      <c r="D1073" s="88" t="s">
        <v>7881</v>
      </c>
    </row>
    <row r="1074" spans="3:4">
      <c r="C1074" s="90" t="s">
        <v>7882</v>
      </c>
      <c r="D1074" s="88" t="s">
        <v>7883</v>
      </c>
    </row>
    <row r="1075" spans="3:4">
      <c r="C1075" s="90" t="s">
        <v>7884</v>
      </c>
      <c r="D1075" s="88" t="s">
        <v>7885</v>
      </c>
    </row>
    <row r="1076" spans="3:4">
      <c r="C1076" s="90" t="s">
        <v>7886</v>
      </c>
      <c r="D1076" s="88" t="s">
        <v>7887</v>
      </c>
    </row>
    <row r="1077" spans="3:4">
      <c r="C1077" s="90" t="s">
        <v>7888</v>
      </c>
      <c r="D1077" s="88" t="s">
        <v>7889</v>
      </c>
    </row>
    <row r="1078" spans="3:4">
      <c r="C1078" s="90" t="s">
        <v>7890</v>
      </c>
      <c r="D1078" s="88" t="s">
        <v>7891</v>
      </c>
    </row>
    <row r="1079" spans="3:4">
      <c r="C1079" s="90" t="s">
        <v>7892</v>
      </c>
      <c r="D1079" s="88" t="s">
        <v>7893</v>
      </c>
    </row>
    <row r="1080" spans="3:4">
      <c r="C1080" s="90" t="s">
        <v>7894</v>
      </c>
      <c r="D1080" s="88" t="s">
        <v>7895</v>
      </c>
    </row>
    <row r="1081" spans="3:4">
      <c r="C1081" s="90" t="s">
        <v>7896</v>
      </c>
      <c r="D1081" s="88" t="s">
        <v>7897</v>
      </c>
    </row>
    <row r="1082" spans="3:4">
      <c r="C1082" s="90" t="s">
        <v>7898</v>
      </c>
      <c r="D1082" s="88" t="s">
        <v>7899</v>
      </c>
    </row>
    <row r="1083" spans="3:4">
      <c r="C1083" s="90" t="s">
        <v>7900</v>
      </c>
      <c r="D1083" s="88" t="s">
        <v>7901</v>
      </c>
    </row>
    <row r="1084" spans="3:4">
      <c r="C1084" s="90" t="s">
        <v>7902</v>
      </c>
      <c r="D1084" s="88" t="s">
        <v>7903</v>
      </c>
    </row>
    <row r="1085" spans="3:4">
      <c r="C1085" s="90" t="s">
        <v>7904</v>
      </c>
      <c r="D1085" s="88" t="s">
        <v>7905</v>
      </c>
    </row>
    <row r="1086" spans="3:4">
      <c r="C1086" s="90" t="s">
        <v>7906</v>
      </c>
      <c r="D1086" s="88" t="s">
        <v>7907</v>
      </c>
    </row>
    <row r="1087" spans="3:4">
      <c r="C1087" s="90" t="s">
        <v>7908</v>
      </c>
      <c r="D1087" s="88" t="s">
        <v>7909</v>
      </c>
    </row>
    <row r="1088" spans="3:4">
      <c r="C1088" s="90" t="s">
        <v>7910</v>
      </c>
      <c r="D1088" s="88" t="s">
        <v>7911</v>
      </c>
    </row>
    <row r="1089" spans="3:4">
      <c r="C1089" s="90" t="s">
        <v>7912</v>
      </c>
      <c r="D1089" s="88" t="s">
        <v>7913</v>
      </c>
    </row>
    <row r="1090" spans="3:4">
      <c r="C1090" s="90" t="s">
        <v>7914</v>
      </c>
      <c r="D1090" s="88" t="s">
        <v>7915</v>
      </c>
    </row>
    <row r="1091" spans="3:4">
      <c r="C1091" s="90" t="s">
        <v>7916</v>
      </c>
      <c r="D1091" s="88" t="s">
        <v>7917</v>
      </c>
    </row>
    <row r="1092" spans="3:4">
      <c r="C1092" s="90" t="s">
        <v>7918</v>
      </c>
      <c r="D1092" s="88" t="s">
        <v>7919</v>
      </c>
    </row>
    <row r="1093" spans="3:4">
      <c r="C1093" s="90" t="s">
        <v>7920</v>
      </c>
      <c r="D1093" s="88" t="s">
        <v>7921</v>
      </c>
    </row>
    <row r="1094" spans="3:4">
      <c r="C1094" s="90" t="s">
        <v>7922</v>
      </c>
      <c r="D1094" s="88" t="s">
        <v>7923</v>
      </c>
    </row>
    <row r="1095" spans="3:4">
      <c r="C1095" s="90" t="s">
        <v>7924</v>
      </c>
      <c r="D1095" s="88" t="s">
        <v>7925</v>
      </c>
    </row>
    <row r="1096" spans="3:4">
      <c r="C1096" s="90" t="s">
        <v>7926</v>
      </c>
      <c r="D1096" s="88" t="s">
        <v>7927</v>
      </c>
    </row>
    <row r="1097" spans="3:4">
      <c r="C1097" s="90" t="s">
        <v>7928</v>
      </c>
      <c r="D1097" s="88" t="s">
        <v>7929</v>
      </c>
    </row>
    <row r="1098" spans="3:4">
      <c r="C1098" s="90" t="s">
        <v>7930</v>
      </c>
      <c r="D1098" s="88" t="s">
        <v>7931</v>
      </c>
    </row>
    <row r="1099" spans="3:4">
      <c r="C1099" s="90" t="s">
        <v>7932</v>
      </c>
      <c r="D1099" s="88" t="s">
        <v>7933</v>
      </c>
    </row>
    <row r="1100" spans="3:4">
      <c r="C1100" s="90" t="s">
        <v>7934</v>
      </c>
      <c r="D1100" s="88" t="s">
        <v>7935</v>
      </c>
    </row>
    <row r="1101" spans="3:4">
      <c r="C1101" s="90" t="s">
        <v>7936</v>
      </c>
      <c r="D1101" s="88" t="s">
        <v>7937</v>
      </c>
    </row>
    <row r="1102" spans="3:4">
      <c r="C1102" s="90" t="s">
        <v>7938</v>
      </c>
      <c r="D1102" s="88" t="s">
        <v>7939</v>
      </c>
    </row>
    <row r="1103" spans="3:4">
      <c r="C1103" s="90" t="s">
        <v>7940</v>
      </c>
      <c r="D1103" s="88" t="s">
        <v>7941</v>
      </c>
    </row>
    <row r="1104" spans="3:4">
      <c r="C1104" s="90" t="s">
        <v>7942</v>
      </c>
      <c r="D1104" s="88" t="s">
        <v>7943</v>
      </c>
    </row>
    <row r="1105" spans="3:4">
      <c r="C1105" s="90" t="s">
        <v>7944</v>
      </c>
      <c r="D1105" s="88" t="s">
        <v>7945</v>
      </c>
    </row>
    <row r="1106" spans="3:4">
      <c r="C1106" s="90" t="s">
        <v>7946</v>
      </c>
      <c r="D1106" s="88" t="s">
        <v>7947</v>
      </c>
    </row>
    <row r="1107" spans="3:4">
      <c r="C1107" s="90" t="s">
        <v>7948</v>
      </c>
      <c r="D1107" s="88" t="s">
        <v>7949</v>
      </c>
    </row>
    <row r="1108" spans="3:4">
      <c r="C1108" s="90" t="s">
        <v>7950</v>
      </c>
      <c r="D1108" s="88" t="s">
        <v>7951</v>
      </c>
    </row>
    <row r="1109" spans="3:4">
      <c r="C1109" s="90" t="s">
        <v>7952</v>
      </c>
      <c r="D1109" s="88" t="s">
        <v>7953</v>
      </c>
    </row>
    <row r="1110" spans="3:4">
      <c r="C1110" s="90" t="s">
        <v>7954</v>
      </c>
      <c r="D1110" s="88" t="s">
        <v>7955</v>
      </c>
    </row>
    <row r="1111" spans="3:4">
      <c r="C1111" s="90" t="s">
        <v>7956</v>
      </c>
      <c r="D1111" s="88" t="s">
        <v>7957</v>
      </c>
    </row>
    <row r="1112" spans="3:4">
      <c r="C1112" s="90" t="s">
        <v>7958</v>
      </c>
      <c r="D1112" s="88" t="s">
        <v>7959</v>
      </c>
    </row>
    <row r="1113" spans="3:4">
      <c r="C1113" s="90" t="s">
        <v>7960</v>
      </c>
      <c r="D1113" s="88" t="s">
        <v>7961</v>
      </c>
    </row>
    <row r="1114" spans="3:4">
      <c r="C1114" s="90" t="s">
        <v>7962</v>
      </c>
      <c r="D1114" s="88" t="s">
        <v>7963</v>
      </c>
    </row>
    <row r="1115" spans="3:4">
      <c r="C1115" s="90" t="s">
        <v>7964</v>
      </c>
      <c r="D1115" s="88" t="s">
        <v>7965</v>
      </c>
    </row>
    <row r="1116" spans="3:4">
      <c r="C1116" s="90" t="s">
        <v>7966</v>
      </c>
      <c r="D1116" s="88" t="s">
        <v>7967</v>
      </c>
    </row>
    <row r="1117" spans="3:4">
      <c r="C1117" s="90" t="s">
        <v>7968</v>
      </c>
      <c r="D1117" s="88" t="s">
        <v>7969</v>
      </c>
    </row>
    <row r="1118" spans="3:4">
      <c r="C1118" s="90" t="s">
        <v>7970</v>
      </c>
      <c r="D1118" s="88" t="s">
        <v>7971</v>
      </c>
    </row>
    <row r="1119" spans="3:4">
      <c r="C1119" s="90" t="s">
        <v>7972</v>
      </c>
      <c r="D1119" s="88" t="s">
        <v>7973</v>
      </c>
    </row>
    <row r="1120" spans="3:4">
      <c r="C1120" s="90" t="s">
        <v>7974</v>
      </c>
      <c r="D1120" s="88" t="s">
        <v>7975</v>
      </c>
    </row>
    <row r="1121" spans="3:4">
      <c r="C1121" s="90" t="s">
        <v>7976</v>
      </c>
      <c r="D1121" s="88" t="s">
        <v>7977</v>
      </c>
    </row>
    <row r="1122" spans="3:4">
      <c r="C1122" s="90" t="s">
        <v>7978</v>
      </c>
      <c r="D1122" s="88" t="s">
        <v>7979</v>
      </c>
    </row>
    <row r="1123" spans="3:4">
      <c r="C1123" s="90" t="s">
        <v>7980</v>
      </c>
      <c r="D1123" s="88" t="s">
        <v>7981</v>
      </c>
    </row>
    <row r="1124" spans="3:4">
      <c r="C1124" s="90" t="s">
        <v>7982</v>
      </c>
      <c r="D1124" s="88" t="s">
        <v>7983</v>
      </c>
    </row>
    <row r="1125" spans="3:4">
      <c r="C1125" s="90" t="s">
        <v>7984</v>
      </c>
      <c r="D1125" s="88" t="s">
        <v>7985</v>
      </c>
    </row>
    <row r="1126" spans="3:4">
      <c r="C1126" s="90" t="s">
        <v>7986</v>
      </c>
      <c r="D1126" s="88" t="s">
        <v>7987</v>
      </c>
    </row>
    <row r="1127" spans="3:4">
      <c r="C1127" s="90" t="s">
        <v>7988</v>
      </c>
      <c r="D1127" s="88" t="s">
        <v>7989</v>
      </c>
    </row>
    <row r="1128" spans="3:4">
      <c r="C1128" s="90" t="s">
        <v>7990</v>
      </c>
      <c r="D1128" s="88" t="s">
        <v>7991</v>
      </c>
    </row>
    <row r="1129" spans="3:4">
      <c r="C1129" s="90" t="s">
        <v>7992</v>
      </c>
      <c r="D1129" s="88" t="s">
        <v>7993</v>
      </c>
    </row>
    <row r="1130" spans="3:4">
      <c r="C1130" s="90" t="s">
        <v>7994</v>
      </c>
      <c r="D1130" s="88" t="s">
        <v>7995</v>
      </c>
    </row>
    <row r="1131" spans="3:4">
      <c r="C1131" s="90" t="s">
        <v>7996</v>
      </c>
      <c r="D1131" s="88" t="s">
        <v>7997</v>
      </c>
    </row>
    <row r="1132" spans="3:4">
      <c r="C1132" s="90" t="s">
        <v>7998</v>
      </c>
      <c r="D1132" s="88" t="s">
        <v>7999</v>
      </c>
    </row>
    <row r="1133" spans="3:4">
      <c r="C1133" s="90" t="s">
        <v>8000</v>
      </c>
      <c r="D1133" s="88" t="s">
        <v>8001</v>
      </c>
    </row>
    <row r="1134" spans="3:4">
      <c r="C1134" s="90" t="s">
        <v>8002</v>
      </c>
      <c r="D1134" s="88" t="s">
        <v>8003</v>
      </c>
    </row>
    <row r="1135" spans="3:4">
      <c r="C1135" s="90" t="s">
        <v>8004</v>
      </c>
      <c r="D1135" s="88" t="s">
        <v>8005</v>
      </c>
    </row>
    <row r="1136" spans="3:4">
      <c r="C1136" s="90" t="s">
        <v>8006</v>
      </c>
      <c r="D1136" s="88" t="s">
        <v>8007</v>
      </c>
    </row>
    <row r="1137" spans="3:4">
      <c r="C1137" s="90" t="s">
        <v>8008</v>
      </c>
      <c r="D1137" s="88" t="s">
        <v>8009</v>
      </c>
    </row>
    <row r="1138" spans="3:4">
      <c r="C1138" s="90" t="s">
        <v>8010</v>
      </c>
      <c r="D1138" s="88" t="s">
        <v>8011</v>
      </c>
    </row>
    <row r="1139" spans="3:4">
      <c r="C1139" s="90" t="s">
        <v>8012</v>
      </c>
      <c r="D1139" s="88" t="s">
        <v>8013</v>
      </c>
    </row>
    <row r="1140" spans="3:4">
      <c r="C1140" s="90" t="s">
        <v>8014</v>
      </c>
      <c r="D1140" s="88" t="s">
        <v>8015</v>
      </c>
    </row>
    <row r="1141" spans="3:4">
      <c r="C1141" s="90" t="s">
        <v>8016</v>
      </c>
      <c r="D1141" s="88" t="s">
        <v>8017</v>
      </c>
    </row>
    <row r="1142" spans="3:4">
      <c r="C1142" s="90" t="s">
        <v>8018</v>
      </c>
      <c r="D1142" s="88" t="s">
        <v>8019</v>
      </c>
    </row>
    <row r="1143" spans="3:4">
      <c r="C1143" s="90" t="s">
        <v>8020</v>
      </c>
      <c r="D1143" s="88" t="s">
        <v>8021</v>
      </c>
    </row>
    <row r="1144" spans="3:4">
      <c r="C1144" s="90" t="s">
        <v>8022</v>
      </c>
      <c r="D1144" s="88" t="s">
        <v>8023</v>
      </c>
    </row>
    <row r="1145" spans="3:4">
      <c r="C1145" s="90" t="s">
        <v>8024</v>
      </c>
      <c r="D1145" s="88" t="s">
        <v>8025</v>
      </c>
    </row>
    <row r="1146" spans="3:4">
      <c r="C1146" s="90" t="s">
        <v>8026</v>
      </c>
      <c r="D1146" s="88" t="s">
        <v>8027</v>
      </c>
    </row>
    <row r="1147" spans="3:4">
      <c r="C1147" s="90" t="s">
        <v>8028</v>
      </c>
      <c r="D1147" s="88" t="s">
        <v>8029</v>
      </c>
    </row>
    <row r="1148" spans="3:4">
      <c r="C1148" s="90" t="s">
        <v>8030</v>
      </c>
      <c r="D1148" s="88" t="s">
        <v>8031</v>
      </c>
    </row>
    <row r="1149" spans="3:4">
      <c r="C1149" s="90" t="s">
        <v>8032</v>
      </c>
      <c r="D1149" s="88" t="s">
        <v>8033</v>
      </c>
    </row>
    <row r="1150" spans="3:4">
      <c r="C1150" s="90" t="s">
        <v>8034</v>
      </c>
      <c r="D1150" s="88" t="s">
        <v>8035</v>
      </c>
    </row>
    <row r="1151" spans="3:4">
      <c r="C1151" s="90" t="s">
        <v>8036</v>
      </c>
      <c r="D1151" s="88" t="s">
        <v>8037</v>
      </c>
    </row>
    <row r="1152" spans="3:4">
      <c r="C1152" s="90" t="s">
        <v>8038</v>
      </c>
      <c r="D1152" s="88" t="s">
        <v>8039</v>
      </c>
    </row>
    <row r="1153" spans="3:4">
      <c r="C1153" s="90" t="s">
        <v>8040</v>
      </c>
      <c r="D1153" s="88" t="s">
        <v>8041</v>
      </c>
    </row>
    <row r="1154" spans="3:4">
      <c r="C1154" s="90" t="s">
        <v>8042</v>
      </c>
      <c r="D1154" s="88" t="s">
        <v>8043</v>
      </c>
    </row>
    <row r="1155" spans="3:4">
      <c r="C1155" s="90" t="s">
        <v>8044</v>
      </c>
      <c r="D1155" s="88" t="s">
        <v>8045</v>
      </c>
    </row>
    <row r="1156" spans="3:4">
      <c r="C1156" s="90" t="s">
        <v>8046</v>
      </c>
      <c r="D1156" s="88" t="s">
        <v>8047</v>
      </c>
    </row>
    <row r="1157" spans="3:4">
      <c r="C1157" s="90" t="s">
        <v>8048</v>
      </c>
      <c r="D1157" s="88" t="s">
        <v>8049</v>
      </c>
    </row>
    <row r="1158" spans="3:4">
      <c r="C1158" s="90" t="s">
        <v>8050</v>
      </c>
      <c r="D1158" s="88" t="s">
        <v>8051</v>
      </c>
    </row>
    <row r="1159" spans="3:4">
      <c r="C1159" s="90" t="s">
        <v>8052</v>
      </c>
      <c r="D1159" s="88" t="s">
        <v>8053</v>
      </c>
    </row>
    <row r="1160" spans="3:4">
      <c r="C1160" s="90" t="s">
        <v>8054</v>
      </c>
      <c r="D1160" s="88" t="s">
        <v>8055</v>
      </c>
    </row>
    <row r="1161" spans="3:4">
      <c r="C1161" s="90" t="s">
        <v>8056</v>
      </c>
      <c r="D1161" s="88" t="s">
        <v>8057</v>
      </c>
    </row>
    <row r="1162" spans="3:4">
      <c r="C1162" s="90" t="s">
        <v>8058</v>
      </c>
      <c r="D1162" s="88" t="s">
        <v>8059</v>
      </c>
    </row>
    <row r="1163" spans="3:4">
      <c r="C1163" s="90" t="s">
        <v>8060</v>
      </c>
      <c r="D1163" s="88" t="s">
        <v>8061</v>
      </c>
    </row>
    <row r="1164" spans="3:4">
      <c r="C1164" s="90" t="s">
        <v>8062</v>
      </c>
      <c r="D1164" s="88" t="s">
        <v>8063</v>
      </c>
    </row>
    <row r="1165" spans="3:4">
      <c r="C1165" s="90" t="s">
        <v>8064</v>
      </c>
      <c r="D1165" s="88" t="s">
        <v>8065</v>
      </c>
    </row>
    <row r="1166" spans="3:4">
      <c r="C1166" s="90" t="s">
        <v>8066</v>
      </c>
      <c r="D1166" s="88" t="s">
        <v>8067</v>
      </c>
    </row>
    <row r="1167" spans="3:4">
      <c r="C1167" s="90" t="s">
        <v>8068</v>
      </c>
      <c r="D1167" s="88" t="s">
        <v>8069</v>
      </c>
    </row>
    <row r="1168" spans="3:4">
      <c r="C1168" s="90" t="s">
        <v>8070</v>
      </c>
      <c r="D1168" s="88" t="s">
        <v>8071</v>
      </c>
    </row>
    <row r="1169" spans="3:4">
      <c r="C1169" s="90" t="s">
        <v>8072</v>
      </c>
      <c r="D1169" s="88" t="s">
        <v>8073</v>
      </c>
    </row>
    <row r="1170" spans="3:4">
      <c r="C1170" s="90" t="s">
        <v>8074</v>
      </c>
      <c r="D1170" s="88" t="s">
        <v>8075</v>
      </c>
    </row>
    <row r="1171" spans="3:4">
      <c r="C1171" s="90" t="s">
        <v>8076</v>
      </c>
      <c r="D1171" s="88" t="s">
        <v>8077</v>
      </c>
    </row>
    <row r="1172" spans="3:4">
      <c r="C1172" s="90" t="s">
        <v>8078</v>
      </c>
      <c r="D1172" s="88" t="s">
        <v>8079</v>
      </c>
    </row>
    <row r="1173" spans="3:4">
      <c r="C1173" s="90" t="s">
        <v>8080</v>
      </c>
      <c r="D1173" s="88" t="s">
        <v>8081</v>
      </c>
    </row>
    <row r="1174" spans="3:4">
      <c r="C1174" s="90" t="s">
        <v>8082</v>
      </c>
      <c r="D1174" s="88" t="s">
        <v>8083</v>
      </c>
    </row>
    <row r="1175" spans="3:4">
      <c r="C1175" s="90" t="s">
        <v>8084</v>
      </c>
      <c r="D1175" s="88" t="s">
        <v>8085</v>
      </c>
    </row>
    <row r="1176" spans="3:4">
      <c r="C1176" s="90" t="s">
        <v>8086</v>
      </c>
      <c r="D1176" s="88" t="s">
        <v>8087</v>
      </c>
    </row>
    <row r="1177" spans="3:4">
      <c r="C1177" s="90" t="s">
        <v>8088</v>
      </c>
      <c r="D1177" s="88" t="s">
        <v>8089</v>
      </c>
    </row>
    <row r="1178" spans="3:4">
      <c r="C1178" s="90" t="s">
        <v>8090</v>
      </c>
      <c r="D1178" s="88" t="s">
        <v>8091</v>
      </c>
    </row>
    <row r="1179" spans="3:4">
      <c r="C1179" s="90" t="s">
        <v>8092</v>
      </c>
      <c r="D1179" s="88" t="s">
        <v>8093</v>
      </c>
    </row>
    <row r="1180" spans="3:4">
      <c r="C1180" s="90" t="s">
        <v>8094</v>
      </c>
      <c r="D1180" s="88" t="s">
        <v>8095</v>
      </c>
    </row>
    <row r="1181" spans="3:4">
      <c r="C1181" s="90" t="s">
        <v>8096</v>
      </c>
      <c r="D1181" s="88" t="s">
        <v>8097</v>
      </c>
    </row>
    <row r="1182" spans="3:4">
      <c r="C1182" s="90" t="s">
        <v>8098</v>
      </c>
      <c r="D1182" s="88" t="s">
        <v>8099</v>
      </c>
    </row>
    <row r="1183" spans="3:4">
      <c r="C1183" s="90" t="s">
        <v>8100</v>
      </c>
      <c r="D1183" s="88" t="s">
        <v>8101</v>
      </c>
    </row>
    <row r="1184" spans="3:4">
      <c r="C1184" s="90" t="s">
        <v>8102</v>
      </c>
      <c r="D1184" s="88" t="s">
        <v>8103</v>
      </c>
    </row>
    <row r="1185" spans="3:4">
      <c r="C1185" s="90" t="s">
        <v>8104</v>
      </c>
      <c r="D1185" s="88" t="s">
        <v>8105</v>
      </c>
    </row>
    <row r="1186" spans="3:4">
      <c r="C1186" s="90" t="s">
        <v>8106</v>
      </c>
      <c r="D1186" s="88" t="s">
        <v>8107</v>
      </c>
    </row>
    <row r="1187" spans="3:4">
      <c r="C1187" s="90" t="s">
        <v>8108</v>
      </c>
      <c r="D1187" s="88" t="s">
        <v>8109</v>
      </c>
    </row>
    <row r="1188" spans="3:4">
      <c r="C1188" s="90" t="s">
        <v>8110</v>
      </c>
      <c r="D1188" s="88" t="s">
        <v>8111</v>
      </c>
    </row>
    <row r="1189" spans="3:4">
      <c r="C1189" s="90" t="s">
        <v>8112</v>
      </c>
      <c r="D1189" s="88" t="s">
        <v>8113</v>
      </c>
    </row>
    <row r="1190" spans="3:4">
      <c r="C1190" s="90" t="s">
        <v>8114</v>
      </c>
      <c r="D1190" s="88" t="s">
        <v>8115</v>
      </c>
    </row>
    <row r="1191" spans="3:4">
      <c r="C1191" s="90" t="s">
        <v>8116</v>
      </c>
      <c r="D1191" s="88" t="s">
        <v>8117</v>
      </c>
    </row>
    <row r="1192" spans="3:4">
      <c r="C1192" s="90" t="s">
        <v>8118</v>
      </c>
      <c r="D1192" s="88" t="s">
        <v>8119</v>
      </c>
    </row>
    <row r="1193" spans="3:4">
      <c r="C1193" s="90" t="s">
        <v>8120</v>
      </c>
      <c r="D1193" s="88" t="s">
        <v>8121</v>
      </c>
    </row>
    <row r="1194" spans="3:4">
      <c r="C1194" s="90" t="s">
        <v>8122</v>
      </c>
      <c r="D1194" s="88" t="s">
        <v>8123</v>
      </c>
    </row>
    <row r="1195" spans="3:4">
      <c r="C1195" s="90" t="s">
        <v>8124</v>
      </c>
      <c r="D1195" s="88" t="s">
        <v>8125</v>
      </c>
    </row>
    <row r="1196" spans="3:4">
      <c r="C1196" s="90" t="s">
        <v>8126</v>
      </c>
      <c r="D1196" s="88" t="s">
        <v>8127</v>
      </c>
    </row>
    <row r="1197" spans="3:4">
      <c r="C1197" s="90" t="s">
        <v>8128</v>
      </c>
      <c r="D1197" s="88" t="s">
        <v>8129</v>
      </c>
    </row>
    <row r="1198" spans="3:4">
      <c r="C1198" s="90" t="s">
        <v>8130</v>
      </c>
      <c r="D1198" s="88" t="s">
        <v>8131</v>
      </c>
    </row>
    <row r="1199" spans="3:4">
      <c r="C1199" s="90" t="s">
        <v>8132</v>
      </c>
      <c r="D1199" s="88" t="s">
        <v>8133</v>
      </c>
    </row>
    <row r="1200" spans="3:4">
      <c r="C1200" s="90" t="s">
        <v>8134</v>
      </c>
      <c r="D1200" s="88" t="s">
        <v>8135</v>
      </c>
    </row>
    <row r="1201" spans="3:4">
      <c r="C1201" s="90" t="s">
        <v>8136</v>
      </c>
      <c r="D1201" s="88" t="s">
        <v>8137</v>
      </c>
    </row>
    <row r="1202" spans="3:4">
      <c r="C1202" s="90" t="s">
        <v>8138</v>
      </c>
      <c r="D1202" s="88" t="s">
        <v>8139</v>
      </c>
    </row>
    <row r="1203" spans="3:4">
      <c r="C1203" s="90" t="s">
        <v>8140</v>
      </c>
      <c r="D1203" s="88" t="s">
        <v>8141</v>
      </c>
    </row>
    <row r="1204" spans="3:4">
      <c r="C1204" s="90" t="s">
        <v>8142</v>
      </c>
      <c r="D1204" s="88" t="s">
        <v>8143</v>
      </c>
    </row>
    <row r="1205" spans="3:4">
      <c r="C1205" s="90" t="s">
        <v>8144</v>
      </c>
      <c r="D1205" s="88" t="s">
        <v>8145</v>
      </c>
    </row>
    <row r="1206" spans="3:4">
      <c r="C1206" s="90" t="s">
        <v>8146</v>
      </c>
      <c r="D1206" s="88" t="s">
        <v>8147</v>
      </c>
    </row>
    <row r="1207" spans="3:4">
      <c r="C1207" s="90" t="s">
        <v>8148</v>
      </c>
      <c r="D1207" s="88" t="s">
        <v>8149</v>
      </c>
    </row>
    <row r="1208" spans="3:4">
      <c r="C1208" s="90" t="s">
        <v>8150</v>
      </c>
      <c r="D1208" s="88" t="s">
        <v>8151</v>
      </c>
    </row>
    <row r="1209" spans="3:4">
      <c r="C1209" s="90" t="s">
        <v>8152</v>
      </c>
      <c r="D1209" s="88" t="s">
        <v>8153</v>
      </c>
    </row>
    <row r="1210" spans="3:4">
      <c r="C1210" s="90" t="s">
        <v>8154</v>
      </c>
      <c r="D1210" s="88" t="s">
        <v>8155</v>
      </c>
    </row>
    <row r="1211" spans="3:4">
      <c r="C1211" s="90" t="s">
        <v>8156</v>
      </c>
      <c r="D1211" s="88" t="s">
        <v>8157</v>
      </c>
    </row>
    <row r="1212" spans="3:4">
      <c r="C1212" s="90" t="s">
        <v>8158</v>
      </c>
      <c r="D1212" s="88" t="s">
        <v>8159</v>
      </c>
    </row>
    <row r="1213" spans="3:4">
      <c r="C1213" s="90" t="s">
        <v>8160</v>
      </c>
      <c r="D1213" s="88" t="s">
        <v>8161</v>
      </c>
    </row>
    <row r="1214" spans="3:4">
      <c r="C1214" s="90" t="s">
        <v>8162</v>
      </c>
      <c r="D1214" s="88" t="s">
        <v>8163</v>
      </c>
    </row>
    <row r="1215" spans="3:4">
      <c r="C1215" s="90" t="s">
        <v>8164</v>
      </c>
      <c r="D1215" s="88" t="s">
        <v>8165</v>
      </c>
    </row>
    <row r="1216" spans="3:4">
      <c r="C1216" s="90" t="s">
        <v>8166</v>
      </c>
      <c r="D1216" s="88" t="s">
        <v>8167</v>
      </c>
    </row>
    <row r="1217" spans="3:4">
      <c r="C1217" s="90" t="s">
        <v>8168</v>
      </c>
      <c r="D1217" s="88" t="s">
        <v>8169</v>
      </c>
    </row>
    <row r="1218" spans="3:4">
      <c r="C1218" s="90" t="s">
        <v>8170</v>
      </c>
      <c r="D1218" s="88" t="s">
        <v>8171</v>
      </c>
    </row>
    <row r="1219" spans="3:4">
      <c r="C1219" s="90" t="s">
        <v>8172</v>
      </c>
      <c r="D1219" s="88" t="s">
        <v>8173</v>
      </c>
    </row>
    <row r="1220" spans="3:4">
      <c r="C1220" s="90" t="s">
        <v>8174</v>
      </c>
      <c r="D1220" s="88" t="s">
        <v>8175</v>
      </c>
    </row>
    <row r="1221" spans="3:4">
      <c r="C1221" s="90" t="s">
        <v>8176</v>
      </c>
      <c r="D1221" s="88" t="s">
        <v>8177</v>
      </c>
    </row>
    <row r="1222" spans="3:4">
      <c r="C1222" s="90" t="s">
        <v>8178</v>
      </c>
      <c r="D1222" s="88" t="s">
        <v>8179</v>
      </c>
    </row>
    <row r="1223" spans="3:4">
      <c r="C1223" s="90" t="s">
        <v>8180</v>
      </c>
      <c r="D1223" s="88" t="s">
        <v>8181</v>
      </c>
    </row>
    <row r="1224" spans="3:4">
      <c r="C1224" s="90" t="s">
        <v>8182</v>
      </c>
      <c r="D1224" s="88" t="s">
        <v>8183</v>
      </c>
    </row>
    <row r="1225" spans="3:4">
      <c r="C1225" s="90" t="s">
        <v>8184</v>
      </c>
      <c r="D1225" s="88" t="s">
        <v>8185</v>
      </c>
    </row>
    <row r="1226" spans="3:4">
      <c r="C1226" s="90" t="s">
        <v>8186</v>
      </c>
      <c r="D1226" s="88" t="s">
        <v>8187</v>
      </c>
    </row>
    <row r="1227" spans="3:4">
      <c r="C1227" s="90" t="s">
        <v>8188</v>
      </c>
      <c r="D1227" s="88" t="s">
        <v>8189</v>
      </c>
    </row>
    <row r="1228" spans="3:4">
      <c r="C1228" s="90" t="s">
        <v>8190</v>
      </c>
      <c r="D1228" s="88" t="s">
        <v>8191</v>
      </c>
    </row>
    <row r="1229" spans="3:4">
      <c r="C1229" s="90" t="s">
        <v>8192</v>
      </c>
      <c r="D1229" s="88" t="s">
        <v>8193</v>
      </c>
    </row>
    <row r="1230" spans="3:4">
      <c r="C1230" s="90" t="s">
        <v>8194</v>
      </c>
      <c r="D1230" s="88" t="s">
        <v>8195</v>
      </c>
    </row>
    <row r="1231" spans="3:4">
      <c r="C1231" s="90" t="s">
        <v>8196</v>
      </c>
      <c r="D1231" s="88" t="s">
        <v>8197</v>
      </c>
    </row>
    <row r="1232" spans="3:4">
      <c r="C1232" s="90" t="s">
        <v>8198</v>
      </c>
      <c r="D1232" s="88" t="s">
        <v>8199</v>
      </c>
    </row>
    <row r="1233" spans="3:4">
      <c r="C1233" s="90" t="s">
        <v>8200</v>
      </c>
      <c r="D1233" s="88" t="s">
        <v>8201</v>
      </c>
    </row>
    <row r="1234" spans="3:4">
      <c r="C1234" s="90" t="s">
        <v>8202</v>
      </c>
      <c r="D1234" s="88" t="s">
        <v>8203</v>
      </c>
    </row>
    <row r="1235" spans="3:4">
      <c r="C1235" s="90" t="s">
        <v>8204</v>
      </c>
      <c r="D1235" s="88" t="s">
        <v>8205</v>
      </c>
    </row>
    <row r="1236" spans="3:4">
      <c r="C1236" s="90" t="s">
        <v>8206</v>
      </c>
      <c r="D1236" s="88" t="s">
        <v>8207</v>
      </c>
    </row>
    <row r="1237" spans="3:4">
      <c r="C1237" s="90" t="s">
        <v>8208</v>
      </c>
      <c r="D1237" s="88" t="s">
        <v>8209</v>
      </c>
    </row>
    <row r="1238" spans="3:4">
      <c r="C1238" s="90" t="s">
        <v>8210</v>
      </c>
      <c r="D1238" s="88" t="s">
        <v>8211</v>
      </c>
    </row>
    <row r="1239" spans="3:4">
      <c r="C1239" s="90" t="s">
        <v>8212</v>
      </c>
      <c r="D1239" s="88" t="s">
        <v>8213</v>
      </c>
    </row>
    <row r="1240" spans="3:4">
      <c r="C1240" s="90" t="s">
        <v>8214</v>
      </c>
      <c r="D1240" s="88" t="s">
        <v>8215</v>
      </c>
    </row>
    <row r="1241" spans="3:4">
      <c r="C1241" s="90" t="s">
        <v>8216</v>
      </c>
      <c r="D1241" s="88" t="s">
        <v>8217</v>
      </c>
    </row>
    <row r="1242" spans="3:4">
      <c r="C1242" s="90" t="s">
        <v>8218</v>
      </c>
      <c r="D1242" s="88" t="s">
        <v>8219</v>
      </c>
    </row>
    <row r="1243" spans="3:4">
      <c r="C1243" s="90" t="s">
        <v>8220</v>
      </c>
      <c r="D1243" s="88" t="s">
        <v>8221</v>
      </c>
    </row>
    <row r="1244" spans="3:4">
      <c r="C1244" s="90" t="s">
        <v>8222</v>
      </c>
      <c r="D1244" s="88" t="s">
        <v>8223</v>
      </c>
    </row>
    <row r="1245" spans="3:4">
      <c r="C1245" s="90" t="s">
        <v>8224</v>
      </c>
      <c r="D1245" s="88" t="s">
        <v>8225</v>
      </c>
    </row>
    <row r="1246" spans="3:4">
      <c r="C1246" s="90" t="s">
        <v>8226</v>
      </c>
      <c r="D1246" s="88" t="s">
        <v>8227</v>
      </c>
    </row>
    <row r="1247" spans="3:4">
      <c r="C1247" s="90" t="s">
        <v>8228</v>
      </c>
      <c r="D1247" s="88" t="s">
        <v>8229</v>
      </c>
    </row>
    <row r="1248" spans="3:4">
      <c r="C1248" s="90" t="s">
        <v>8230</v>
      </c>
      <c r="D1248" s="88" t="s">
        <v>8231</v>
      </c>
    </row>
    <row r="1249" spans="3:4">
      <c r="C1249" s="90" t="s">
        <v>8232</v>
      </c>
      <c r="D1249" s="88" t="s">
        <v>8233</v>
      </c>
    </row>
    <row r="1250" spans="3:4">
      <c r="C1250" s="90" t="s">
        <v>8234</v>
      </c>
      <c r="D1250" s="88" t="s">
        <v>8235</v>
      </c>
    </row>
    <row r="1251" spans="3:4">
      <c r="C1251" s="90" t="s">
        <v>8236</v>
      </c>
      <c r="D1251" s="88" t="s">
        <v>8237</v>
      </c>
    </row>
    <row r="1252" spans="3:4">
      <c r="C1252" s="90" t="s">
        <v>8238</v>
      </c>
      <c r="D1252" s="88" t="s">
        <v>8239</v>
      </c>
    </row>
    <row r="1253" spans="3:4">
      <c r="C1253" s="90" t="s">
        <v>8240</v>
      </c>
      <c r="D1253" s="88" t="s">
        <v>8241</v>
      </c>
    </row>
    <row r="1254" spans="3:4">
      <c r="C1254" s="90" t="s">
        <v>8242</v>
      </c>
      <c r="D1254" s="88" t="s">
        <v>8243</v>
      </c>
    </row>
    <row r="1255" spans="3:4">
      <c r="C1255" s="90" t="s">
        <v>8244</v>
      </c>
      <c r="D1255" s="88" t="s">
        <v>8245</v>
      </c>
    </row>
    <row r="1256" spans="3:4">
      <c r="C1256" s="90" t="s">
        <v>8246</v>
      </c>
      <c r="D1256" s="88" t="s">
        <v>8247</v>
      </c>
    </row>
    <row r="1257" spans="3:4">
      <c r="C1257" s="90" t="s">
        <v>8248</v>
      </c>
      <c r="D1257" s="88" t="s">
        <v>8249</v>
      </c>
    </row>
    <row r="1258" spans="3:4">
      <c r="C1258" s="90" t="s">
        <v>8250</v>
      </c>
      <c r="D1258" s="88" t="s">
        <v>8251</v>
      </c>
    </row>
    <row r="1259" spans="3:4">
      <c r="C1259" s="90" t="s">
        <v>8252</v>
      </c>
      <c r="D1259" s="88" t="s">
        <v>8253</v>
      </c>
    </row>
    <row r="1260" spans="3:4">
      <c r="C1260" s="90" t="s">
        <v>8254</v>
      </c>
      <c r="D1260" s="88" t="s">
        <v>8255</v>
      </c>
    </row>
    <row r="1261" spans="3:4">
      <c r="C1261" s="90" t="s">
        <v>8256</v>
      </c>
      <c r="D1261" s="88" t="s">
        <v>8257</v>
      </c>
    </row>
    <row r="1262" spans="3:4">
      <c r="C1262" s="90" t="s">
        <v>8258</v>
      </c>
      <c r="D1262" s="88" t="s">
        <v>8259</v>
      </c>
    </row>
    <row r="1263" spans="3:4">
      <c r="C1263" s="90" t="s">
        <v>8260</v>
      </c>
      <c r="D1263" s="88" t="s">
        <v>8261</v>
      </c>
    </row>
    <row r="1264" spans="3:4">
      <c r="C1264" s="90" t="s">
        <v>8262</v>
      </c>
      <c r="D1264" s="88" t="s">
        <v>8263</v>
      </c>
    </row>
    <row r="1265" spans="3:4">
      <c r="C1265" s="90" t="s">
        <v>8264</v>
      </c>
      <c r="D1265" s="88" t="s">
        <v>8265</v>
      </c>
    </row>
    <row r="1266" spans="3:4">
      <c r="C1266" s="90" t="s">
        <v>8266</v>
      </c>
      <c r="D1266" s="88" t="s">
        <v>8267</v>
      </c>
    </row>
    <row r="1267" spans="3:4">
      <c r="C1267" s="90" t="s">
        <v>8268</v>
      </c>
      <c r="D1267" s="88" t="s">
        <v>8269</v>
      </c>
    </row>
    <row r="1268" spans="3:4">
      <c r="C1268" s="90" t="s">
        <v>8270</v>
      </c>
      <c r="D1268" s="88" t="s">
        <v>8271</v>
      </c>
    </row>
    <row r="1269" spans="3:4">
      <c r="C1269" s="90" t="s">
        <v>8272</v>
      </c>
      <c r="D1269" s="88" t="s">
        <v>8273</v>
      </c>
    </row>
    <row r="1270" spans="3:4">
      <c r="C1270" s="90" t="s">
        <v>8274</v>
      </c>
      <c r="D1270" s="88" t="s">
        <v>8275</v>
      </c>
    </row>
    <row r="1271" spans="3:4">
      <c r="C1271" s="90" t="s">
        <v>8276</v>
      </c>
      <c r="D1271" s="88" t="s">
        <v>8277</v>
      </c>
    </row>
    <row r="1272" spans="3:4">
      <c r="C1272" s="90" t="s">
        <v>8278</v>
      </c>
      <c r="D1272" s="88" t="s">
        <v>8279</v>
      </c>
    </row>
    <row r="1273" spans="3:4">
      <c r="C1273" s="90" t="s">
        <v>8280</v>
      </c>
      <c r="D1273" s="88" t="s">
        <v>8281</v>
      </c>
    </row>
    <row r="1274" spans="3:4">
      <c r="C1274" s="90" t="s">
        <v>8282</v>
      </c>
      <c r="D1274" s="88" t="s">
        <v>8283</v>
      </c>
    </row>
    <row r="1275" spans="3:4">
      <c r="C1275" s="90" t="s">
        <v>8284</v>
      </c>
      <c r="D1275" s="88" t="s">
        <v>8285</v>
      </c>
    </row>
    <row r="1276" spans="3:4">
      <c r="C1276" s="90" t="s">
        <v>8286</v>
      </c>
      <c r="D1276" s="88" t="s">
        <v>8287</v>
      </c>
    </row>
    <row r="1277" spans="3:4">
      <c r="C1277" s="90" t="s">
        <v>8288</v>
      </c>
      <c r="D1277" s="88" t="s">
        <v>8289</v>
      </c>
    </row>
    <row r="1278" spans="3:4">
      <c r="C1278" s="90" t="s">
        <v>8290</v>
      </c>
      <c r="D1278" s="88" t="s">
        <v>8291</v>
      </c>
    </row>
    <row r="1279" spans="3:4">
      <c r="C1279" s="90" t="s">
        <v>8292</v>
      </c>
      <c r="D1279" s="88" t="s">
        <v>8293</v>
      </c>
    </row>
    <row r="1280" spans="3:4">
      <c r="C1280" s="90" t="s">
        <v>8294</v>
      </c>
      <c r="D1280" s="88" t="s">
        <v>8295</v>
      </c>
    </row>
    <row r="1281" spans="3:4">
      <c r="C1281" s="90" t="s">
        <v>8296</v>
      </c>
      <c r="D1281" s="88" t="s">
        <v>8297</v>
      </c>
    </row>
    <row r="1282" spans="3:4">
      <c r="C1282" s="90" t="s">
        <v>8298</v>
      </c>
      <c r="D1282" s="88" t="s">
        <v>8299</v>
      </c>
    </row>
    <row r="1283" spans="3:4">
      <c r="C1283" s="90" t="s">
        <v>8300</v>
      </c>
      <c r="D1283" s="88" t="s">
        <v>8301</v>
      </c>
    </row>
    <row r="1284" spans="3:4">
      <c r="C1284" s="90" t="s">
        <v>8302</v>
      </c>
      <c r="D1284" s="88" t="s">
        <v>8303</v>
      </c>
    </row>
    <row r="1285" spans="3:4">
      <c r="C1285" s="90" t="s">
        <v>8304</v>
      </c>
      <c r="D1285" s="88" t="s">
        <v>8305</v>
      </c>
    </row>
    <row r="1286" spans="3:4">
      <c r="C1286" s="90" t="s">
        <v>8306</v>
      </c>
      <c r="D1286" s="88" t="s">
        <v>8307</v>
      </c>
    </row>
    <row r="1287" spans="3:4">
      <c r="C1287" s="90" t="s">
        <v>8308</v>
      </c>
      <c r="D1287" s="88" t="s">
        <v>8309</v>
      </c>
    </row>
    <row r="1288" spans="3:4">
      <c r="C1288" s="90" t="s">
        <v>8310</v>
      </c>
      <c r="D1288" s="88" t="s">
        <v>8311</v>
      </c>
    </row>
    <row r="1289" spans="3:4">
      <c r="C1289" s="90" t="s">
        <v>8312</v>
      </c>
      <c r="D1289" s="88" t="s">
        <v>8313</v>
      </c>
    </row>
    <row r="1290" spans="3:4">
      <c r="C1290" s="90" t="s">
        <v>8314</v>
      </c>
      <c r="D1290" s="88" t="s">
        <v>8315</v>
      </c>
    </row>
    <row r="1291" spans="3:4">
      <c r="C1291" s="90" t="s">
        <v>8316</v>
      </c>
      <c r="D1291" s="88" t="s">
        <v>8317</v>
      </c>
    </row>
    <row r="1292" spans="3:4">
      <c r="C1292" s="90" t="s">
        <v>8318</v>
      </c>
      <c r="D1292" s="88" t="s">
        <v>8319</v>
      </c>
    </row>
    <row r="1293" spans="3:4">
      <c r="C1293" s="90" t="s">
        <v>8320</v>
      </c>
      <c r="D1293" s="88" t="s">
        <v>8321</v>
      </c>
    </row>
    <row r="1294" spans="3:4">
      <c r="C1294" s="90" t="s">
        <v>8322</v>
      </c>
      <c r="D1294" s="88" t="s">
        <v>8323</v>
      </c>
    </row>
    <row r="1295" spans="3:4">
      <c r="C1295" s="90" t="s">
        <v>8324</v>
      </c>
      <c r="D1295" s="88" t="s">
        <v>8325</v>
      </c>
    </row>
    <row r="1296" spans="3:4">
      <c r="C1296" s="90" t="s">
        <v>8326</v>
      </c>
      <c r="D1296" s="88" t="s">
        <v>8327</v>
      </c>
    </row>
    <row r="1297" spans="3:4">
      <c r="C1297" s="90" t="s">
        <v>8328</v>
      </c>
      <c r="D1297" s="88" t="s">
        <v>8329</v>
      </c>
    </row>
    <row r="1298" spans="3:4">
      <c r="C1298" s="90" t="s">
        <v>8330</v>
      </c>
      <c r="D1298" s="88" t="s">
        <v>8331</v>
      </c>
    </row>
    <row r="1299" spans="3:4">
      <c r="C1299" s="90" t="s">
        <v>8332</v>
      </c>
      <c r="D1299" s="88" t="s">
        <v>8333</v>
      </c>
    </row>
    <row r="1300" spans="3:4">
      <c r="C1300" s="90" t="s">
        <v>8334</v>
      </c>
      <c r="D1300" s="88" t="s">
        <v>8335</v>
      </c>
    </row>
    <row r="1301" spans="3:4">
      <c r="C1301" s="90" t="s">
        <v>8336</v>
      </c>
      <c r="D1301" s="88" t="s">
        <v>8337</v>
      </c>
    </row>
    <row r="1302" spans="3:4">
      <c r="C1302" s="90" t="s">
        <v>8338</v>
      </c>
      <c r="D1302" s="88" t="s">
        <v>8339</v>
      </c>
    </row>
    <row r="1303" spans="3:4">
      <c r="C1303" s="90" t="s">
        <v>8340</v>
      </c>
      <c r="D1303" s="88" t="s">
        <v>8341</v>
      </c>
    </row>
    <row r="1304" spans="3:4">
      <c r="C1304" s="90" t="s">
        <v>8342</v>
      </c>
      <c r="D1304" s="88" t="s">
        <v>8343</v>
      </c>
    </row>
    <row r="1305" spans="3:4">
      <c r="C1305" s="90" t="s">
        <v>8344</v>
      </c>
      <c r="D1305" s="88" t="s">
        <v>8345</v>
      </c>
    </row>
    <row r="1306" spans="3:4">
      <c r="C1306" s="90" t="s">
        <v>8346</v>
      </c>
      <c r="D1306" s="88" t="s">
        <v>8347</v>
      </c>
    </row>
    <row r="1307" spans="3:4">
      <c r="C1307" s="90" t="s">
        <v>8348</v>
      </c>
      <c r="D1307" s="88" t="s">
        <v>8349</v>
      </c>
    </row>
    <row r="1308" spans="3:4">
      <c r="C1308" s="90" t="s">
        <v>8350</v>
      </c>
      <c r="D1308" s="88" t="s">
        <v>8351</v>
      </c>
    </row>
    <row r="1309" spans="3:4">
      <c r="C1309" s="90" t="s">
        <v>8352</v>
      </c>
      <c r="D1309" s="88" t="s">
        <v>8353</v>
      </c>
    </row>
    <row r="1310" spans="3:4">
      <c r="C1310" s="90" t="s">
        <v>8354</v>
      </c>
      <c r="D1310" s="88" t="s">
        <v>8355</v>
      </c>
    </row>
    <row r="1311" spans="3:4">
      <c r="C1311" s="90" t="s">
        <v>8356</v>
      </c>
      <c r="D1311" s="88" t="s">
        <v>8357</v>
      </c>
    </row>
    <row r="1312" spans="3:4">
      <c r="C1312" s="90" t="s">
        <v>8358</v>
      </c>
      <c r="D1312" s="88" t="s">
        <v>8359</v>
      </c>
    </row>
    <row r="1313" spans="3:4">
      <c r="C1313" s="90" t="s">
        <v>8360</v>
      </c>
      <c r="D1313" s="88" t="s">
        <v>8361</v>
      </c>
    </row>
    <row r="1314" spans="3:4">
      <c r="C1314" s="90" t="s">
        <v>8362</v>
      </c>
      <c r="D1314" s="88" t="s">
        <v>8363</v>
      </c>
    </row>
    <row r="1315" spans="3:4">
      <c r="C1315" s="90" t="s">
        <v>8364</v>
      </c>
      <c r="D1315" s="88" t="s">
        <v>8365</v>
      </c>
    </row>
    <row r="1316" spans="3:4">
      <c r="C1316" s="90" t="s">
        <v>8366</v>
      </c>
      <c r="D1316" s="88" t="s">
        <v>8367</v>
      </c>
    </row>
    <row r="1317" spans="3:4">
      <c r="C1317" s="90" t="s">
        <v>8368</v>
      </c>
      <c r="D1317" s="88" t="s">
        <v>8369</v>
      </c>
    </row>
    <row r="1318" spans="3:4">
      <c r="C1318" s="90" t="s">
        <v>8370</v>
      </c>
      <c r="D1318" s="88" t="s">
        <v>8371</v>
      </c>
    </row>
    <row r="1319" spans="3:4">
      <c r="C1319" s="90" t="s">
        <v>8372</v>
      </c>
      <c r="D1319" s="88" t="s">
        <v>8373</v>
      </c>
    </row>
    <row r="1320" spans="3:4">
      <c r="C1320" s="90" t="s">
        <v>8374</v>
      </c>
      <c r="D1320" s="88" t="s">
        <v>8375</v>
      </c>
    </row>
    <row r="1321" spans="3:4">
      <c r="C1321" s="90" t="s">
        <v>8376</v>
      </c>
      <c r="D1321" s="88" t="s">
        <v>8377</v>
      </c>
    </row>
    <row r="1322" spans="3:4">
      <c r="C1322" s="90" t="s">
        <v>8378</v>
      </c>
      <c r="D1322" s="88" t="s">
        <v>8379</v>
      </c>
    </row>
    <row r="1323" spans="3:4">
      <c r="C1323" s="90" t="s">
        <v>8380</v>
      </c>
      <c r="D1323" s="88" t="s">
        <v>8381</v>
      </c>
    </row>
    <row r="1324" spans="3:4">
      <c r="C1324" s="90" t="s">
        <v>8382</v>
      </c>
      <c r="D1324" s="88" t="s">
        <v>8383</v>
      </c>
    </row>
    <row r="1325" spans="3:4">
      <c r="C1325" s="90" t="s">
        <v>8384</v>
      </c>
      <c r="D1325" s="88" t="s">
        <v>8385</v>
      </c>
    </row>
    <row r="1326" spans="3:4">
      <c r="C1326" s="90" t="s">
        <v>8386</v>
      </c>
      <c r="D1326" s="88" t="s">
        <v>8387</v>
      </c>
    </row>
    <row r="1327" spans="3:4">
      <c r="C1327" s="90" t="s">
        <v>8388</v>
      </c>
      <c r="D1327" s="88" t="s">
        <v>8389</v>
      </c>
    </row>
    <row r="1328" spans="3:4">
      <c r="C1328" s="90" t="s">
        <v>8390</v>
      </c>
      <c r="D1328" s="88" t="s">
        <v>8391</v>
      </c>
    </row>
    <row r="1329" spans="3:4">
      <c r="C1329" s="90" t="s">
        <v>8392</v>
      </c>
      <c r="D1329" s="88" t="s">
        <v>8393</v>
      </c>
    </row>
    <row r="1330" spans="3:4">
      <c r="C1330" s="90" t="s">
        <v>8394</v>
      </c>
      <c r="D1330" s="88" t="s">
        <v>8395</v>
      </c>
    </row>
    <row r="1331" spans="3:4">
      <c r="C1331" s="90" t="s">
        <v>8396</v>
      </c>
      <c r="D1331" s="88" t="s">
        <v>8397</v>
      </c>
    </row>
    <row r="1332" spans="3:4">
      <c r="C1332" s="90" t="s">
        <v>8398</v>
      </c>
      <c r="D1332" s="88" t="s">
        <v>8399</v>
      </c>
    </row>
    <row r="1333" spans="3:4">
      <c r="C1333" s="90" t="s">
        <v>8400</v>
      </c>
      <c r="D1333" s="88" t="s">
        <v>8401</v>
      </c>
    </row>
    <row r="1334" spans="3:4">
      <c r="C1334" s="90" t="s">
        <v>8402</v>
      </c>
      <c r="D1334" s="88" t="s">
        <v>8403</v>
      </c>
    </row>
    <row r="1335" spans="3:4">
      <c r="C1335" s="90" t="s">
        <v>8404</v>
      </c>
      <c r="D1335" s="88" t="s">
        <v>8405</v>
      </c>
    </row>
    <row r="1336" spans="3:4">
      <c r="C1336" s="90" t="s">
        <v>8406</v>
      </c>
      <c r="D1336" s="88" t="s">
        <v>8407</v>
      </c>
    </row>
    <row r="1337" spans="3:4">
      <c r="C1337" s="90" t="s">
        <v>8408</v>
      </c>
      <c r="D1337" s="88" t="s">
        <v>8409</v>
      </c>
    </row>
    <row r="1338" spans="3:4">
      <c r="C1338" s="90" t="s">
        <v>8410</v>
      </c>
      <c r="D1338" s="88" t="s">
        <v>8411</v>
      </c>
    </row>
    <row r="1339" spans="3:4">
      <c r="C1339" s="90" t="s">
        <v>8412</v>
      </c>
      <c r="D1339" s="88" t="s">
        <v>8413</v>
      </c>
    </row>
    <row r="1340" spans="3:4">
      <c r="C1340" s="90" t="s">
        <v>8414</v>
      </c>
      <c r="D1340" s="88" t="s">
        <v>8415</v>
      </c>
    </row>
    <row r="1341" spans="3:4">
      <c r="C1341" s="90" t="s">
        <v>8416</v>
      </c>
      <c r="D1341" s="88" t="s">
        <v>8417</v>
      </c>
    </row>
    <row r="1342" spans="3:4">
      <c r="C1342" s="90" t="s">
        <v>8418</v>
      </c>
      <c r="D1342" s="88" t="s">
        <v>8419</v>
      </c>
    </row>
    <row r="1343" spans="3:4">
      <c r="C1343" s="90" t="s">
        <v>8420</v>
      </c>
      <c r="D1343" s="88" t="s">
        <v>8421</v>
      </c>
    </row>
    <row r="1344" spans="3:4">
      <c r="C1344" s="90" t="s">
        <v>8422</v>
      </c>
      <c r="D1344" s="88" t="s">
        <v>8423</v>
      </c>
    </row>
    <row r="1345" spans="3:4">
      <c r="C1345" s="90" t="s">
        <v>8424</v>
      </c>
      <c r="D1345" s="88" t="s">
        <v>8425</v>
      </c>
    </row>
    <row r="1346" spans="3:4">
      <c r="C1346" s="90" t="s">
        <v>8426</v>
      </c>
      <c r="D1346" s="88" t="s">
        <v>8427</v>
      </c>
    </row>
    <row r="1347" spans="3:4">
      <c r="C1347" s="90" t="s">
        <v>8428</v>
      </c>
      <c r="D1347" s="88" t="s">
        <v>8429</v>
      </c>
    </row>
    <row r="1348" spans="3:4">
      <c r="C1348" s="90" t="s">
        <v>8430</v>
      </c>
      <c r="D1348" s="88" t="s">
        <v>8431</v>
      </c>
    </row>
    <row r="1349" spans="3:4">
      <c r="C1349" s="90" t="s">
        <v>8432</v>
      </c>
      <c r="D1349" s="88" t="s">
        <v>8433</v>
      </c>
    </row>
    <row r="1350" spans="3:4">
      <c r="C1350" s="90" t="s">
        <v>8434</v>
      </c>
      <c r="D1350" s="88" t="s">
        <v>8435</v>
      </c>
    </row>
    <row r="1351" spans="3:4">
      <c r="C1351" s="90" t="s">
        <v>8436</v>
      </c>
      <c r="D1351" s="88" t="s">
        <v>8437</v>
      </c>
    </row>
    <row r="1352" spans="3:4">
      <c r="C1352" s="90" t="s">
        <v>8438</v>
      </c>
      <c r="D1352" s="88" t="s">
        <v>8439</v>
      </c>
    </row>
    <row r="1353" spans="3:4">
      <c r="C1353" s="90" t="s">
        <v>8440</v>
      </c>
      <c r="D1353" s="88" t="s">
        <v>8441</v>
      </c>
    </row>
    <row r="1354" spans="3:4">
      <c r="C1354" s="90" t="s">
        <v>8442</v>
      </c>
      <c r="D1354" s="88" t="s">
        <v>8443</v>
      </c>
    </row>
    <row r="1355" spans="3:4">
      <c r="C1355" s="90" t="s">
        <v>8444</v>
      </c>
      <c r="D1355" s="88" t="s">
        <v>8445</v>
      </c>
    </row>
    <row r="1356" spans="3:4">
      <c r="C1356" s="90" t="s">
        <v>8446</v>
      </c>
      <c r="D1356" s="88" t="s">
        <v>8447</v>
      </c>
    </row>
    <row r="1357" spans="3:4">
      <c r="C1357" s="90" t="s">
        <v>8448</v>
      </c>
      <c r="D1357" s="88" t="s">
        <v>8449</v>
      </c>
    </row>
    <row r="1358" spans="3:4">
      <c r="C1358" s="90" t="s">
        <v>8450</v>
      </c>
      <c r="D1358" s="88" t="s">
        <v>8451</v>
      </c>
    </row>
    <row r="1359" spans="3:4">
      <c r="C1359" s="90" t="s">
        <v>8452</v>
      </c>
      <c r="D1359" s="88" t="s">
        <v>8453</v>
      </c>
    </row>
    <row r="1360" spans="3:4">
      <c r="C1360" s="90" t="s">
        <v>8454</v>
      </c>
      <c r="D1360" s="88" t="s">
        <v>8455</v>
      </c>
    </row>
    <row r="1361" spans="3:4">
      <c r="C1361" s="90" t="s">
        <v>8456</v>
      </c>
      <c r="D1361" s="88" t="s">
        <v>8457</v>
      </c>
    </row>
    <row r="1362" spans="3:4">
      <c r="C1362" s="90" t="s">
        <v>8458</v>
      </c>
      <c r="D1362" s="88" t="s">
        <v>8459</v>
      </c>
    </row>
    <row r="1363" spans="3:4">
      <c r="C1363" s="90" t="s">
        <v>8460</v>
      </c>
      <c r="D1363" s="88" t="s">
        <v>8461</v>
      </c>
    </row>
    <row r="1364" spans="3:4">
      <c r="C1364" s="90" t="s">
        <v>8462</v>
      </c>
      <c r="D1364" s="88" t="s">
        <v>8463</v>
      </c>
    </row>
    <row r="1365" spans="3:4">
      <c r="C1365" s="90" t="s">
        <v>8464</v>
      </c>
      <c r="D1365" s="88" t="s">
        <v>8465</v>
      </c>
    </row>
    <row r="1366" spans="3:4">
      <c r="C1366" s="90" t="s">
        <v>8466</v>
      </c>
      <c r="D1366" s="88" t="s">
        <v>8467</v>
      </c>
    </row>
    <row r="1367" spans="3:4">
      <c r="C1367" s="90" t="s">
        <v>8468</v>
      </c>
      <c r="D1367" s="88" t="s">
        <v>8469</v>
      </c>
    </row>
    <row r="1368" spans="3:4">
      <c r="C1368" s="90" t="s">
        <v>8470</v>
      </c>
      <c r="D1368" s="88" t="s">
        <v>8471</v>
      </c>
    </row>
    <row r="1369" spans="3:4">
      <c r="C1369" s="90" t="s">
        <v>8472</v>
      </c>
      <c r="D1369" s="88" t="s">
        <v>8473</v>
      </c>
    </row>
    <row r="1370" spans="3:4">
      <c r="C1370" s="90" t="s">
        <v>8474</v>
      </c>
      <c r="D1370" s="88" t="s">
        <v>8475</v>
      </c>
    </row>
    <row r="1371" spans="3:4">
      <c r="C1371" s="90" t="s">
        <v>8476</v>
      </c>
      <c r="D1371" s="88" t="s">
        <v>8477</v>
      </c>
    </row>
    <row r="1372" spans="3:4">
      <c r="C1372" s="90" t="s">
        <v>8478</v>
      </c>
      <c r="D1372" s="88" t="s">
        <v>8479</v>
      </c>
    </row>
    <row r="1373" spans="3:4">
      <c r="C1373" s="90" t="s">
        <v>8480</v>
      </c>
      <c r="D1373" s="88" t="s">
        <v>8481</v>
      </c>
    </row>
    <row r="1374" spans="3:4">
      <c r="C1374" s="90" t="s">
        <v>8482</v>
      </c>
      <c r="D1374" s="88" t="s">
        <v>8483</v>
      </c>
    </row>
    <row r="1375" spans="3:4">
      <c r="C1375" s="90" t="s">
        <v>8484</v>
      </c>
      <c r="D1375" s="88" t="s">
        <v>8485</v>
      </c>
    </row>
    <row r="1376" spans="3:4">
      <c r="C1376" s="90" t="s">
        <v>8486</v>
      </c>
      <c r="D1376" s="88" t="s">
        <v>8487</v>
      </c>
    </row>
    <row r="1377" spans="3:4">
      <c r="C1377" s="90" t="s">
        <v>8488</v>
      </c>
      <c r="D1377" s="88" t="s">
        <v>8489</v>
      </c>
    </row>
    <row r="1378" spans="3:4">
      <c r="C1378" s="90" t="s">
        <v>8490</v>
      </c>
      <c r="D1378" s="88" t="s">
        <v>8491</v>
      </c>
    </row>
    <row r="1379" spans="3:4">
      <c r="C1379" s="90" t="s">
        <v>8492</v>
      </c>
      <c r="D1379" s="88" t="s">
        <v>8493</v>
      </c>
    </row>
    <row r="1380" spans="3:4">
      <c r="C1380" s="90" t="s">
        <v>8494</v>
      </c>
      <c r="D1380" s="88" t="s">
        <v>8495</v>
      </c>
    </row>
    <row r="1381" spans="3:4">
      <c r="C1381" s="90" t="s">
        <v>8496</v>
      </c>
      <c r="D1381" s="88" t="s">
        <v>8497</v>
      </c>
    </row>
    <row r="1382" spans="3:4">
      <c r="C1382" s="90" t="s">
        <v>8498</v>
      </c>
      <c r="D1382" s="88" t="s">
        <v>8499</v>
      </c>
    </row>
    <row r="1383" spans="3:4">
      <c r="C1383" s="90" t="s">
        <v>8500</v>
      </c>
      <c r="D1383" s="88" t="s">
        <v>8501</v>
      </c>
    </row>
    <row r="1384" spans="3:4">
      <c r="C1384" s="90" t="s">
        <v>8502</v>
      </c>
      <c r="D1384" s="88" t="s">
        <v>8503</v>
      </c>
    </row>
    <row r="1385" spans="3:4">
      <c r="C1385" s="90" t="s">
        <v>8504</v>
      </c>
      <c r="D1385" s="88" t="s">
        <v>8505</v>
      </c>
    </row>
    <row r="1386" spans="3:4">
      <c r="C1386" s="90" t="s">
        <v>8506</v>
      </c>
      <c r="D1386" s="88" t="s">
        <v>8507</v>
      </c>
    </row>
    <row r="1387" spans="3:4">
      <c r="C1387" s="90" t="s">
        <v>8508</v>
      </c>
      <c r="D1387" s="88" t="s">
        <v>8509</v>
      </c>
    </row>
    <row r="1388" spans="3:4">
      <c r="C1388" s="90" t="s">
        <v>8510</v>
      </c>
      <c r="D1388" s="88" t="s">
        <v>8511</v>
      </c>
    </row>
    <row r="1389" spans="3:4">
      <c r="C1389" s="90" t="s">
        <v>8512</v>
      </c>
      <c r="D1389" s="88" t="s">
        <v>8513</v>
      </c>
    </row>
    <row r="1390" spans="3:4">
      <c r="C1390" s="90" t="s">
        <v>8514</v>
      </c>
      <c r="D1390" s="88" t="s">
        <v>8515</v>
      </c>
    </row>
    <row r="1391" spans="3:4">
      <c r="C1391" s="90" t="s">
        <v>8516</v>
      </c>
      <c r="D1391" s="88" t="s">
        <v>8517</v>
      </c>
    </row>
    <row r="1392" spans="3:4">
      <c r="C1392" s="90" t="s">
        <v>8518</v>
      </c>
      <c r="D1392" s="88" t="s">
        <v>8519</v>
      </c>
    </row>
    <row r="1393" spans="3:4">
      <c r="C1393" s="90" t="s">
        <v>8520</v>
      </c>
      <c r="D1393" s="88" t="s">
        <v>8521</v>
      </c>
    </row>
    <row r="1394" spans="3:4">
      <c r="C1394" s="90" t="s">
        <v>8522</v>
      </c>
      <c r="D1394" s="88" t="s">
        <v>8523</v>
      </c>
    </row>
    <row r="1395" spans="3:4">
      <c r="C1395" s="90" t="s">
        <v>8524</v>
      </c>
      <c r="D1395" s="88" t="s">
        <v>8525</v>
      </c>
    </row>
    <row r="1396" spans="3:4">
      <c r="C1396" s="90" t="s">
        <v>8526</v>
      </c>
      <c r="D1396" s="88" t="s">
        <v>8527</v>
      </c>
    </row>
    <row r="1397" spans="3:4">
      <c r="C1397" s="90" t="s">
        <v>8528</v>
      </c>
      <c r="D1397" s="88" t="s">
        <v>8529</v>
      </c>
    </row>
    <row r="1398" spans="3:4">
      <c r="C1398" s="90" t="s">
        <v>8530</v>
      </c>
      <c r="D1398" s="88" t="s">
        <v>8531</v>
      </c>
    </row>
    <row r="1399" spans="3:4">
      <c r="C1399" s="90" t="s">
        <v>8532</v>
      </c>
      <c r="D1399" s="88" t="s">
        <v>8533</v>
      </c>
    </row>
    <row r="1400" spans="3:4">
      <c r="C1400" s="90" t="s">
        <v>8534</v>
      </c>
      <c r="D1400" s="88" t="s">
        <v>8535</v>
      </c>
    </row>
    <row r="1401" spans="3:4">
      <c r="C1401" s="90" t="s">
        <v>8536</v>
      </c>
      <c r="D1401" s="88" t="s">
        <v>8537</v>
      </c>
    </row>
    <row r="1402" spans="3:4">
      <c r="C1402" s="90" t="s">
        <v>8538</v>
      </c>
      <c r="D1402" s="88" t="s">
        <v>8539</v>
      </c>
    </row>
    <row r="1403" spans="3:4">
      <c r="C1403" s="90" t="s">
        <v>8540</v>
      </c>
      <c r="D1403" s="88" t="s">
        <v>8541</v>
      </c>
    </row>
    <row r="1404" spans="3:4">
      <c r="C1404" s="90" t="s">
        <v>8542</v>
      </c>
      <c r="D1404" s="88" t="s">
        <v>8543</v>
      </c>
    </row>
    <row r="1405" spans="3:4">
      <c r="C1405" s="90" t="s">
        <v>8544</v>
      </c>
      <c r="D1405" s="88" t="s">
        <v>8545</v>
      </c>
    </row>
    <row r="1406" spans="3:4">
      <c r="C1406" s="90" t="s">
        <v>8546</v>
      </c>
      <c r="D1406" s="88" t="s">
        <v>8547</v>
      </c>
    </row>
    <row r="1407" spans="3:4">
      <c r="C1407" s="90" t="s">
        <v>8548</v>
      </c>
      <c r="D1407" s="88" t="s">
        <v>8549</v>
      </c>
    </row>
    <row r="1408" spans="3:4">
      <c r="C1408" s="90" t="s">
        <v>8550</v>
      </c>
      <c r="D1408" s="88" t="s">
        <v>8551</v>
      </c>
    </row>
    <row r="1409" spans="3:4">
      <c r="C1409" s="90" t="s">
        <v>8552</v>
      </c>
      <c r="D1409" s="88" t="s">
        <v>8553</v>
      </c>
    </row>
    <row r="1410" spans="3:4">
      <c r="C1410" s="90" t="s">
        <v>8554</v>
      </c>
      <c r="D1410" s="88" t="s">
        <v>8555</v>
      </c>
    </row>
    <row r="1411" spans="3:4">
      <c r="C1411" s="90" t="s">
        <v>8556</v>
      </c>
      <c r="D1411" s="88" t="s">
        <v>8557</v>
      </c>
    </row>
    <row r="1412" spans="3:4">
      <c r="C1412" s="90" t="s">
        <v>8558</v>
      </c>
      <c r="D1412" s="88" t="s">
        <v>8559</v>
      </c>
    </row>
    <row r="1413" spans="3:4">
      <c r="C1413" s="90" t="s">
        <v>8560</v>
      </c>
      <c r="D1413" s="88" t="s">
        <v>8561</v>
      </c>
    </row>
    <row r="1414" spans="3:4">
      <c r="C1414" s="90" t="s">
        <v>8562</v>
      </c>
      <c r="D1414" s="88" t="s">
        <v>8563</v>
      </c>
    </row>
    <row r="1415" spans="3:4">
      <c r="C1415" s="90" t="s">
        <v>8564</v>
      </c>
      <c r="D1415" s="88" t="s">
        <v>8565</v>
      </c>
    </row>
    <row r="1416" spans="3:4">
      <c r="C1416" s="90" t="s">
        <v>8566</v>
      </c>
      <c r="D1416" s="88" t="s">
        <v>8567</v>
      </c>
    </row>
    <row r="1417" spans="3:4">
      <c r="C1417" s="90" t="s">
        <v>8568</v>
      </c>
      <c r="D1417" s="88" t="s">
        <v>8569</v>
      </c>
    </row>
    <row r="1418" spans="3:4">
      <c r="C1418" s="90" t="s">
        <v>8570</v>
      </c>
      <c r="D1418" s="88" t="s">
        <v>8571</v>
      </c>
    </row>
    <row r="1419" spans="3:4">
      <c r="C1419" s="90" t="s">
        <v>8572</v>
      </c>
      <c r="D1419" s="88" t="s">
        <v>8573</v>
      </c>
    </row>
    <row r="1420" spans="3:4">
      <c r="C1420" s="90" t="s">
        <v>8574</v>
      </c>
      <c r="D1420" s="88" t="s">
        <v>8575</v>
      </c>
    </row>
    <row r="1421" spans="3:4">
      <c r="C1421" s="90" t="s">
        <v>8576</v>
      </c>
      <c r="D1421" s="88" t="s">
        <v>8577</v>
      </c>
    </row>
    <row r="1422" spans="3:4">
      <c r="C1422" s="90" t="s">
        <v>8578</v>
      </c>
      <c r="D1422" s="88" t="s">
        <v>8579</v>
      </c>
    </row>
    <row r="1423" spans="3:4">
      <c r="C1423" s="90" t="s">
        <v>8580</v>
      </c>
      <c r="D1423" s="88" t="s">
        <v>8581</v>
      </c>
    </row>
    <row r="1424" spans="3:4">
      <c r="C1424" s="90" t="s">
        <v>8582</v>
      </c>
      <c r="D1424" s="88" t="s">
        <v>8583</v>
      </c>
    </row>
    <row r="1425" spans="3:4">
      <c r="C1425" s="90" t="s">
        <v>8584</v>
      </c>
      <c r="D1425" s="88" t="s">
        <v>8585</v>
      </c>
    </row>
    <row r="1426" spans="3:4">
      <c r="C1426" s="90" t="s">
        <v>8586</v>
      </c>
      <c r="D1426" s="88" t="s">
        <v>8587</v>
      </c>
    </row>
    <row r="1427" spans="3:4">
      <c r="C1427" s="90" t="s">
        <v>8588</v>
      </c>
      <c r="D1427" s="88" t="s">
        <v>8589</v>
      </c>
    </row>
    <row r="1428" spans="3:4">
      <c r="C1428" s="90" t="s">
        <v>8590</v>
      </c>
      <c r="D1428" s="88" t="s">
        <v>8591</v>
      </c>
    </row>
    <row r="1429" spans="3:4">
      <c r="C1429" s="90" t="s">
        <v>8592</v>
      </c>
      <c r="D1429" s="88" t="s">
        <v>8593</v>
      </c>
    </row>
    <row r="1430" spans="3:4">
      <c r="C1430" s="90" t="s">
        <v>8594</v>
      </c>
      <c r="D1430" s="88" t="s">
        <v>8595</v>
      </c>
    </row>
    <row r="1431" spans="3:4">
      <c r="C1431" s="90" t="s">
        <v>8596</v>
      </c>
      <c r="D1431" s="88" t="s">
        <v>8597</v>
      </c>
    </row>
    <row r="1432" spans="3:4">
      <c r="C1432" s="90" t="s">
        <v>8598</v>
      </c>
      <c r="D1432" s="88" t="s">
        <v>8599</v>
      </c>
    </row>
    <row r="1433" spans="3:4">
      <c r="C1433" s="90" t="s">
        <v>8600</v>
      </c>
      <c r="D1433" s="88" t="s">
        <v>8601</v>
      </c>
    </row>
    <row r="1434" spans="3:4">
      <c r="C1434" s="90" t="s">
        <v>8602</v>
      </c>
      <c r="D1434" s="88" t="s">
        <v>8603</v>
      </c>
    </row>
    <row r="1435" spans="3:4">
      <c r="C1435" s="90" t="s">
        <v>8604</v>
      </c>
      <c r="D1435" s="88" t="s">
        <v>8605</v>
      </c>
    </row>
    <row r="1436" spans="3:4">
      <c r="C1436" s="90" t="s">
        <v>8606</v>
      </c>
      <c r="D1436" s="88" t="s">
        <v>8607</v>
      </c>
    </row>
    <row r="1437" spans="3:4">
      <c r="C1437" s="90" t="s">
        <v>8608</v>
      </c>
      <c r="D1437" s="88" t="s">
        <v>8609</v>
      </c>
    </row>
    <row r="1438" spans="3:4">
      <c r="C1438" s="90" t="s">
        <v>8610</v>
      </c>
      <c r="D1438" s="88" t="s">
        <v>8611</v>
      </c>
    </row>
    <row r="1439" spans="3:4">
      <c r="C1439" s="90" t="s">
        <v>8612</v>
      </c>
      <c r="D1439" s="88" t="s">
        <v>8613</v>
      </c>
    </row>
    <row r="1440" spans="3:4">
      <c r="C1440" s="90" t="s">
        <v>8614</v>
      </c>
      <c r="D1440" s="88" t="s">
        <v>8615</v>
      </c>
    </row>
    <row r="1441" spans="3:4">
      <c r="C1441" s="90" t="s">
        <v>8616</v>
      </c>
      <c r="D1441" s="88" t="s">
        <v>8617</v>
      </c>
    </row>
    <row r="1442" spans="3:4">
      <c r="C1442" s="90" t="s">
        <v>8618</v>
      </c>
      <c r="D1442" s="88" t="s">
        <v>8619</v>
      </c>
    </row>
    <row r="1443" spans="3:4">
      <c r="C1443" s="90" t="s">
        <v>8620</v>
      </c>
      <c r="D1443" s="88" t="s">
        <v>8621</v>
      </c>
    </row>
    <row r="1444" spans="3:4">
      <c r="C1444" s="90" t="s">
        <v>8622</v>
      </c>
      <c r="D1444" s="88" t="s">
        <v>8623</v>
      </c>
    </row>
    <row r="1445" spans="3:4">
      <c r="C1445" s="90" t="s">
        <v>8624</v>
      </c>
      <c r="D1445" s="88" t="s">
        <v>8625</v>
      </c>
    </row>
    <row r="1446" spans="3:4">
      <c r="C1446" s="90" t="s">
        <v>8626</v>
      </c>
      <c r="D1446" s="88" t="s">
        <v>8627</v>
      </c>
    </row>
    <row r="1447" spans="3:4">
      <c r="C1447" s="90" t="s">
        <v>8628</v>
      </c>
      <c r="D1447" s="88" t="s">
        <v>8629</v>
      </c>
    </row>
    <row r="1448" spans="3:4">
      <c r="C1448" s="90" t="s">
        <v>8630</v>
      </c>
      <c r="D1448" s="88" t="s">
        <v>8631</v>
      </c>
    </row>
    <row r="1449" spans="3:4">
      <c r="C1449" s="90" t="s">
        <v>8632</v>
      </c>
      <c r="D1449" s="88" t="s">
        <v>8633</v>
      </c>
    </row>
    <row r="1450" spans="3:4">
      <c r="C1450" s="90" t="s">
        <v>8634</v>
      </c>
      <c r="D1450" s="88" t="s">
        <v>8635</v>
      </c>
    </row>
    <row r="1451" spans="3:4">
      <c r="C1451" s="90" t="s">
        <v>8636</v>
      </c>
      <c r="D1451" s="88" t="s">
        <v>8637</v>
      </c>
    </row>
    <row r="1452" spans="3:4">
      <c r="C1452" s="90" t="s">
        <v>8638</v>
      </c>
      <c r="D1452" s="88" t="s">
        <v>8639</v>
      </c>
    </row>
    <row r="1453" spans="3:4">
      <c r="C1453" s="90" t="s">
        <v>8640</v>
      </c>
      <c r="D1453" s="88" t="s">
        <v>8641</v>
      </c>
    </row>
    <row r="1454" spans="3:4">
      <c r="C1454" s="90" t="s">
        <v>8642</v>
      </c>
      <c r="D1454" s="88" t="s">
        <v>8643</v>
      </c>
    </row>
    <row r="1455" spans="3:4">
      <c r="C1455" s="90" t="s">
        <v>8644</v>
      </c>
      <c r="D1455" s="88" t="s">
        <v>8645</v>
      </c>
    </row>
    <row r="1456" spans="3:4">
      <c r="C1456" s="90" t="s">
        <v>8646</v>
      </c>
      <c r="D1456" s="88" t="s">
        <v>8647</v>
      </c>
    </row>
    <row r="1457" spans="3:4">
      <c r="C1457" s="90" t="s">
        <v>8648</v>
      </c>
      <c r="D1457" s="88" t="s">
        <v>8649</v>
      </c>
    </row>
    <row r="1458" spans="3:4">
      <c r="C1458" s="90" t="s">
        <v>8650</v>
      </c>
      <c r="D1458" s="88" t="s">
        <v>8651</v>
      </c>
    </row>
    <row r="1459" spans="3:4">
      <c r="C1459" s="90" t="s">
        <v>8652</v>
      </c>
      <c r="D1459" s="88" t="s">
        <v>8653</v>
      </c>
    </row>
    <row r="1460" spans="3:4">
      <c r="C1460" s="90" t="s">
        <v>8654</v>
      </c>
      <c r="D1460" s="88" t="s">
        <v>8655</v>
      </c>
    </row>
    <row r="1461" spans="3:4">
      <c r="C1461" s="90" t="s">
        <v>8656</v>
      </c>
      <c r="D1461" s="88" t="s">
        <v>8657</v>
      </c>
    </row>
    <row r="1462" spans="3:4">
      <c r="C1462" s="90" t="s">
        <v>8658</v>
      </c>
      <c r="D1462" s="88" t="s">
        <v>8659</v>
      </c>
    </row>
    <row r="1463" spans="3:4">
      <c r="C1463" s="90" t="s">
        <v>8660</v>
      </c>
      <c r="D1463" s="88" t="s">
        <v>8661</v>
      </c>
    </row>
    <row r="1464" spans="3:4">
      <c r="C1464" s="90" t="s">
        <v>8662</v>
      </c>
      <c r="D1464" s="88" t="s">
        <v>8663</v>
      </c>
    </row>
    <row r="1465" spans="3:4">
      <c r="C1465" s="90" t="s">
        <v>8664</v>
      </c>
      <c r="D1465" s="88" t="s">
        <v>8665</v>
      </c>
    </row>
    <row r="1466" spans="3:4">
      <c r="C1466" s="90" t="s">
        <v>8666</v>
      </c>
      <c r="D1466" s="88" t="s">
        <v>8667</v>
      </c>
    </row>
    <row r="1467" spans="3:4">
      <c r="C1467" s="90" t="s">
        <v>8668</v>
      </c>
      <c r="D1467" s="88" t="s">
        <v>8669</v>
      </c>
    </row>
    <row r="1468" spans="3:4">
      <c r="C1468" s="90" t="s">
        <v>8670</v>
      </c>
      <c r="D1468" s="88" t="s">
        <v>8671</v>
      </c>
    </row>
    <row r="1469" spans="3:4">
      <c r="C1469" s="90" t="s">
        <v>8672</v>
      </c>
      <c r="D1469" s="88" t="s">
        <v>8673</v>
      </c>
    </row>
    <row r="1470" spans="3:4">
      <c r="C1470" s="90" t="s">
        <v>8674</v>
      </c>
      <c r="D1470" s="88" t="s">
        <v>8675</v>
      </c>
    </row>
    <row r="1471" spans="3:4">
      <c r="C1471" s="90" t="s">
        <v>8676</v>
      </c>
      <c r="D1471" s="88" t="s">
        <v>8677</v>
      </c>
    </row>
    <row r="1472" spans="3:4">
      <c r="C1472" s="90" t="s">
        <v>8678</v>
      </c>
      <c r="D1472" s="88" t="s">
        <v>8679</v>
      </c>
    </row>
    <row r="1473" spans="3:4">
      <c r="C1473" s="90" t="s">
        <v>8680</v>
      </c>
      <c r="D1473" s="88" t="s">
        <v>8681</v>
      </c>
    </row>
    <row r="1474" spans="3:4">
      <c r="C1474" s="90" t="s">
        <v>8682</v>
      </c>
      <c r="D1474" s="88" t="s">
        <v>8683</v>
      </c>
    </row>
    <row r="1475" spans="3:4">
      <c r="C1475" s="90" t="s">
        <v>8684</v>
      </c>
      <c r="D1475" s="88" t="s">
        <v>8685</v>
      </c>
    </row>
    <row r="1476" spans="3:4" ht="16.5">
      <c r="C1476"/>
    </row>
    <row r="1477" spans="3:4" ht="16.5">
      <c r="C1477"/>
    </row>
    <row r="1478" spans="3:4" ht="16.5">
      <c r="C1478"/>
    </row>
    <row r="1479" spans="3:4" ht="16.5">
      <c r="C1479"/>
    </row>
    <row r="1480" spans="3:4" ht="16.5">
      <c r="C1480"/>
    </row>
    <row r="1481" spans="3:4" ht="16.5">
      <c r="C1481"/>
    </row>
    <row r="1482" spans="3:4" ht="16.5">
      <c r="C1482"/>
    </row>
    <row r="1483" spans="3:4" ht="16.5">
      <c r="C1483"/>
    </row>
    <row r="1484" spans="3:4" ht="16.5">
      <c r="C1484"/>
    </row>
    <row r="1485" spans="3:4" ht="16.5">
      <c r="C1485"/>
    </row>
    <row r="1486" spans="3:4" ht="16.5">
      <c r="C1486"/>
    </row>
    <row r="1487" spans="3:4" ht="16.5">
      <c r="C1487"/>
    </row>
    <row r="1488" spans="3:4" ht="16.5">
      <c r="C1488"/>
    </row>
    <row r="1489" spans="3:3" ht="16.5">
      <c r="C1489"/>
    </row>
    <row r="1490" spans="3:3" ht="16.5">
      <c r="C1490"/>
    </row>
    <row r="1491" spans="3:3" ht="16.5">
      <c r="C1491"/>
    </row>
    <row r="1492" spans="3:3" ht="16.5">
      <c r="C1492"/>
    </row>
    <row r="1493" spans="3:3" ht="16.5">
      <c r="C1493"/>
    </row>
    <row r="1494" spans="3:3" ht="16.5">
      <c r="C1494"/>
    </row>
    <row r="1495" spans="3:3" ht="16.5">
      <c r="C1495"/>
    </row>
    <row r="1496" spans="3:3" ht="16.5">
      <c r="C1496"/>
    </row>
    <row r="1497" spans="3:3" ht="16.5">
      <c r="C1497"/>
    </row>
    <row r="1498" spans="3:3" ht="16.5">
      <c r="C1498"/>
    </row>
    <row r="1499" spans="3:3" ht="16.5">
      <c r="C1499"/>
    </row>
    <row r="1500" spans="3:3" ht="16.5">
      <c r="C1500"/>
    </row>
    <row r="1501" spans="3:3" ht="16.5">
      <c r="C1501"/>
    </row>
    <row r="1502" spans="3:3" ht="16.5">
      <c r="C1502"/>
    </row>
    <row r="1503" spans="3:3" ht="16.5">
      <c r="C1503"/>
    </row>
    <row r="1504" spans="3:3" ht="16.5">
      <c r="C1504"/>
    </row>
    <row r="1505" spans="3:3" ht="16.5">
      <c r="C1505"/>
    </row>
    <row r="1506" spans="3:3" ht="16.5">
      <c r="C1506"/>
    </row>
    <row r="1507" spans="3:3" ht="16.5">
      <c r="C1507"/>
    </row>
    <row r="1508" spans="3:3" ht="16.5">
      <c r="C1508"/>
    </row>
    <row r="1509" spans="3:3" ht="16.5">
      <c r="C1509"/>
    </row>
    <row r="1510" spans="3:3" ht="16.5">
      <c r="C1510"/>
    </row>
    <row r="1511" spans="3:3" ht="16.5">
      <c r="C1511"/>
    </row>
    <row r="1512" spans="3:3" ht="16.5">
      <c r="C1512"/>
    </row>
    <row r="1513" spans="3:3" ht="16.5">
      <c r="C1513"/>
    </row>
    <row r="1514" spans="3:3" ht="16.5">
      <c r="C1514"/>
    </row>
    <row r="1515" spans="3:3" ht="16.5">
      <c r="C1515"/>
    </row>
    <row r="1516" spans="3:3" ht="16.5">
      <c r="C1516"/>
    </row>
    <row r="1517" spans="3:3" ht="16.5">
      <c r="C1517"/>
    </row>
    <row r="1518" spans="3:3" ht="16.5">
      <c r="C1518"/>
    </row>
    <row r="1519" spans="3:3" ht="16.5">
      <c r="C1519"/>
    </row>
    <row r="1520" spans="3:3" ht="16.5">
      <c r="C1520"/>
    </row>
    <row r="1521" spans="3:3" ht="16.5">
      <c r="C1521"/>
    </row>
    <row r="1522" spans="3:3" ht="16.5">
      <c r="C1522"/>
    </row>
    <row r="1523" spans="3:3" ht="16.5">
      <c r="C1523"/>
    </row>
    <row r="1524" spans="3:3" ht="16.5">
      <c r="C1524"/>
    </row>
    <row r="1525" spans="3:3" ht="16.5">
      <c r="C1525"/>
    </row>
    <row r="1526" spans="3:3" ht="16.5">
      <c r="C1526"/>
    </row>
    <row r="1527" spans="3:3" ht="16.5">
      <c r="C1527"/>
    </row>
    <row r="1528" spans="3:3" ht="16.5">
      <c r="C1528"/>
    </row>
    <row r="1529" spans="3:3" ht="16.5">
      <c r="C1529"/>
    </row>
    <row r="1530" spans="3:3" ht="16.5">
      <c r="C1530"/>
    </row>
    <row r="1531" spans="3:3" ht="16.5">
      <c r="C1531"/>
    </row>
    <row r="1532" spans="3:3" ht="16.5">
      <c r="C1532"/>
    </row>
    <row r="1533" spans="3:3" ht="16.5">
      <c r="C1533"/>
    </row>
    <row r="1534" spans="3:3" ht="16.5">
      <c r="C1534"/>
    </row>
    <row r="1535" spans="3:3" ht="16.5">
      <c r="C1535"/>
    </row>
    <row r="1536" spans="3:3" ht="16.5">
      <c r="C1536"/>
    </row>
    <row r="1537" spans="3:3" ht="16.5">
      <c r="C1537"/>
    </row>
  </sheetData>
  <autoFilter ref="B1:I1537" xr:uid="{00000000-0001-0000-0500-000000000000}"/>
  <customSheetViews>
    <customSheetView guid="{5693F48F-8FCA-4CC0-9286-11E7497B1810}" showGridLines="0" topLeftCell="A1273">
      <selection activeCell="C740" sqref="C740:C1308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L500"/>
  <sheetViews>
    <sheetView workbookViewId="0">
      <pane ySplit="1" topLeftCell="A2" activePane="bottomLeft" state="frozen"/>
      <selection pane="bottomLeft" activeCell="L2" sqref="L2:L1048576"/>
    </sheetView>
  </sheetViews>
  <sheetFormatPr defaultRowHeight="12.75"/>
  <cols>
    <col min="1" max="1" width="6.5" style="100" bestFit="1" customWidth="1"/>
    <col min="2" max="2" width="24.375" style="96" customWidth="1"/>
    <col min="3" max="3" width="12.5" style="96" customWidth="1"/>
    <col min="4" max="4" width="4.125" style="100" customWidth="1"/>
    <col min="5" max="5" width="36.625" style="100" customWidth="1"/>
    <col min="6" max="6" width="7.625" style="96" customWidth="1"/>
    <col min="7" max="7" width="5" style="100" bestFit="1" customWidth="1"/>
    <col min="8" max="8" width="34" style="101" customWidth="1"/>
    <col min="9" max="9" width="7" style="97" customWidth="1"/>
    <col min="10" max="10" width="5" style="100" customWidth="1"/>
    <col min="11" max="11" width="22.75" style="101" bestFit="1" customWidth="1"/>
    <col min="12" max="12" width="9" style="97"/>
    <col min="13" max="16384" width="9" style="99"/>
  </cols>
  <sheetData>
    <row r="1" spans="1:12" ht="25.5">
      <c r="A1" s="135" t="s">
        <v>2103</v>
      </c>
      <c r="B1" s="136" t="s">
        <v>2152</v>
      </c>
      <c r="C1" s="95"/>
      <c r="D1" s="93" t="s">
        <v>2103</v>
      </c>
      <c r="E1" s="116" t="s">
        <v>2167</v>
      </c>
      <c r="G1" s="93" t="s">
        <v>2103</v>
      </c>
      <c r="H1" s="94" t="s">
        <v>2168</v>
      </c>
      <c r="J1" s="93" t="s">
        <v>6</v>
      </c>
      <c r="K1" s="98" t="s">
        <v>2153</v>
      </c>
    </row>
    <row r="2" spans="1:12" ht="16.5">
      <c r="A2" s="134">
        <v>1</v>
      </c>
      <c r="B2" s="132" t="s">
        <v>3602</v>
      </c>
      <c r="C2" s="133"/>
      <c r="D2" s="83">
        <v>1</v>
      </c>
      <c r="E2" s="83" t="s">
        <v>7814</v>
      </c>
      <c r="F2" s="95"/>
      <c r="G2" s="82">
        <v>1</v>
      </c>
      <c r="H2" s="100"/>
      <c r="I2"/>
      <c r="J2" s="82">
        <v>1</v>
      </c>
      <c r="K2" s="83" t="s">
        <v>8686</v>
      </c>
      <c r="L2" s="95"/>
    </row>
    <row r="3" spans="1:12" ht="16.5">
      <c r="A3" s="134">
        <v>2</v>
      </c>
      <c r="B3" s="132" t="s">
        <v>3604</v>
      </c>
      <c r="C3" s="133"/>
      <c r="D3" s="83">
        <v>2</v>
      </c>
      <c r="E3" s="83" t="s">
        <v>8630</v>
      </c>
      <c r="F3" s="95"/>
      <c r="G3" s="82">
        <v>2</v>
      </c>
      <c r="H3" s="100"/>
      <c r="I3"/>
      <c r="J3" s="82">
        <v>2</v>
      </c>
      <c r="K3" s="123" t="s">
        <v>8687</v>
      </c>
      <c r="L3" s="95"/>
    </row>
    <row r="4" spans="1:12">
      <c r="B4" s="96" t="s">
        <v>3606</v>
      </c>
      <c r="E4" s="100" t="s">
        <v>7818</v>
      </c>
      <c r="J4" s="82">
        <v>3</v>
      </c>
      <c r="K4" s="101" t="s">
        <v>8688</v>
      </c>
      <c r="L4" s="95"/>
    </row>
    <row r="5" spans="1:12">
      <c r="B5" s="96" t="s">
        <v>3608</v>
      </c>
      <c r="E5" s="100" t="s">
        <v>8254</v>
      </c>
      <c r="J5" s="82">
        <v>4</v>
      </c>
      <c r="K5" s="101" t="s">
        <v>8689</v>
      </c>
      <c r="L5" s="95"/>
    </row>
    <row r="6" spans="1:12">
      <c r="B6" s="96" t="s">
        <v>3610</v>
      </c>
      <c r="E6" s="100" t="s">
        <v>7822</v>
      </c>
      <c r="J6" s="82">
        <v>5</v>
      </c>
      <c r="K6" s="101" t="s">
        <v>8690</v>
      </c>
      <c r="L6" s="95"/>
    </row>
    <row r="7" spans="1:12">
      <c r="B7" s="96" t="s">
        <v>3612</v>
      </c>
      <c r="E7" s="100" t="s">
        <v>8470</v>
      </c>
      <c r="J7" s="82">
        <v>6</v>
      </c>
      <c r="K7" s="101" t="s">
        <v>8691</v>
      </c>
      <c r="L7" s="95"/>
    </row>
    <row r="8" spans="1:12">
      <c r="B8" s="96" t="s">
        <v>3614</v>
      </c>
      <c r="E8" s="100" t="s">
        <v>7826</v>
      </c>
      <c r="K8" s="101" t="s">
        <v>8692</v>
      </c>
    </row>
    <row r="9" spans="1:12">
      <c r="B9" s="96" t="s">
        <v>3616</v>
      </c>
      <c r="E9" s="100" t="s">
        <v>8258</v>
      </c>
      <c r="K9" s="101" t="s">
        <v>8693</v>
      </c>
    </row>
    <row r="10" spans="1:12">
      <c r="B10" s="96" t="s">
        <v>3618</v>
      </c>
      <c r="E10" s="100" t="s">
        <v>7830</v>
      </c>
      <c r="K10" s="101" t="s">
        <v>8694</v>
      </c>
    </row>
    <row r="11" spans="1:12">
      <c r="B11" s="96" t="s">
        <v>2172</v>
      </c>
      <c r="E11" s="100" t="s">
        <v>7740</v>
      </c>
      <c r="K11" s="101" t="s">
        <v>8695</v>
      </c>
    </row>
    <row r="12" spans="1:12">
      <c r="B12" s="96" t="s">
        <v>2174</v>
      </c>
      <c r="E12" s="100" t="s">
        <v>7742</v>
      </c>
      <c r="K12" s="101" t="s">
        <v>8696</v>
      </c>
    </row>
    <row r="13" spans="1:12">
      <c r="B13" s="96" t="s">
        <v>2176</v>
      </c>
      <c r="E13" s="100" t="s">
        <v>7834</v>
      </c>
      <c r="K13" s="101" t="s">
        <v>8697</v>
      </c>
    </row>
    <row r="14" spans="1:12">
      <c r="B14" s="96" t="s">
        <v>2178</v>
      </c>
      <c r="E14" s="100" t="s">
        <v>7744</v>
      </c>
      <c r="K14" s="101" t="s">
        <v>8698</v>
      </c>
    </row>
    <row r="15" spans="1:12">
      <c r="B15" s="96" t="s">
        <v>2180</v>
      </c>
      <c r="E15" s="100" t="s">
        <v>7746</v>
      </c>
      <c r="K15" s="101" t="s">
        <v>8699</v>
      </c>
    </row>
    <row r="16" spans="1:12">
      <c r="B16" s="96" t="s">
        <v>2182</v>
      </c>
      <c r="E16" s="100" t="s">
        <v>7748</v>
      </c>
      <c r="K16" s="101" t="s">
        <v>8700</v>
      </c>
    </row>
    <row r="17" spans="2:11">
      <c r="B17" s="96" t="s">
        <v>2184</v>
      </c>
      <c r="E17" s="100" t="s">
        <v>7750</v>
      </c>
      <c r="K17" s="101" t="s">
        <v>8701</v>
      </c>
    </row>
    <row r="18" spans="2:11">
      <c r="B18" s="96" t="s">
        <v>2186</v>
      </c>
      <c r="E18" s="100" t="s">
        <v>7838</v>
      </c>
      <c r="K18" s="101" t="s">
        <v>8702</v>
      </c>
    </row>
    <row r="19" spans="2:11">
      <c r="B19" s="96" t="s">
        <v>2188</v>
      </c>
      <c r="E19" s="100" t="s">
        <v>8262</v>
      </c>
      <c r="K19" s="101" t="s">
        <v>8703</v>
      </c>
    </row>
    <row r="20" spans="2:11">
      <c r="B20" s="96" t="s">
        <v>2190</v>
      </c>
      <c r="E20" s="100" t="s">
        <v>7842</v>
      </c>
      <c r="K20" s="101" t="s">
        <v>8704</v>
      </c>
    </row>
    <row r="21" spans="2:11">
      <c r="B21" s="96" t="s">
        <v>2192</v>
      </c>
      <c r="E21" s="100" t="s">
        <v>8474</v>
      </c>
      <c r="K21" s="101" t="s">
        <v>8705</v>
      </c>
    </row>
    <row r="22" spans="2:11">
      <c r="B22" s="96" t="s">
        <v>2194</v>
      </c>
      <c r="E22" s="100" t="s">
        <v>7846</v>
      </c>
      <c r="K22" s="101" t="s">
        <v>8706</v>
      </c>
    </row>
    <row r="23" spans="2:11">
      <c r="B23" s="96" t="s">
        <v>2196</v>
      </c>
      <c r="E23" s="100" t="s">
        <v>8266</v>
      </c>
      <c r="K23" s="101" t="s">
        <v>8707</v>
      </c>
    </row>
    <row r="24" spans="2:11">
      <c r="B24" s="96" t="s">
        <v>2198</v>
      </c>
      <c r="E24" s="100" t="s">
        <v>7850</v>
      </c>
      <c r="K24" s="101" t="s">
        <v>8708</v>
      </c>
    </row>
    <row r="25" spans="2:11">
      <c r="B25" s="96" t="s">
        <v>2200</v>
      </c>
      <c r="E25" s="100" t="s">
        <v>8658</v>
      </c>
      <c r="K25" s="101" t="s">
        <v>8709</v>
      </c>
    </row>
    <row r="26" spans="2:11">
      <c r="B26" s="96" t="s">
        <v>2202</v>
      </c>
      <c r="E26" s="100" t="s">
        <v>7854</v>
      </c>
      <c r="K26" s="101" t="s">
        <v>8710</v>
      </c>
    </row>
    <row r="27" spans="2:11">
      <c r="B27" s="96" t="s">
        <v>2204</v>
      </c>
      <c r="E27" s="100" t="s">
        <v>8270</v>
      </c>
      <c r="K27" s="101" t="s">
        <v>8711</v>
      </c>
    </row>
    <row r="28" spans="2:11">
      <c r="B28" s="96" t="s">
        <v>2206</v>
      </c>
      <c r="E28" s="100" t="s">
        <v>7858</v>
      </c>
      <c r="K28" s="101" t="s">
        <v>8712</v>
      </c>
    </row>
    <row r="29" spans="2:11">
      <c r="B29" s="96" t="s">
        <v>2208</v>
      </c>
      <c r="E29" s="100" t="s">
        <v>8478</v>
      </c>
      <c r="K29" s="101" t="s">
        <v>8713</v>
      </c>
    </row>
    <row r="30" spans="2:11">
      <c r="B30" s="96" t="s">
        <v>2210</v>
      </c>
      <c r="E30" s="100" t="s">
        <v>7862</v>
      </c>
      <c r="K30" s="101" t="s">
        <v>8714</v>
      </c>
    </row>
    <row r="31" spans="2:11">
      <c r="B31" s="96" t="s">
        <v>2212</v>
      </c>
      <c r="E31" s="100" t="s">
        <v>8274</v>
      </c>
      <c r="K31" s="101" t="s">
        <v>8715</v>
      </c>
    </row>
    <row r="32" spans="2:11">
      <c r="B32" s="96" t="s">
        <v>2214</v>
      </c>
      <c r="E32" s="100" t="s">
        <v>7866</v>
      </c>
      <c r="K32" s="101" t="s">
        <v>8716</v>
      </c>
    </row>
    <row r="33" spans="2:11">
      <c r="B33" s="96" t="s">
        <v>2216</v>
      </c>
      <c r="E33" s="100" t="s">
        <v>8582</v>
      </c>
      <c r="K33" s="101" t="s">
        <v>8717</v>
      </c>
    </row>
    <row r="34" spans="2:11">
      <c r="B34" s="96" t="s">
        <v>2218</v>
      </c>
      <c r="E34" s="100" t="s">
        <v>7870</v>
      </c>
      <c r="K34" s="101" t="s">
        <v>8718</v>
      </c>
    </row>
    <row r="35" spans="2:11">
      <c r="B35" s="96" t="s">
        <v>2220</v>
      </c>
      <c r="E35" s="100" t="s">
        <v>8278</v>
      </c>
      <c r="K35" s="101" t="s">
        <v>8719</v>
      </c>
    </row>
    <row r="36" spans="2:11">
      <c r="B36" s="96" t="s">
        <v>2222</v>
      </c>
      <c r="E36" s="100" t="s">
        <v>7874</v>
      </c>
      <c r="K36" s="101" t="s">
        <v>8720</v>
      </c>
    </row>
    <row r="37" spans="2:11">
      <c r="B37" s="96" t="s">
        <v>2224</v>
      </c>
      <c r="E37" s="100" t="s">
        <v>8482</v>
      </c>
      <c r="K37" s="101" t="s">
        <v>8721</v>
      </c>
    </row>
    <row r="38" spans="2:11">
      <c r="B38" s="96" t="s">
        <v>2226</v>
      </c>
      <c r="E38" s="100" t="s">
        <v>7878</v>
      </c>
      <c r="K38" s="101" t="s">
        <v>8722</v>
      </c>
    </row>
    <row r="39" spans="2:11">
      <c r="B39" s="96" t="s">
        <v>2228</v>
      </c>
      <c r="E39" s="100" t="s">
        <v>8282</v>
      </c>
    </row>
    <row r="40" spans="2:11">
      <c r="B40" s="96" t="s">
        <v>2230</v>
      </c>
      <c r="E40" s="100" t="s">
        <v>7882</v>
      </c>
    </row>
    <row r="41" spans="2:11">
      <c r="B41" s="96" t="s">
        <v>2232</v>
      </c>
      <c r="E41" s="100" t="s">
        <v>8634</v>
      </c>
    </row>
    <row r="42" spans="2:11">
      <c r="B42" s="96" t="s">
        <v>2234</v>
      </c>
      <c r="E42" s="100" t="s">
        <v>7886</v>
      </c>
    </row>
    <row r="43" spans="2:11">
      <c r="B43" s="96" t="s">
        <v>2236</v>
      </c>
      <c r="E43" s="100" t="s">
        <v>8286</v>
      </c>
    </row>
    <row r="44" spans="2:11">
      <c r="B44" s="96" t="s">
        <v>2238</v>
      </c>
      <c r="E44" s="100" t="s">
        <v>7890</v>
      </c>
    </row>
    <row r="45" spans="2:11">
      <c r="B45" s="96" t="s">
        <v>2240</v>
      </c>
      <c r="E45" s="100" t="s">
        <v>8486</v>
      </c>
    </row>
    <row r="46" spans="2:11">
      <c r="B46" s="96" t="s">
        <v>2242</v>
      </c>
      <c r="E46" s="100" t="s">
        <v>7894</v>
      </c>
    </row>
    <row r="47" spans="2:11">
      <c r="B47" s="96" t="s">
        <v>2244</v>
      </c>
      <c r="E47" s="100" t="s">
        <v>8290</v>
      </c>
    </row>
    <row r="48" spans="2:11">
      <c r="B48" s="96" t="s">
        <v>2246</v>
      </c>
      <c r="E48" s="100" t="s">
        <v>7898</v>
      </c>
    </row>
    <row r="49" spans="2:5">
      <c r="B49" s="96" t="s">
        <v>3620</v>
      </c>
      <c r="E49" s="100" t="s">
        <v>8586</v>
      </c>
    </row>
    <row r="50" spans="2:5">
      <c r="B50" s="96" t="s">
        <v>3622</v>
      </c>
      <c r="E50" s="100" t="s">
        <v>7902</v>
      </c>
    </row>
    <row r="51" spans="2:5">
      <c r="B51" s="96" t="s">
        <v>3624</v>
      </c>
      <c r="E51" s="100" t="s">
        <v>8294</v>
      </c>
    </row>
    <row r="52" spans="2:5">
      <c r="B52" s="96" t="s">
        <v>3626</v>
      </c>
      <c r="E52" s="100" t="s">
        <v>7906</v>
      </c>
    </row>
    <row r="53" spans="2:5">
      <c r="B53" s="96" t="s">
        <v>3628</v>
      </c>
      <c r="E53" s="100" t="s">
        <v>8490</v>
      </c>
    </row>
    <row r="54" spans="2:5">
      <c r="B54" s="96" t="s">
        <v>3630</v>
      </c>
      <c r="E54" s="100" t="s">
        <v>7910</v>
      </c>
    </row>
    <row r="55" spans="2:5">
      <c r="B55" s="96" t="s">
        <v>3632</v>
      </c>
      <c r="E55" s="100" t="s">
        <v>8298</v>
      </c>
    </row>
    <row r="56" spans="2:5">
      <c r="B56" s="96" t="s">
        <v>3634</v>
      </c>
      <c r="E56" s="100" t="s">
        <v>7914</v>
      </c>
    </row>
    <row r="57" spans="2:5">
      <c r="B57" s="96" t="s">
        <v>3636</v>
      </c>
      <c r="E57" s="100" t="s">
        <v>8678</v>
      </c>
    </row>
    <row r="58" spans="2:5">
      <c r="B58" s="96" t="s">
        <v>3638</v>
      </c>
      <c r="E58" s="100" t="s">
        <v>7918</v>
      </c>
    </row>
    <row r="59" spans="2:5">
      <c r="B59" s="96" t="s">
        <v>3640</v>
      </c>
      <c r="E59" s="100" t="s">
        <v>8302</v>
      </c>
    </row>
    <row r="60" spans="2:5">
      <c r="B60" s="96" t="s">
        <v>3642</v>
      </c>
      <c r="E60" s="100" t="s">
        <v>7922</v>
      </c>
    </row>
    <row r="61" spans="2:5">
      <c r="E61" s="100" t="s">
        <v>8494</v>
      </c>
    </row>
    <row r="62" spans="2:5">
      <c r="E62" s="100" t="s">
        <v>7926</v>
      </c>
    </row>
    <row r="63" spans="2:5">
      <c r="E63" s="100" t="s">
        <v>8306</v>
      </c>
    </row>
    <row r="64" spans="2:5">
      <c r="E64" s="100" t="s">
        <v>7930</v>
      </c>
    </row>
    <row r="65" spans="5:5">
      <c r="E65" s="100" t="s">
        <v>8590</v>
      </c>
    </row>
    <row r="66" spans="5:5">
      <c r="E66" s="100" t="s">
        <v>7934</v>
      </c>
    </row>
    <row r="67" spans="5:5">
      <c r="E67" s="100" t="s">
        <v>8310</v>
      </c>
    </row>
    <row r="68" spans="5:5">
      <c r="E68" s="100" t="s">
        <v>7938</v>
      </c>
    </row>
    <row r="69" spans="5:5">
      <c r="E69" s="100" t="s">
        <v>8498</v>
      </c>
    </row>
    <row r="70" spans="5:5">
      <c r="E70" s="100" t="s">
        <v>7942</v>
      </c>
    </row>
    <row r="71" spans="5:5">
      <c r="E71" s="100" t="s">
        <v>8314</v>
      </c>
    </row>
    <row r="72" spans="5:5">
      <c r="E72" s="100" t="s">
        <v>7946</v>
      </c>
    </row>
    <row r="73" spans="5:5">
      <c r="E73" s="100" t="s">
        <v>8638</v>
      </c>
    </row>
    <row r="74" spans="5:5">
      <c r="E74" s="100" t="s">
        <v>7950</v>
      </c>
    </row>
    <row r="75" spans="5:5">
      <c r="E75" s="100" t="s">
        <v>8318</v>
      </c>
    </row>
    <row r="76" spans="5:5">
      <c r="E76" s="100" t="s">
        <v>7954</v>
      </c>
    </row>
    <row r="77" spans="5:5">
      <c r="E77" s="100" t="s">
        <v>8502</v>
      </c>
    </row>
    <row r="78" spans="5:5">
      <c r="E78" s="100" t="s">
        <v>7958</v>
      </c>
    </row>
    <row r="79" spans="5:5">
      <c r="E79" s="100" t="s">
        <v>8322</v>
      </c>
    </row>
    <row r="80" spans="5:5">
      <c r="E80" s="100" t="s">
        <v>7962</v>
      </c>
    </row>
    <row r="81" spans="5:5">
      <c r="E81" s="100" t="s">
        <v>8594</v>
      </c>
    </row>
    <row r="82" spans="5:5">
      <c r="E82" s="100" t="s">
        <v>7966</v>
      </c>
    </row>
    <row r="83" spans="5:5">
      <c r="E83" s="100" t="s">
        <v>8326</v>
      </c>
    </row>
    <row r="84" spans="5:5">
      <c r="E84" s="100" t="s">
        <v>7970</v>
      </c>
    </row>
    <row r="85" spans="5:5">
      <c r="E85" s="100" t="s">
        <v>8506</v>
      </c>
    </row>
    <row r="86" spans="5:5">
      <c r="E86" s="100" t="s">
        <v>7974</v>
      </c>
    </row>
    <row r="87" spans="5:5">
      <c r="E87" s="100" t="s">
        <v>8330</v>
      </c>
    </row>
    <row r="88" spans="5:5">
      <c r="E88" s="100" t="s">
        <v>7978</v>
      </c>
    </row>
    <row r="89" spans="5:5">
      <c r="E89" s="100" t="s">
        <v>8662</v>
      </c>
    </row>
    <row r="90" spans="5:5">
      <c r="E90" s="100" t="s">
        <v>7982</v>
      </c>
    </row>
    <row r="91" spans="5:5">
      <c r="E91" s="100" t="s">
        <v>8334</v>
      </c>
    </row>
    <row r="92" spans="5:5">
      <c r="E92" s="100" t="s">
        <v>7986</v>
      </c>
    </row>
    <row r="93" spans="5:5">
      <c r="E93" s="100" t="s">
        <v>8510</v>
      </c>
    </row>
    <row r="94" spans="5:5">
      <c r="E94" s="100" t="s">
        <v>7990</v>
      </c>
    </row>
    <row r="95" spans="5:5">
      <c r="E95" s="100" t="s">
        <v>8338</v>
      </c>
    </row>
    <row r="96" spans="5:5">
      <c r="E96" s="100" t="s">
        <v>7994</v>
      </c>
    </row>
    <row r="97" spans="5:5">
      <c r="E97" s="100" t="s">
        <v>8598</v>
      </c>
    </row>
    <row r="98" spans="5:5">
      <c r="E98" s="100" t="s">
        <v>7998</v>
      </c>
    </row>
    <row r="99" spans="5:5">
      <c r="E99" s="100" t="s">
        <v>8342</v>
      </c>
    </row>
    <row r="100" spans="5:5">
      <c r="E100" s="100" t="s">
        <v>8002</v>
      </c>
    </row>
    <row r="101" spans="5:5">
      <c r="E101" s="100" t="s">
        <v>8514</v>
      </c>
    </row>
    <row r="102" spans="5:5">
      <c r="E102" s="100" t="s">
        <v>8006</v>
      </c>
    </row>
    <row r="103" spans="5:5">
      <c r="E103" s="100" t="s">
        <v>8346</v>
      </c>
    </row>
    <row r="104" spans="5:5">
      <c r="E104" s="100" t="s">
        <v>8010</v>
      </c>
    </row>
    <row r="105" spans="5:5">
      <c r="E105" s="100" t="s">
        <v>8642</v>
      </c>
    </row>
    <row r="106" spans="5:5">
      <c r="E106" s="100" t="s">
        <v>8014</v>
      </c>
    </row>
    <row r="107" spans="5:5">
      <c r="E107" s="100" t="s">
        <v>8350</v>
      </c>
    </row>
    <row r="108" spans="5:5">
      <c r="E108" s="100" t="s">
        <v>7752</v>
      </c>
    </row>
    <row r="109" spans="5:5">
      <c r="E109" s="100" t="s">
        <v>7754</v>
      </c>
    </row>
    <row r="110" spans="5:5">
      <c r="E110" s="100" t="s">
        <v>7756</v>
      </c>
    </row>
    <row r="111" spans="5:5">
      <c r="E111" s="100" t="s">
        <v>7758</v>
      </c>
    </row>
    <row r="112" spans="5:5">
      <c r="E112" s="100" t="s">
        <v>8018</v>
      </c>
    </row>
    <row r="113" spans="5:5">
      <c r="E113" s="100" t="s">
        <v>8518</v>
      </c>
    </row>
    <row r="114" spans="5:5">
      <c r="E114" s="100" t="s">
        <v>8022</v>
      </c>
    </row>
    <row r="115" spans="5:5">
      <c r="E115" s="100" t="s">
        <v>8354</v>
      </c>
    </row>
    <row r="116" spans="5:5">
      <c r="E116" s="100" t="s">
        <v>7760</v>
      </c>
    </row>
    <row r="117" spans="5:5">
      <c r="E117" s="100" t="s">
        <v>7762</v>
      </c>
    </row>
    <row r="118" spans="5:5">
      <c r="E118" s="100" t="s">
        <v>7764</v>
      </c>
    </row>
    <row r="119" spans="5:5">
      <c r="E119" s="100" t="s">
        <v>7766</v>
      </c>
    </row>
    <row r="120" spans="5:5">
      <c r="E120" s="100" t="s">
        <v>8026</v>
      </c>
    </row>
    <row r="121" spans="5:5">
      <c r="E121" s="100" t="s">
        <v>8602</v>
      </c>
    </row>
    <row r="122" spans="5:5">
      <c r="E122" s="100" t="s">
        <v>8030</v>
      </c>
    </row>
    <row r="123" spans="5:5">
      <c r="E123" s="100" t="s">
        <v>8358</v>
      </c>
    </row>
    <row r="124" spans="5:5">
      <c r="E124" s="100" t="s">
        <v>7768</v>
      </c>
    </row>
    <row r="125" spans="5:5">
      <c r="E125" s="100" t="s">
        <v>7770</v>
      </c>
    </row>
    <row r="126" spans="5:5">
      <c r="E126" s="100" t="s">
        <v>7772</v>
      </c>
    </row>
    <row r="127" spans="5:5">
      <c r="E127" s="100" t="s">
        <v>7774</v>
      </c>
    </row>
    <row r="128" spans="5:5">
      <c r="E128" s="100" t="s">
        <v>8034</v>
      </c>
    </row>
    <row r="129" spans="5:5">
      <c r="E129" s="100" t="s">
        <v>8522</v>
      </c>
    </row>
    <row r="130" spans="5:5">
      <c r="E130" s="100" t="s">
        <v>8038</v>
      </c>
    </row>
    <row r="131" spans="5:5">
      <c r="E131" s="100" t="s">
        <v>8362</v>
      </c>
    </row>
    <row r="132" spans="5:5">
      <c r="E132" s="100" t="s">
        <v>7776</v>
      </c>
    </row>
    <row r="133" spans="5:5">
      <c r="E133" s="100" t="s">
        <v>7778</v>
      </c>
    </row>
    <row r="134" spans="5:5">
      <c r="E134" s="100" t="s">
        <v>7780</v>
      </c>
    </row>
    <row r="135" spans="5:5">
      <c r="E135" s="100" t="s">
        <v>7782</v>
      </c>
    </row>
    <row r="136" spans="5:5">
      <c r="E136" s="100" t="s">
        <v>8042</v>
      </c>
    </row>
    <row r="137" spans="5:5">
      <c r="E137" s="100" t="s">
        <v>8674</v>
      </c>
    </row>
    <row r="138" spans="5:5">
      <c r="E138" s="100" t="s">
        <v>8046</v>
      </c>
    </row>
    <row r="139" spans="5:5">
      <c r="E139" s="100" t="s">
        <v>8366</v>
      </c>
    </row>
    <row r="140" spans="5:5">
      <c r="E140" s="100" t="s">
        <v>7784</v>
      </c>
    </row>
    <row r="141" spans="5:5">
      <c r="E141" s="100" t="s">
        <v>7786</v>
      </c>
    </row>
    <row r="142" spans="5:5">
      <c r="E142" s="100" t="s">
        <v>7788</v>
      </c>
    </row>
    <row r="143" spans="5:5">
      <c r="E143" s="100" t="s">
        <v>7790</v>
      </c>
    </row>
    <row r="144" spans="5:5">
      <c r="E144" s="100" t="s">
        <v>8050</v>
      </c>
    </row>
    <row r="145" spans="5:5">
      <c r="E145" s="100" t="s">
        <v>8526</v>
      </c>
    </row>
    <row r="146" spans="5:5">
      <c r="E146" s="100" t="s">
        <v>8054</v>
      </c>
    </row>
    <row r="147" spans="5:5">
      <c r="E147" s="100" t="s">
        <v>8370</v>
      </c>
    </row>
    <row r="148" spans="5:5">
      <c r="E148" s="100" t="s">
        <v>7792</v>
      </c>
    </row>
    <row r="149" spans="5:5">
      <c r="E149" s="100" t="s">
        <v>7794</v>
      </c>
    </row>
    <row r="150" spans="5:5">
      <c r="E150" s="100" t="s">
        <v>7796</v>
      </c>
    </row>
    <row r="151" spans="5:5">
      <c r="E151" s="100" t="s">
        <v>7798</v>
      </c>
    </row>
    <row r="152" spans="5:5">
      <c r="E152" s="100" t="s">
        <v>8058</v>
      </c>
    </row>
    <row r="153" spans="5:5">
      <c r="E153" s="100" t="s">
        <v>8606</v>
      </c>
    </row>
    <row r="154" spans="5:5">
      <c r="E154" s="100" t="s">
        <v>8062</v>
      </c>
    </row>
    <row r="155" spans="5:5">
      <c r="E155" s="100" t="s">
        <v>8374</v>
      </c>
    </row>
    <row r="156" spans="5:5">
      <c r="E156" s="100" t="s">
        <v>8066</v>
      </c>
    </row>
    <row r="157" spans="5:5">
      <c r="E157" s="100" t="s">
        <v>8530</v>
      </c>
    </row>
    <row r="158" spans="5:5">
      <c r="E158" s="100" t="s">
        <v>8070</v>
      </c>
    </row>
    <row r="159" spans="5:5">
      <c r="E159" s="100" t="s">
        <v>8378</v>
      </c>
    </row>
    <row r="160" spans="5:5">
      <c r="E160" s="100" t="s">
        <v>8074</v>
      </c>
    </row>
    <row r="161" spans="5:5">
      <c r="E161" s="100" t="s">
        <v>8646</v>
      </c>
    </row>
    <row r="162" spans="5:5">
      <c r="E162" s="100" t="s">
        <v>8078</v>
      </c>
    </row>
    <row r="163" spans="5:5">
      <c r="E163" s="100" t="s">
        <v>8382</v>
      </c>
    </row>
    <row r="164" spans="5:5">
      <c r="E164" s="100" t="s">
        <v>8082</v>
      </c>
    </row>
    <row r="165" spans="5:5">
      <c r="E165" s="100" t="s">
        <v>8534</v>
      </c>
    </row>
    <row r="166" spans="5:5">
      <c r="E166" s="100" t="s">
        <v>8086</v>
      </c>
    </row>
    <row r="167" spans="5:5">
      <c r="E167" s="100" t="s">
        <v>8386</v>
      </c>
    </row>
    <row r="168" spans="5:5">
      <c r="E168" s="100" t="s">
        <v>8090</v>
      </c>
    </row>
    <row r="169" spans="5:5">
      <c r="E169" s="100" t="s">
        <v>8610</v>
      </c>
    </row>
    <row r="170" spans="5:5">
      <c r="E170" s="100" t="s">
        <v>8094</v>
      </c>
    </row>
    <row r="171" spans="5:5">
      <c r="E171" s="100" t="s">
        <v>8390</v>
      </c>
    </row>
    <row r="172" spans="5:5">
      <c r="E172" s="100" t="s">
        <v>8098</v>
      </c>
    </row>
    <row r="173" spans="5:5">
      <c r="E173" s="100" t="s">
        <v>8538</v>
      </c>
    </row>
    <row r="174" spans="5:5">
      <c r="E174" s="100" t="s">
        <v>8102</v>
      </c>
    </row>
    <row r="175" spans="5:5">
      <c r="E175" s="100" t="s">
        <v>8394</v>
      </c>
    </row>
    <row r="176" spans="5:5">
      <c r="E176" s="100" t="s">
        <v>8106</v>
      </c>
    </row>
    <row r="177" spans="5:5">
      <c r="E177" s="100" t="s">
        <v>8666</v>
      </c>
    </row>
    <row r="178" spans="5:5">
      <c r="E178" s="100" t="s">
        <v>8110</v>
      </c>
    </row>
    <row r="179" spans="5:5">
      <c r="E179" s="100" t="s">
        <v>8398</v>
      </c>
    </row>
    <row r="180" spans="5:5">
      <c r="E180" s="100" t="s">
        <v>8114</v>
      </c>
    </row>
    <row r="181" spans="5:5">
      <c r="E181" s="100" t="s">
        <v>8542</v>
      </c>
    </row>
    <row r="182" spans="5:5">
      <c r="E182" s="100" t="s">
        <v>6690</v>
      </c>
    </row>
    <row r="183" spans="5:5">
      <c r="E183" s="100" t="s">
        <v>6692</v>
      </c>
    </row>
    <row r="184" spans="5:5">
      <c r="E184" s="100" t="s">
        <v>8118</v>
      </c>
    </row>
    <row r="185" spans="5:5">
      <c r="E185" s="100" t="s">
        <v>8402</v>
      </c>
    </row>
    <row r="186" spans="5:5">
      <c r="E186" s="100" t="s">
        <v>8122</v>
      </c>
    </row>
    <row r="187" spans="5:5">
      <c r="E187" s="100" t="s">
        <v>8614</v>
      </c>
    </row>
    <row r="188" spans="5:5">
      <c r="E188" s="100" t="s">
        <v>8126</v>
      </c>
    </row>
    <row r="189" spans="5:5">
      <c r="E189" s="100" t="s">
        <v>8406</v>
      </c>
    </row>
    <row r="190" spans="5:5">
      <c r="E190" s="100" t="s">
        <v>8130</v>
      </c>
    </row>
    <row r="191" spans="5:5">
      <c r="E191" s="100" t="s">
        <v>8546</v>
      </c>
    </row>
    <row r="192" spans="5:5">
      <c r="E192" s="100" t="s">
        <v>8134</v>
      </c>
    </row>
    <row r="193" spans="5:5">
      <c r="E193" s="100" t="s">
        <v>8410</v>
      </c>
    </row>
    <row r="194" spans="5:5">
      <c r="E194" s="100" t="s">
        <v>8138</v>
      </c>
    </row>
    <row r="195" spans="5:5">
      <c r="E195" s="100" t="s">
        <v>8650</v>
      </c>
    </row>
    <row r="196" spans="5:5">
      <c r="E196" s="100" t="s">
        <v>8142</v>
      </c>
    </row>
    <row r="197" spans="5:5">
      <c r="E197" s="100" t="s">
        <v>8414</v>
      </c>
    </row>
    <row r="198" spans="5:5">
      <c r="E198" s="100" t="s">
        <v>8146</v>
      </c>
    </row>
    <row r="199" spans="5:5">
      <c r="E199" s="100" t="s">
        <v>8550</v>
      </c>
    </row>
    <row r="200" spans="5:5">
      <c r="E200" s="100" t="s">
        <v>8150</v>
      </c>
    </row>
    <row r="201" spans="5:5">
      <c r="E201" s="100" t="s">
        <v>8418</v>
      </c>
    </row>
    <row r="202" spans="5:5">
      <c r="E202" s="100" t="s">
        <v>8154</v>
      </c>
    </row>
    <row r="203" spans="5:5">
      <c r="E203" s="100" t="s">
        <v>8618</v>
      </c>
    </row>
    <row r="204" spans="5:5">
      <c r="E204" s="100" t="s">
        <v>8158</v>
      </c>
    </row>
    <row r="205" spans="5:5">
      <c r="E205" s="100" t="s">
        <v>8422</v>
      </c>
    </row>
    <row r="206" spans="5:5">
      <c r="E206" s="100" t="s">
        <v>8162</v>
      </c>
    </row>
    <row r="207" spans="5:5">
      <c r="E207" s="100" t="s">
        <v>8554</v>
      </c>
    </row>
    <row r="208" spans="5:5">
      <c r="E208" s="100" t="s">
        <v>8166</v>
      </c>
    </row>
    <row r="209" spans="5:5">
      <c r="E209" s="100" t="s">
        <v>8426</v>
      </c>
    </row>
    <row r="210" spans="5:5">
      <c r="E210" s="100" t="s">
        <v>8170</v>
      </c>
    </row>
    <row r="211" spans="5:5">
      <c r="E211" s="100" t="s">
        <v>8682</v>
      </c>
    </row>
    <row r="212" spans="5:5">
      <c r="E212" s="100" t="s">
        <v>8174</v>
      </c>
    </row>
    <row r="213" spans="5:5">
      <c r="E213" s="100" t="s">
        <v>8430</v>
      </c>
    </row>
    <row r="214" spans="5:5">
      <c r="E214" s="100" t="s">
        <v>8178</v>
      </c>
    </row>
    <row r="215" spans="5:5">
      <c r="E215" s="100" t="s">
        <v>8558</v>
      </c>
    </row>
    <row r="216" spans="5:5">
      <c r="E216" s="100" t="s">
        <v>8182</v>
      </c>
    </row>
    <row r="217" spans="5:5">
      <c r="E217" s="100" t="s">
        <v>8434</v>
      </c>
    </row>
    <row r="218" spans="5:5">
      <c r="E218" s="100" t="s">
        <v>8186</v>
      </c>
    </row>
    <row r="219" spans="5:5">
      <c r="E219" s="100" t="s">
        <v>8622</v>
      </c>
    </row>
    <row r="220" spans="5:5">
      <c r="E220" s="100" t="s">
        <v>8190</v>
      </c>
    </row>
    <row r="221" spans="5:5">
      <c r="E221" s="100" t="s">
        <v>8438</v>
      </c>
    </row>
    <row r="222" spans="5:5">
      <c r="E222" s="100" t="s">
        <v>8194</v>
      </c>
    </row>
    <row r="223" spans="5:5">
      <c r="E223" s="100" t="s">
        <v>8562</v>
      </c>
    </row>
    <row r="224" spans="5:5">
      <c r="E224" s="100" t="s">
        <v>8198</v>
      </c>
    </row>
    <row r="225" spans="5:5">
      <c r="E225" s="100" t="s">
        <v>8442</v>
      </c>
    </row>
    <row r="226" spans="5:5">
      <c r="E226" s="100" t="s">
        <v>8202</v>
      </c>
    </row>
    <row r="227" spans="5:5">
      <c r="E227" s="100" t="s">
        <v>8654</v>
      </c>
    </row>
    <row r="228" spans="5:5">
      <c r="E228" s="100" t="s">
        <v>8206</v>
      </c>
    </row>
    <row r="229" spans="5:5">
      <c r="E229" s="100" t="s">
        <v>8446</v>
      </c>
    </row>
    <row r="230" spans="5:5">
      <c r="E230" s="100" t="s">
        <v>8210</v>
      </c>
    </row>
    <row r="231" spans="5:5">
      <c r="E231" s="100" t="s">
        <v>8566</v>
      </c>
    </row>
    <row r="232" spans="5:5">
      <c r="E232" s="100" t="s">
        <v>8214</v>
      </c>
    </row>
    <row r="233" spans="5:5">
      <c r="E233" s="100" t="s">
        <v>8450</v>
      </c>
    </row>
    <row r="234" spans="5:5">
      <c r="E234" s="100" t="s">
        <v>8218</v>
      </c>
    </row>
    <row r="235" spans="5:5">
      <c r="E235" s="100" t="s">
        <v>8626</v>
      </c>
    </row>
    <row r="236" spans="5:5">
      <c r="E236" s="100" t="s">
        <v>8222</v>
      </c>
    </row>
    <row r="237" spans="5:5">
      <c r="E237" s="100" t="s">
        <v>8454</v>
      </c>
    </row>
    <row r="238" spans="5:5">
      <c r="E238" s="100" t="s">
        <v>8226</v>
      </c>
    </row>
    <row r="239" spans="5:5">
      <c r="E239" s="100" t="s">
        <v>8570</v>
      </c>
    </row>
    <row r="240" spans="5:5">
      <c r="E240" s="100" t="s">
        <v>8230</v>
      </c>
    </row>
    <row r="241" spans="5:5">
      <c r="E241" s="100" t="s">
        <v>8458</v>
      </c>
    </row>
    <row r="242" spans="5:5">
      <c r="E242" s="100" t="s">
        <v>8234</v>
      </c>
    </row>
    <row r="243" spans="5:5">
      <c r="E243" s="100" t="s">
        <v>8670</v>
      </c>
    </row>
    <row r="244" spans="5:5">
      <c r="E244" s="100" t="s">
        <v>8238</v>
      </c>
    </row>
    <row r="245" spans="5:5">
      <c r="E245" s="100" t="s">
        <v>8462</v>
      </c>
    </row>
    <row r="246" spans="5:5">
      <c r="E246" s="100" t="s">
        <v>8242</v>
      </c>
    </row>
    <row r="247" spans="5:5">
      <c r="E247" s="100" t="s">
        <v>8574</v>
      </c>
    </row>
    <row r="248" spans="5:5">
      <c r="E248" s="100" t="s">
        <v>8246</v>
      </c>
    </row>
    <row r="249" spans="5:5">
      <c r="E249" s="100" t="s">
        <v>8466</v>
      </c>
    </row>
    <row r="250" spans="5:5">
      <c r="E250" s="100" t="s">
        <v>8250</v>
      </c>
    </row>
    <row r="251" spans="5:5">
      <c r="E251" s="100" t="s">
        <v>7812</v>
      </c>
    </row>
    <row r="252" spans="5:5">
      <c r="E252" s="100" t="s">
        <v>7816</v>
      </c>
    </row>
    <row r="253" spans="5:5">
      <c r="E253" s="100" t="s">
        <v>7820</v>
      </c>
    </row>
    <row r="254" spans="5:5">
      <c r="E254" s="100" t="s">
        <v>7824</v>
      </c>
    </row>
    <row r="255" spans="5:5">
      <c r="E255" s="100" t="s">
        <v>7828</v>
      </c>
    </row>
    <row r="256" spans="5:5">
      <c r="E256" s="100" t="s">
        <v>7832</v>
      </c>
    </row>
    <row r="257" spans="5:5">
      <c r="E257" s="100" t="s">
        <v>7836</v>
      </c>
    </row>
    <row r="258" spans="5:5">
      <c r="E258" s="100" t="s">
        <v>7840</v>
      </c>
    </row>
    <row r="259" spans="5:5">
      <c r="E259" s="100" t="s">
        <v>7844</v>
      </c>
    </row>
    <row r="260" spans="5:5">
      <c r="E260" s="100" t="s">
        <v>7848</v>
      </c>
    </row>
    <row r="261" spans="5:5">
      <c r="E261" s="100" t="s">
        <v>7852</v>
      </c>
    </row>
    <row r="262" spans="5:5">
      <c r="E262" s="100" t="s">
        <v>7856</v>
      </c>
    </row>
    <row r="263" spans="5:5">
      <c r="E263" s="100" t="s">
        <v>7860</v>
      </c>
    </row>
    <row r="264" spans="5:5">
      <c r="E264" s="100" t="s">
        <v>7864</v>
      </c>
    </row>
    <row r="265" spans="5:5">
      <c r="E265" s="100" t="s">
        <v>7868</v>
      </c>
    </row>
    <row r="266" spans="5:5">
      <c r="E266" s="100" t="s">
        <v>7872</v>
      </c>
    </row>
    <row r="267" spans="5:5">
      <c r="E267" s="100" t="s">
        <v>7876</v>
      </c>
    </row>
    <row r="268" spans="5:5">
      <c r="E268" s="100" t="s">
        <v>7880</v>
      </c>
    </row>
    <row r="269" spans="5:5">
      <c r="E269" s="100" t="s">
        <v>7884</v>
      </c>
    </row>
    <row r="270" spans="5:5">
      <c r="E270" s="100" t="s">
        <v>7888</v>
      </c>
    </row>
    <row r="271" spans="5:5">
      <c r="E271" s="100" t="s">
        <v>7892</v>
      </c>
    </row>
    <row r="272" spans="5:5">
      <c r="E272" s="100" t="s">
        <v>7896</v>
      </c>
    </row>
    <row r="273" spans="5:5">
      <c r="E273" s="100" t="s">
        <v>7900</v>
      </c>
    </row>
    <row r="274" spans="5:5">
      <c r="E274" s="100" t="s">
        <v>7904</v>
      </c>
    </row>
    <row r="275" spans="5:5">
      <c r="E275" s="100" t="s">
        <v>7908</v>
      </c>
    </row>
    <row r="276" spans="5:5">
      <c r="E276" s="100" t="s">
        <v>7912</v>
      </c>
    </row>
    <row r="277" spans="5:5">
      <c r="E277" s="100" t="s">
        <v>7916</v>
      </c>
    </row>
    <row r="278" spans="5:5">
      <c r="E278" s="100" t="s">
        <v>7920</v>
      </c>
    </row>
    <row r="279" spans="5:5">
      <c r="E279" s="100" t="s">
        <v>7924</v>
      </c>
    </row>
    <row r="280" spans="5:5">
      <c r="E280" s="100" t="s">
        <v>7928</v>
      </c>
    </row>
    <row r="281" spans="5:5">
      <c r="E281" s="100" t="s">
        <v>7932</v>
      </c>
    </row>
    <row r="282" spans="5:5">
      <c r="E282" s="100" t="s">
        <v>7936</v>
      </c>
    </row>
    <row r="283" spans="5:5">
      <c r="E283" s="100" t="s">
        <v>7940</v>
      </c>
    </row>
    <row r="284" spans="5:5">
      <c r="E284" s="100" t="s">
        <v>7944</v>
      </c>
    </row>
    <row r="285" spans="5:5">
      <c r="E285" s="100" t="s">
        <v>7948</v>
      </c>
    </row>
    <row r="286" spans="5:5">
      <c r="E286" s="100" t="s">
        <v>7952</v>
      </c>
    </row>
    <row r="287" spans="5:5">
      <c r="E287" s="100" t="s">
        <v>7956</v>
      </c>
    </row>
    <row r="288" spans="5:5">
      <c r="E288" s="100" t="s">
        <v>7960</v>
      </c>
    </row>
    <row r="289" spans="5:5">
      <c r="E289" s="100" t="s">
        <v>7964</v>
      </c>
    </row>
    <row r="290" spans="5:5">
      <c r="E290" s="100" t="s">
        <v>7968</v>
      </c>
    </row>
    <row r="291" spans="5:5">
      <c r="E291" s="100" t="s">
        <v>7972</v>
      </c>
    </row>
    <row r="292" spans="5:5">
      <c r="E292" s="100" t="s">
        <v>7976</v>
      </c>
    </row>
    <row r="293" spans="5:5">
      <c r="E293" s="100" t="s">
        <v>7980</v>
      </c>
    </row>
    <row r="294" spans="5:5">
      <c r="E294" s="100" t="s">
        <v>7984</v>
      </c>
    </row>
    <row r="295" spans="5:5">
      <c r="E295" s="100" t="s">
        <v>7988</v>
      </c>
    </row>
    <row r="296" spans="5:5">
      <c r="E296" s="100" t="s">
        <v>7992</v>
      </c>
    </row>
    <row r="297" spans="5:5">
      <c r="E297" s="100" t="s">
        <v>7996</v>
      </c>
    </row>
    <row r="298" spans="5:5">
      <c r="E298" s="100" t="s">
        <v>8000</v>
      </c>
    </row>
    <row r="299" spans="5:5">
      <c r="E299" s="100" t="s">
        <v>8004</v>
      </c>
    </row>
    <row r="300" spans="5:5">
      <c r="E300" s="100" t="s">
        <v>8008</v>
      </c>
    </row>
    <row r="301" spans="5:5">
      <c r="E301" s="100" t="s">
        <v>8012</v>
      </c>
    </row>
    <row r="302" spans="5:5">
      <c r="E302" s="100" t="s">
        <v>8016</v>
      </c>
    </row>
    <row r="303" spans="5:5">
      <c r="E303" s="100" t="s">
        <v>8020</v>
      </c>
    </row>
    <row r="304" spans="5:5">
      <c r="E304" s="100" t="s">
        <v>8024</v>
      </c>
    </row>
    <row r="305" spans="5:5">
      <c r="E305" s="100" t="s">
        <v>8028</v>
      </c>
    </row>
    <row r="306" spans="5:5">
      <c r="E306" s="100" t="s">
        <v>8032</v>
      </c>
    </row>
    <row r="307" spans="5:5">
      <c r="E307" s="100" t="s">
        <v>8036</v>
      </c>
    </row>
    <row r="308" spans="5:5">
      <c r="E308" s="100" t="s">
        <v>8040</v>
      </c>
    </row>
    <row r="309" spans="5:5">
      <c r="E309" s="100" t="s">
        <v>8044</v>
      </c>
    </row>
    <row r="310" spans="5:5">
      <c r="E310" s="100" t="s">
        <v>8048</v>
      </c>
    </row>
    <row r="311" spans="5:5">
      <c r="E311" s="100" t="s">
        <v>8052</v>
      </c>
    </row>
    <row r="312" spans="5:5">
      <c r="E312" s="100" t="s">
        <v>8056</v>
      </c>
    </row>
    <row r="313" spans="5:5">
      <c r="E313" s="100" t="s">
        <v>8060</v>
      </c>
    </row>
    <row r="314" spans="5:5">
      <c r="E314" s="100" t="s">
        <v>8064</v>
      </c>
    </row>
    <row r="315" spans="5:5">
      <c r="E315" s="100" t="s">
        <v>8068</v>
      </c>
    </row>
    <row r="316" spans="5:5">
      <c r="E316" s="100" t="s">
        <v>8072</v>
      </c>
    </row>
    <row r="317" spans="5:5">
      <c r="E317" s="100" t="s">
        <v>8076</v>
      </c>
    </row>
    <row r="318" spans="5:5">
      <c r="E318" s="100" t="s">
        <v>8080</v>
      </c>
    </row>
    <row r="319" spans="5:5">
      <c r="E319" s="100" t="s">
        <v>8084</v>
      </c>
    </row>
    <row r="320" spans="5:5">
      <c r="E320" s="100" t="s">
        <v>8088</v>
      </c>
    </row>
    <row r="321" spans="5:5">
      <c r="E321" s="100" t="s">
        <v>8092</v>
      </c>
    </row>
    <row r="322" spans="5:5">
      <c r="E322" s="100" t="s">
        <v>8096</v>
      </c>
    </row>
    <row r="323" spans="5:5">
      <c r="E323" s="100" t="s">
        <v>8100</v>
      </c>
    </row>
    <row r="324" spans="5:5">
      <c r="E324" s="100" t="s">
        <v>8104</v>
      </c>
    </row>
    <row r="325" spans="5:5">
      <c r="E325" s="100" t="s">
        <v>8108</v>
      </c>
    </row>
    <row r="326" spans="5:5">
      <c r="E326" s="100" t="s">
        <v>8112</v>
      </c>
    </row>
    <row r="327" spans="5:5">
      <c r="E327" s="100" t="s">
        <v>8116</v>
      </c>
    </row>
    <row r="328" spans="5:5">
      <c r="E328" s="100" t="s">
        <v>8120</v>
      </c>
    </row>
    <row r="329" spans="5:5">
      <c r="E329" s="100" t="s">
        <v>8124</v>
      </c>
    </row>
    <row r="330" spans="5:5">
      <c r="E330" s="100" t="s">
        <v>8128</v>
      </c>
    </row>
    <row r="331" spans="5:5">
      <c r="E331" s="100" t="s">
        <v>8132</v>
      </c>
    </row>
    <row r="332" spans="5:5">
      <c r="E332" s="100" t="s">
        <v>8136</v>
      </c>
    </row>
    <row r="333" spans="5:5">
      <c r="E333" s="100" t="s">
        <v>8140</v>
      </c>
    </row>
    <row r="334" spans="5:5">
      <c r="E334" s="100" t="s">
        <v>8144</v>
      </c>
    </row>
    <row r="335" spans="5:5">
      <c r="E335" s="100" t="s">
        <v>8148</v>
      </c>
    </row>
    <row r="336" spans="5:5">
      <c r="E336" s="100" t="s">
        <v>8152</v>
      </c>
    </row>
    <row r="337" spans="5:5">
      <c r="E337" s="100" t="s">
        <v>8156</v>
      </c>
    </row>
    <row r="338" spans="5:5">
      <c r="E338" s="100" t="s">
        <v>8160</v>
      </c>
    </row>
    <row r="339" spans="5:5">
      <c r="E339" s="100" t="s">
        <v>8164</v>
      </c>
    </row>
    <row r="340" spans="5:5">
      <c r="E340" s="100" t="s">
        <v>8168</v>
      </c>
    </row>
    <row r="341" spans="5:5">
      <c r="E341" s="100" t="s">
        <v>8172</v>
      </c>
    </row>
    <row r="342" spans="5:5">
      <c r="E342" s="100" t="s">
        <v>8176</v>
      </c>
    </row>
    <row r="343" spans="5:5">
      <c r="E343" s="100" t="s">
        <v>8180</v>
      </c>
    </row>
    <row r="344" spans="5:5">
      <c r="E344" s="100" t="s">
        <v>8184</v>
      </c>
    </row>
    <row r="345" spans="5:5">
      <c r="E345" s="100" t="s">
        <v>8188</v>
      </c>
    </row>
    <row r="346" spans="5:5">
      <c r="E346" s="100" t="s">
        <v>8192</v>
      </c>
    </row>
    <row r="347" spans="5:5">
      <c r="E347" s="100" t="s">
        <v>8196</v>
      </c>
    </row>
    <row r="348" spans="5:5">
      <c r="E348" s="100" t="s">
        <v>8200</v>
      </c>
    </row>
    <row r="349" spans="5:5">
      <c r="E349" s="100" t="s">
        <v>8204</v>
      </c>
    </row>
    <row r="350" spans="5:5">
      <c r="E350" s="100" t="s">
        <v>8208</v>
      </c>
    </row>
    <row r="351" spans="5:5">
      <c r="E351" s="100" t="s">
        <v>8212</v>
      </c>
    </row>
    <row r="352" spans="5:5">
      <c r="E352" s="100" t="s">
        <v>8216</v>
      </c>
    </row>
    <row r="353" spans="5:5">
      <c r="E353" s="100" t="s">
        <v>8220</v>
      </c>
    </row>
    <row r="354" spans="5:5">
      <c r="E354" s="100" t="s">
        <v>8224</v>
      </c>
    </row>
    <row r="355" spans="5:5">
      <c r="E355" s="100" t="s">
        <v>8228</v>
      </c>
    </row>
    <row r="356" spans="5:5">
      <c r="E356" s="100" t="s">
        <v>8232</v>
      </c>
    </row>
    <row r="357" spans="5:5">
      <c r="E357" s="100" t="s">
        <v>8236</v>
      </c>
    </row>
    <row r="358" spans="5:5">
      <c r="E358" s="100" t="s">
        <v>8240</v>
      </c>
    </row>
    <row r="359" spans="5:5">
      <c r="E359" s="100" t="s">
        <v>8244</v>
      </c>
    </row>
    <row r="360" spans="5:5">
      <c r="E360" s="100" t="s">
        <v>8248</v>
      </c>
    </row>
    <row r="361" spans="5:5">
      <c r="E361" s="100" t="s">
        <v>8252</v>
      </c>
    </row>
    <row r="362" spans="5:5">
      <c r="E362" s="100" t="s">
        <v>8256</v>
      </c>
    </row>
    <row r="363" spans="5:5">
      <c r="E363" s="100" t="s">
        <v>8260</v>
      </c>
    </row>
    <row r="364" spans="5:5">
      <c r="E364" s="100" t="s">
        <v>8264</v>
      </c>
    </row>
    <row r="365" spans="5:5">
      <c r="E365" s="100" t="s">
        <v>8268</v>
      </c>
    </row>
    <row r="366" spans="5:5">
      <c r="E366" s="100" t="s">
        <v>8272</v>
      </c>
    </row>
    <row r="367" spans="5:5">
      <c r="E367" s="100" t="s">
        <v>8276</v>
      </c>
    </row>
    <row r="368" spans="5:5">
      <c r="E368" s="100" t="s">
        <v>8280</v>
      </c>
    </row>
    <row r="369" spans="5:5">
      <c r="E369" s="100" t="s">
        <v>8284</v>
      </c>
    </row>
    <row r="370" spans="5:5">
      <c r="E370" s="100" t="s">
        <v>8288</v>
      </c>
    </row>
    <row r="371" spans="5:5">
      <c r="E371" s="100" t="s">
        <v>8292</v>
      </c>
    </row>
    <row r="372" spans="5:5">
      <c r="E372" s="100" t="s">
        <v>8296</v>
      </c>
    </row>
    <row r="373" spans="5:5">
      <c r="E373" s="100" t="s">
        <v>8300</v>
      </c>
    </row>
    <row r="374" spans="5:5">
      <c r="E374" s="100" t="s">
        <v>8304</v>
      </c>
    </row>
    <row r="375" spans="5:5">
      <c r="E375" s="100" t="s">
        <v>8308</v>
      </c>
    </row>
    <row r="376" spans="5:5">
      <c r="E376" s="100" t="s">
        <v>8312</v>
      </c>
    </row>
    <row r="377" spans="5:5">
      <c r="E377" s="100" t="s">
        <v>8316</v>
      </c>
    </row>
    <row r="378" spans="5:5">
      <c r="E378" s="100" t="s">
        <v>8320</v>
      </c>
    </row>
    <row r="379" spans="5:5">
      <c r="E379" s="100" t="s">
        <v>8324</v>
      </c>
    </row>
    <row r="380" spans="5:5">
      <c r="E380" s="100" t="s">
        <v>8328</v>
      </c>
    </row>
    <row r="381" spans="5:5">
      <c r="E381" s="100" t="s">
        <v>8332</v>
      </c>
    </row>
    <row r="382" spans="5:5">
      <c r="E382" s="100" t="s">
        <v>8336</v>
      </c>
    </row>
    <row r="383" spans="5:5">
      <c r="E383" s="100" t="s">
        <v>8340</v>
      </c>
    </row>
    <row r="384" spans="5:5">
      <c r="E384" s="100" t="s">
        <v>8344</v>
      </c>
    </row>
    <row r="385" spans="5:5">
      <c r="E385" s="100" t="s">
        <v>8348</v>
      </c>
    </row>
    <row r="386" spans="5:5">
      <c r="E386" s="100" t="s">
        <v>8352</v>
      </c>
    </row>
    <row r="387" spans="5:5">
      <c r="E387" s="100" t="s">
        <v>7800</v>
      </c>
    </row>
    <row r="388" spans="5:5">
      <c r="E388" s="100" t="s">
        <v>7802</v>
      </c>
    </row>
    <row r="389" spans="5:5">
      <c r="E389" s="100" t="s">
        <v>8356</v>
      </c>
    </row>
    <row r="390" spans="5:5">
      <c r="E390" s="100" t="s">
        <v>8360</v>
      </c>
    </row>
    <row r="391" spans="5:5">
      <c r="E391" s="100" t="s">
        <v>8364</v>
      </c>
    </row>
    <row r="392" spans="5:5">
      <c r="E392" s="100" t="s">
        <v>8368</v>
      </c>
    </row>
    <row r="393" spans="5:5">
      <c r="E393" s="100" t="s">
        <v>8372</v>
      </c>
    </row>
    <row r="394" spans="5:5">
      <c r="E394" s="100" t="s">
        <v>8376</v>
      </c>
    </row>
    <row r="395" spans="5:5">
      <c r="E395" s="100" t="s">
        <v>8380</v>
      </c>
    </row>
    <row r="396" spans="5:5">
      <c r="E396" s="100" t="s">
        <v>8384</v>
      </c>
    </row>
    <row r="397" spans="5:5">
      <c r="E397" s="100" t="s">
        <v>8388</v>
      </c>
    </row>
    <row r="398" spans="5:5">
      <c r="E398" s="100" t="s">
        <v>8392</v>
      </c>
    </row>
    <row r="399" spans="5:5">
      <c r="E399" s="100" t="s">
        <v>8396</v>
      </c>
    </row>
    <row r="400" spans="5:5">
      <c r="E400" s="100" t="s">
        <v>8400</v>
      </c>
    </row>
    <row r="401" spans="5:5">
      <c r="E401" s="100" t="s">
        <v>8404</v>
      </c>
    </row>
    <row r="402" spans="5:5">
      <c r="E402" s="100" t="s">
        <v>8408</v>
      </c>
    </row>
    <row r="403" spans="5:5">
      <c r="E403" s="100" t="s">
        <v>8412</v>
      </c>
    </row>
    <row r="404" spans="5:5">
      <c r="E404" s="100" t="s">
        <v>8416</v>
      </c>
    </row>
    <row r="405" spans="5:5">
      <c r="E405" s="100" t="s">
        <v>8420</v>
      </c>
    </row>
    <row r="406" spans="5:5">
      <c r="E406" s="100" t="s">
        <v>8424</v>
      </c>
    </row>
    <row r="407" spans="5:5">
      <c r="E407" s="100" t="s">
        <v>8428</v>
      </c>
    </row>
    <row r="408" spans="5:5">
      <c r="E408" s="100" t="s">
        <v>8432</v>
      </c>
    </row>
    <row r="409" spans="5:5">
      <c r="E409" s="100" t="s">
        <v>8436</v>
      </c>
    </row>
    <row r="410" spans="5:5">
      <c r="E410" s="100" t="s">
        <v>8440</v>
      </c>
    </row>
    <row r="411" spans="5:5">
      <c r="E411" s="100" t="s">
        <v>8444</v>
      </c>
    </row>
    <row r="412" spans="5:5">
      <c r="E412" s="100" t="s">
        <v>8448</v>
      </c>
    </row>
    <row r="413" spans="5:5">
      <c r="E413" s="100" t="s">
        <v>8452</v>
      </c>
    </row>
    <row r="414" spans="5:5">
      <c r="E414" s="100" t="s">
        <v>8456</v>
      </c>
    </row>
    <row r="415" spans="5:5">
      <c r="E415" s="100" t="s">
        <v>8460</v>
      </c>
    </row>
    <row r="416" spans="5:5">
      <c r="E416" s="100" t="s">
        <v>8464</v>
      </c>
    </row>
    <row r="417" spans="5:5">
      <c r="E417" s="100" t="s">
        <v>8468</v>
      </c>
    </row>
    <row r="418" spans="5:5">
      <c r="E418" s="100" t="s">
        <v>8472</v>
      </c>
    </row>
    <row r="419" spans="5:5">
      <c r="E419" s="100" t="s">
        <v>8476</v>
      </c>
    </row>
    <row r="420" spans="5:5">
      <c r="E420" s="100" t="s">
        <v>8480</v>
      </c>
    </row>
    <row r="421" spans="5:5">
      <c r="E421" s="100" t="s">
        <v>8484</v>
      </c>
    </row>
    <row r="422" spans="5:5">
      <c r="E422" s="100" t="s">
        <v>8488</v>
      </c>
    </row>
    <row r="423" spans="5:5">
      <c r="E423" s="100" t="s">
        <v>8492</v>
      </c>
    </row>
    <row r="424" spans="5:5">
      <c r="E424" s="100" t="s">
        <v>8496</v>
      </c>
    </row>
    <row r="425" spans="5:5">
      <c r="E425" s="100" t="s">
        <v>8500</v>
      </c>
    </row>
    <row r="426" spans="5:5">
      <c r="E426" s="100" t="s">
        <v>8504</v>
      </c>
    </row>
    <row r="427" spans="5:5">
      <c r="E427" s="100" t="s">
        <v>8508</v>
      </c>
    </row>
    <row r="428" spans="5:5">
      <c r="E428" s="100" t="s">
        <v>8512</v>
      </c>
    </row>
    <row r="429" spans="5:5">
      <c r="E429" s="100" t="s">
        <v>8516</v>
      </c>
    </row>
    <row r="430" spans="5:5">
      <c r="E430" s="100" t="s">
        <v>8520</v>
      </c>
    </row>
    <row r="431" spans="5:5">
      <c r="E431" s="100" t="s">
        <v>8524</v>
      </c>
    </row>
    <row r="432" spans="5:5">
      <c r="E432" s="100" t="s">
        <v>8528</v>
      </c>
    </row>
    <row r="433" spans="5:5">
      <c r="E433" s="100" t="s">
        <v>8532</v>
      </c>
    </row>
    <row r="434" spans="5:5">
      <c r="E434" s="100" t="s">
        <v>8536</v>
      </c>
    </row>
    <row r="435" spans="5:5">
      <c r="E435" s="100" t="s">
        <v>8540</v>
      </c>
    </row>
    <row r="436" spans="5:5">
      <c r="E436" s="100" t="s">
        <v>8544</v>
      </c>
    </row>
    <row r="437" spans="5:5">
      <c r="E437" s="100" t="s">
        <v>8548</v>
      </c>
    </row>
    <row r="438" spans="5:5">
      <c r="E438" s="100" t="s">
        <v>8552</v>
      </c>
    </row>
    <row r="439" spans="5:5">
      <c r="E439" s="100" t="s">
        <v>8556</v>
      </c>
    </row>
    <row r="440" spans="5:5">
      <c r="E440" s="100" t="s">
        <v>8560</v>
      </c>
    </row>
    <row r="441" spans="5:5">
      <c r="E441" s="100" t="s">
        <v>8564</v>
      </c>
    </row>
    <row r="442" spans="5:5">
      <c r="E442" s="100" t="s">
        <v>8568</v>
      </c>
    </row>
    <row r="443" spans="5:5">
      <c r="E443" s="100" t="s">
        <v>8572</v>
      </c>
    </row>
    <row r="444" spans="5:5">
      <c r="E444" s="100" t="s">
        <v>8576</v>
      </c>
    </row>
    <row r="445" spans="5:5">
      <c r="E445" s="100" t="s">
        <v>8580</v>
      </c>
    </row>
    <row r="446" spans="5:5">
      <c r="E446" s="100" t="s">
        <v>8584</v>
      </c>
    </row>
    <row r="447" spans="5:5">
      <c r="E447" s="100" t="s">
        <v>8588</v>
      </c>
    </row>
    <row r="448" spans="5:5">
      <c r="E448" s="100" t="s">
        <v>8592</v>
      </c>
    </row>
    <row r="449" spans="5:5">
      <c r="E449" s="100" t="s">
        <v>8596</v>
      </c>
    </row>
    <row r="450" spans="5:5">
      <c r="E450" s="100" t="s">
        <v>8600</v>
      </c>
    </row>
    <row r="451" spans="5:5">
      <c r="E451" s="100" t="s">
        <v>8604</v>
      </c>
    </row>
    <row r="452" spans="5:5">
      <c r="E452" s="100" t="s">
        <v>8608</v>
      </c>
    </row>
    <row r="453" spans="5:5">
      <c r="E453" s="100" t="s">
        <v>8612</v>
      </c>
    </row>
    <row r="454" spans="5:5">
      <c r="E454" s="100" t="s">
        <v>8616</v>
      </c>
    </row>
    <row r="455" spans="5:5">
      <c r="E455" s="100" t="s">
        <v>8620</v>
      </c>
    </row>
    <row r="456" spans="5:5">
      <c r="E456" s="100" t="s">
        <v>6694</v>
      </c>
    </row>
    <row r="457" spans="5:5">
      <c r="E457" s="100" t="s">
        <v>6696</v>
      </c>
    </row>
    <row r="458" spans="5:5">
      <c r="E458" s="100" t="s">
        <v>6698</v>
      </c>
    </row>
    <row r="459" spans="5:5">
      <c r="E459" s="100" t="s">
        <v>6700</v>
      </c>
    </row>
    <row r="460" spans="5:5">
      <c r="E460" s="100" t="s">
        <v>6702</v>
      </c>
    </row>
    <row r="461" spans="5:5">
      <c r="E461" s="100" t="s">
        <v>6704</v>
      </c>
    </row>
    <row r="462" spans="5:5">
      <c r="E462" s="100" t="s">
        <v>6706</v>
      </c>
    </row>
    <row r="463" spans="5:5">
      <c r="E463" s="100" t="s">
        <v>6708</v>
      </c>
    </row>
    <row r="464" spans="5:5">
      <c r="E464" s="100" t="s">
        <v>6710</v>
      </c>
    </row>
    <row r="465" spans="5:5">
      <c r="E465" s="100" t="s">
        <v>6712</v>
      </c>
    </row>
    <row r="466" spans="5:5">
      <c r="E466" s="100" t="s">
        <v>6714</v>
      </c>
    </row>
    <row r="467" spans="5:5">
      <c r="E467" s="100" t="s">
        <v>6716</v>
      </c>
    </row>
    <row r="468" spans="5:5">
      <c r="E468" s="100" t="s">
        <v>6718</v>
      </c>
    </row>
    <row r="469" spans="5:5">
      <c r="E469" s="100" t="s">
        <v>6720</v>
      </c>
    </row>
    <row r="470" spans="5:5">
      <c r="E470" s="100" t="s">
        <v>6722</v>
      </c>
    </row>
    <row r="471" spans="5:5">
      <c r="E471" s="100" t="s">
        <v>6724</v>
      </c>
    </row>
    <row r="472" spans="5:5">
      <c r="E472" s="100" t="s">
        <v>6726</v>
      </c>
    </row>
    <row r="473" spans="5:5">
      <c r="E473" s="100" t="s">
        <v>6728</v>
      </c>
    </row>
    <row r="474" spans="5:5">
      <c r="E474" s="100" t="s">
        <v>6730</v>
      </c>
    </row>
    <row r="475" spans="5:5">
      <c r="E475" s="100" t="s">
        <v>6732</v>
      </c>
    </row>
    <row r="476" spans="5:5">
      <c r="E476" s="100" t="s">
        <v>6734</v>
      </c>
    </row>
    <row r="477" spans="5:5">
      <c r="E477" s="100" t="s">
        <v>6736</v>
      </c>
    </row>
    <row r="478" spans="5:5">
      <c r="E478" s="100" t="s">
        <v>6738</v>
      </c>
    </row>
    <row r="479" spans="5:5">
      <c r="E479" s="100" t="s">
        <v>6740</v>
      </c>
    </row>
    <row r="480" spans="5:5">
      <c r="E480" s="100" t="s">
        <v>8624</v>
      </c>
    </row>
    <row r="481" spans="5:5">
      <c r="E481" s="100" t="s">
        <v>8628</v>
      </c>
    </row>
    <row r="482" spans="5:5">
      <c r="E482" s="100" t="s">
        <v>8632</v>
      </c>
    </row>
    <row r="483" spans="5:5">
      <c r="E483" s="100" t="s">
        <v>8636</v>
      </c>
    </row>
    <row r="484" spans="5:5">
      <c r="E484" s="100" t="s">
        <v>8640</v>
      </c>
    </row>
    <row r="485" spans="5:5">
      <c r="E485" s="100" t="s">
        <v>8644</v>
      </c>
    </row>
    <row r="486" spans="5:5">
      <c r="E486" s="100" t="s">
        <v>8648</v>
      </c>
    </row>
    <row r="487" spans="5:5">
      <c r="E487" s="100" t="s">
        <v>8652</v>
      </c>
    </row>
    <row r="488" spans="5:5">
      <c r="E488" s="100" t="s">
        <v>7804</v>
      </c>
    </row>
    <row r="489" spans="5:5">
      <c r="E489" s="100" t="s">
        <v>7806</v>
      </c>
    </row>
    <row r="490" spans="5:5">
      <c r="E490" s="100" t="s">
        <v>8656</v>
      </c>
    </row>
    <row r="491" spans="5:5">
      <c r="E491" s="100" t="s">
        <v>8660</v>
      </c>
    </row>
    <row r="492" spans="5:5">
      <c r="E492" s="100" t="s">
        <v>8664</v>
      </c>
    </row>
    <row r="493" spans="5:5">
      <c r="E493" s="100" t="s">
        <v>8668</v>
      </c>
    </row>
    <row r="494" spans="5:5">
      <c r="E494" s="100" t="s">
        <v>8672</v>
      </c>
    </row>
    <row r="495" spans="5:5">
      <c r="E495" s="100" t="s">
        <v>8676</v>
      </c>
    </row>
    <row r="496" spans="5:5">
      <c r="E496" s="100" t="s">
        <v>7808</v>
      </c>
    </row>
    <row r="497" spans="5:5">
      <c r="E497" s="100" t="s">
        <v>7810</v>
      </c>
    </row>
    <row r="498" spans="5:5">
      <c r="E498" s="100" t="s">
        <v>8680</v>
      </c>
    </row>
    <row r="499" spans="5:5">
      <c r="E499" s="100" t="s">
        <v>8684</v>
      </c>
    </row>
    <row r="500" spans="5:5">
      <c r="E500" s="100" t="s">
        <v>8578</v>
      </c>
    </row>
  </sheetData>
  <customSheetViews>
    <customSheetView guid="{5693F48F-8FCA-4CC0-9286-11E7497B1810}">
      <selection activeCell="E1" sqref="E1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B1:I19"/>
  <sheetViews>
    <sheetView showGridLines="0" workbookViewId="0">
      <pane ySplit="2" topLeftCell="A3" activePane="bottomLeft" state="frozen"/>
      <selection pane="bottomLeft" activeCell="H6" sqref="H6"/>
    </sheetView>
  </sheetViews>
  <sheetFormatPr defaultRowHeight="12.75"/>
  <cols>
    <col min="1" max="1" width="4.625" style="102" customWidth="1"/>
    <col min="2" max="2" width="4.125" style="104" bestFit="1" customWidth="1"/>
    <col min="3" max="3" width="25.25" style="102" customWidth="1"/>
    <col min="4" max="4" width="33.25" style="102" customWidth="1"/>
    <col min="5" max="5" width="20.75" style="97" customWidth="1"/>
    <col min="6" max="6" width="16.375" style="97" bestFit="1" customWidth="1"/>
    <col min="7" max="7" width="6.5" style="88" bestFit="1" customWidth="1"/>
    <col min="8" max="8" width="37.5" style="103" customWidth="1"/>
    <col min="9" max="9" width="9" style="104"/>
    <col min="10" max="16384" width="9" style="102"/>
  </cols>
  <sheetData>
    <row r="1" spans="2:9" ht="29.25" customHeight="1">
      <c r="B1" s="117" t="s">
        <v>2157</v>
      </c>
    </row>
    <row r="2" spans="2:9" s="108" customFormat="1" ht="25.5" customHeight="1" thickBot="1">
      <c r="B2" s="105" t="s">
        <v>6</v>
      </c>
      <c r="C2" s="105" t="s">
        <v>7</v>
      </c>
      <c r="D2" s="105" t="s">
        <v>8</v>
      </c>
      <c r="E2" s="116" t="s">
        <v>2152</v>
      </c>
      <c r="F2" s="116" t="s">
        <v>2155</v>
      </c>
      <c r="G2" s="106" t="s">
        <v>2109</v>
      </c>
      <c r="H2" s="107" t="s">
        <v>2110</v>
      </c>
      <c r="I2" s="107" t="s">
        <v>2139</v>
      </c>
    </row>
    <row r="3" spans="2:9" ht="13.5" thickBot="1">
      <c r="B3" s="83">
        <v>1</v>
      </c>
      <c r="C3" s="140"/>
      <c r="D3" s="140"/>
      <c r="E3" s="109" t="e">
        <f>VLOOKUP($C$3:$C$93,'Nets not required'!$B$2:$C$3,2,0)</f>
        <v>#N/A</v>
      </c>
      <c r="F3" s="109" t="e">
        <f>VLOOKUP($C$3:$C$93,'Nets not required'!$E$2:$F$3,2,0)</f>
        <v>#N/A</v>
      </c>
      <c r="G3" s="110" t="e">
        <f>VLOOKUP($C$3:$C$93,'Nets not required'!#REF!,2,0)</f>
        <v>#REF!</v>
      </c>
      <c r="H3" s="142"/>
      <c r="I3" s="111"/>
    </row>
    <row r="4" spans="2:9" ht="13.5" thickBot="1">
      <c r="B4" s="83">
        <v>2</v>
      </c>
      <c r="C4" s="140"/>
      <c r="D4" s="140"/>
      <c r="E4" s="109" t="e">
        <f>VLOOKUP($C$3:$C$93,'Nets not required'!$B$2:$C$3,2,0)</f>
        <v>#N/A</v>
      </c>
      <c r="F4" s="109" t="e">
        <f>VLOOKUP($C$3:$C$93,'Nets not required'!$E$2:$F$3,2,0)</f>
        <v>#N/A</v>
      </c>
      <c r="G4" s="110" t="e">
        <f>VLOOKUP($C$3:$C$93,'Nets not required'!#REF!,2,0)</f>
        <v>#REF!</v>
      </c>
      <c r="H4" s="142"/>
      <c r="I4" s="111"/>
    </row>
    <row r="5" spans="2:9" ht="13.5" thickBot="1">
      <c r="B5" s="83">
        <v>3</v>
      </c>
      <c r="C5" s="127"/>
      <c r="D5" s="127"/>
      <c r="E5" s="109" t="e">
        <f>VLOOKUP($C$3:$C$93,'Nets not required'!$B$2:$C$3,2,0)</f>
        <v>#N/A</v>
      </c>
      <c r="F5" s="137" t="e">
        <f>VLOOKUP($C$3:$C$93,'Nets not required'!$E$2:$F$3,2,0)</f>
        <v>#N/A</v>
      </c>
      <c r="G5" s="110" t="e">
        <f>VLOOKUP($C$3:$C$93,'Nets not required'!#REF!,2,0)</f>
        <v>#REF!</v>
      </c>
      <c r="H5" s="118"/>
      <c r="I5" s="111"/>
    </row>
    <row r="6" spans="2:9" ht="13.5" thickBot="1">
      <c r="B6" s="83">
        <v>4</v>
      </c>
      <c r="C6" s="127"/>
      <c r="D6" s="127"/>
      <c r="E6" s="109" t="e">
        <f>VLOOKUP($C$3:$C$93,'Nets not required'!$B$2:$C$3,2,0)</f>
        <v>#N/A</v>
      </c>
      <c r="F6" s="109" t="e">
        <f>VLOOKUP($C$3:$C$93,'Nets not required'!$E$2:$F$3,2,0)</f>
        <v>#N/A</v>
      </c>
      <c r="G6" s="110" t="e">
        <f>VLOOKUP($C$3:$C$93,'Nets not required'!#REF!,2,0)</f>
        <v>#REF!</v>
      </c>
      <c r="H6" s="118"/>
      <c r="I6" s="111"/>
    </row>
    <row r="7" spans="2:9">
      <c r="B7" s="83">
        <v>5</v>
      </c>
      <c r="C7" s="83"/>
      <c r="D7" s="83"/>
      <c r="E7" s="109" t="e">
        <f>VLOOKUP($C$3:$C$93,'Nets not required'!$B$2:$C$3,2,0)</f>
        <v>#N/A</v>
      </c>
      <c r="F7" s="109" t="e">
        <f>VLOOKUP($C$3:$C$93,'Nets not required'!$E$2:$F$3,2,0)</f>
        <v>#N/A</v>
      </c>
      <c r="G7" s="110" t="e">
        <f>VLOOKUP($C$3:$C$93,'Nets not required'!#REF!,2,0)</f>
        <v>#REF!</v>
      </c>
      <c r="H7" s="118"/>
      <c r="I7" s="111"/>
    </row>
    <row r="8" spans="2:9">
      <c r="B8" s="83">
        <v>6</v>
      </c>
      <c r="C8" s="83"/>
      <c r="D8" s="83"/>
      <c r="E8" s="109" t="e">
        <f>VLOOKUP($C$3:$C$93,'Nets not required'!$B$2:$C$3,2,0)</f>
        <v>#N/A</v>
      </c>
      <c r="F8" s="109" t="e">
        <f>VLOOKUP($C$3:$C$93,'Nets not required'!$E$2:$F$3,2,0)</f>
        <v>#N/A</v>
      </c>
      <c r="G8" s="110" t="e">
        <f>VLOOKUP($C$3:$C$93,'Nets not required'!#REF!,2,0)</f>
        <v>#REF!</v>
      </c>
      <c r="H8" s="118"/>
      <c r="I8" s="111"/>
    </row>
    <row r="9" spans="2:9">
      <c r="B9" s="83">
        <v>7</v>
      </c>
      <c r="C9" s="83"/>
      <c r="D9" s="124"/>
      <c r="E9" s="109" t="e">
        <f>VLOOKUP($C$3:$C$93,'Nets not required'!$B$2:$C$3,2,0)</f>
        <v>#N/A</v>
      </c>
      <c r="F9" s="109" t="e">
        <f>VLOOKUP($C$3:$C$93,'Nets not required'!$E$2:$F$3,2,0)</f>
        <v>#N/A</v>
      </c>
      <c r="G9" s="110" t="e">
        <f>VLOOKUP($C$3:$C$93,'Nets not required'!#REF!,2,0)</f>
        <v>#REF!</v>
      </c>
      <c r="H9" s="118"/>
      <c r="I9" s="111"/>
    </row>
    <row r="10" spans="2:9">
      <c r="B10" s="83">
        <v>8</v>
      </c>
      <c r="C10" s="83"/>
      <c r="D10" s="83"/>
      <c r="E10" s="109" t="e">
        <f>VLOOKUP($C$3:$C$93,'Nets not required'!$B$2:$C$3,2,0)</f>
        <v>#N/A</v>
      </c>
      <c r="F10" s="109" t="e">
        <f>VLOOKUP($C$3:$C$93,'Nets not required'!$E$2:$F$3,2,0)</f>
        <v>#N/A</v>
      </c>
      <c r="G10" s="110" t="e">
        <f>VLOOKUP($C$3:$C$93,'Nets not required'!#REF!,2,0)</f>
        <v>#REF!</v>
      </c>
      <c r="H10" s="118"/>
      <c r="I10" s="111"/>
    </row>
    <row r="11" spans="2:9">
      <c r="B11" s="83">
        <v>9</v>
      </c>
      <c r="C11" s="83"/>
      <c r="D11" s="83"/>
      <c r="E11" s="109" t="e">
        <f>VLOOKUP($C$3:$C$93,'Nets not required'!$B$2:$C$3,2,0)</f>
        <v>#N/A</v>
      </c>
      <c r="F11" s="109" t="e">
        <f>VLOOKUP($C$3:$C$93,'Nets not required'!$E$2:$F$3,2,0)</f>
        <v>#N/A</v>
      </c>
      <c r="G11" s="110" t="e">
        <f>VLOOKUP($C$3:$C$93,'Nets not required'!#REF!,2,0)</f>
        <v>#REF!</v>
      </c>
      <c r="H11" s="118"/>
      <c r="I11" s="111"/>
    </row>
    <row r="12" spans="2:9">
      <c r="B12" s="83">
        <v>10</v>
      </c>
      <c r="C12" s="83"/>
      <c r="D12" s="83"/>
      <c r="E12" s="109" t="e">
        <f>VLOOKUP($C$3:$C$93,'Nets not required'!$B$2:$C$3,2,0)</f>
        <v>#N/A</v>
      </c>
      <c r="F12" s="109" t="e">
        <f>VLOOKUP($C$3:$C$93,'Nets not required'!$E$2:$F$3,2,0)</f>
        <v>#N/A</v>
      </c>
      <c r="G12" s="110" t="e">
        <f>VLOOKUP($C$3:$C$93,'Nets not required'!#REF!,2,0)</f>
        <v>#REF!</v>
      </c>
      <c r="H12" s="118"/>
      <c r="I12" s="111"/>
    </row>
    <row r="13" spans="2:9">
      <c r="B13" s="83">
        <v>11</v>
      </c>
      <c r="C13" s="83"/>
      <c r="D13" s="83"/>
      <c r="E13" s="109" t="e">
        <f>VLOOKUP($C$3:$C$93,'Nets not required'!$B$2:$C$3,2,0)</f>
        <v>#N/A</v>
      </c>
      <c r="F13" s="109" t="e">
        <f>VLOOKUP($C$3:$C$93,'Nets not required'!$E$2:$F$3,2,0)</f>
        <v>#N/A</v>
      </c>
      <c r="G13" s="110" t="e">
        <f>VLOOKUP($C$3:$C$93,'Nets not required'!#REF!,2,0)</f>
        <v>#REF!</v>
      </c>
      <c r="H13" s="118"/>
      <c r="I13" s="111"/>
    </row>
    <row r="14" spans="2:9">
      <c r="B14" s="83">
        <v>12</v>
      </c>
      <c r="C14" s="83"/>
      <c r="D14" s="83"/>
      <c r="E14" s="109" t="e">
        <f>VLOOKUP($C$3:$C$93,'Nets not required'!$B$2:$C$3,2,0)</f>
        <v>#N/A</v>
      </c>
      <c r="F14" s="109" t="e">
        <f>VLOOKUP($C$3:$C$93,'Nets not required'!$E$2:$F$3,2,0)</f>
        <v>#N/A</v>
      </c>
      <c r="G14" s="110" t="e">
        <f>VLOOKUP($C$3:$C$93,'Nets not required'!#REF!,2,0)</f>
        <v>#REF!</v>
      </c>
      <c r="H14" s="118"/>
      <c r="I14" s="111"/>
    </row>
    <row r="15" spans="2:9">
      <c r="B15" s="83">
        <v>13</v>
      </c>
      <c r="C15" s="83"/>
      <c r="D15" s="83"/>
      <c r="E15" s="109" t="e">
        <f>VLOOKUP($C$3:$C$93,'Nets not required'!$B$2:$C$3,2,0)</f>
        <v>#N/A</v>
      </c>
      <c r="F15" s="109" t="e">
        <f>VLOOKUP($C$3:$C$93,'Nets not required'!$E$2:$F$3,2,0)</f>
        <v>#N/A</v>
      </c>
      <c r="G15" s="110" t="e">
        <f>VLOOKUP($C$3:$C$93,'Nets not required'!#REF!,2,0)</f>
        <v>#REF!</v>
      </c>
      <c r="H15" s="118"/>
      <c r="I15" s="111"/>
    </row>
    <row r="16" spans="2:9">
      <c r="B16" s="83">
        <v>14</v>
      </c>
      <c r="C16" s="83"/>
      <c r="D16" s="83"/>
      <c r="E16" s="109" t="e">
        <f>VLOOKUP($C$3:$C$93,'Nets not required'!$B$2:$C$3,2,0)</f>
        <v>#N/A</v>
      </c>
      <c r="F16" s="109" t="e">
        <f>VLOOKUP($C$3:$C$93,'Nets not required'!$E$2:$F$3,2,0)</f>
        <v>#N/A</v>
      </c>
      <c r="G16" s="110" t="e">
        <f>VLOOKUP($C$3:$C$93,'Nets not required'!#REF!,2,0)</f>
        <v>#REF!</v>
      </c>
      <c r="H16" s="118"/>
      <c r="I16" s="111"/>
    </row>
    <row r="17" spans="2:9">
      <c r="B17" s="83">
        <v>15</v>
      </c>
      <c r="C17" s="83"/>
      <c r="D17" s="83"/>
      <c r="E17" s="109" t="e">
        <f>VLOOKUP($C$3:$C$93,'Nets not required'!$B$2:$C$3,2,0)</f>
        <v>#N/A</v>
      </c>
      <c r="F17" s="109" t="e">
        <f>VLOOKUP($C$3:$C$93,'Nets not required'!$E$2:$F$3,2,0)</f>
        <v>#N/A</v>
      </c>
      <c r="G17" s="110" t="e">
        <f>VLOOKUP($C$3:$C$93,'Nets not required'!#REF!,2,0)</f>
        <v>#REF!</v>
      </c>
      <c r="H17" s="118"/>
      <c r="I17" s="111"/>
    </row>
    <row r="18" spans="2:9">
      <c r="B18" s="83">
        <v>16</v>
      </c>
      <c r="C18" s="83"/>
      <c r="D18" s="83"/>
      <c r="E18" s="109" t="e">
        <f>VLOOKUP($C$3:$C$93,'Nets not required'!$B$2:$C$3,2,0)</f>
        <v>#N/A</v>
      </c>
      <c r="F18" s="109" t="e">
        <f>VLOOKUP($C$3:$C$93,'Nets not required'!$E$2:$F$3,2,0)</f>
        <v>#N/A</v>
      </c>
      <c r="G18" s="110" t="e">
        <f>VLOOKUP($C$3:$C$93,'Nets not required'!#REF!,2,0)</f>
        <v>#REF!</v>
      </c>
      <c r="H18" s="118"/>
      <c r="I18" s="111"/>
    </row>
    <row r="19" spans="2:9">
      <c r="B19" s="83">
        <v>17</v>
      </c>
      <c r="C19" s="83"/>
      <c r="D19" s="83"/>
      <c r="E19" s="109" t="e">
        <f>VLOOKUP($C$3:$C$93,'Nets not required'!$B$2:$C$3,2,0)</f>
        <v>#N/A</v>
      </c>
      <c r="F19" s="109" t="e">
        <f>VLOOKUP($C$3:$C$93,'Nets not required'!$E$2:$F$3,2,0)</f>
        <v>#N/A</v>
      </c>
      <c r="G19" s="110" t="e">
        <f>VLOOKUP($C$3:$C$93,'Nets not required'!#REF!,2,0)</f>
        <v>#REF!</v>
      </c>
      <c r="H19" s="118"/>
      <c r="I19" s="111"/>
    </row>
  </sheetData>
  <customSheetViews>
    <customSheetView guid="{5693F48F-8FCA-4CC0-9286-11E7497B1810}" showGridLines="0">
      <pane ySplit="2" topLeftCell="A3" activePane="bottomLeft" state="frozen"/>
      <selection pane="bottomLeft" activeCell="E16" sqref="E16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5"/>
  <sheetViews>
    <sheetView workbookViewId="0">
      <selection activeCell="G9" sqref="G9"/>
    </sheetView>
  </sheetViews>
  <sheetFormatPr defaultRowHeight="16.5"/>
  <cols>
    <col min="1" max="1" width="3.25" bestFit="1" customWidth="1"/>
  </cols>
  <sheetData>
    <row r="1" spans="1:2">
      <c r="A1" s="3">
        <v>1</v>
      </c>
      <c r="B1" s="5" t="s">
        <v>2113</v>
      </c>
    </row>
    <row r="2" spans="1:2">
      <c r="A2" s="3">
        <v>2</v>
      </c>
      <c r="B2" s="3" t="s">
        <v>2114</v>
      </c>
    </row>
    <row r="3" spans="1:2">
      <c r="A3" s="3">
        <v>3</v>
      </c>
      <c r="B3" s="3" t="s">
        <v>2115</v>
      </c>
    </row>
    <row r="4" spans="1:2">
      <c r="A4" s="3">
        <v>4</v>
      </c>
      <c r="B4" s="3" t="s">
        <v>2116</v>
      </c>
    </row>
    <row r="5" spans="1:2">
      <c r="A5" s="6">
        <v>5</v>
      </c>
      <c r="B5" s="6" t="s">
        <v>2117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NC testable</vt:lpstr>
      <vt:lpstr>NC untestable</vt:lpstr>
      <vt:lpstr>Definition</vt:lpstr>
      <vt:lpstr>Net coverage summary</vt:lpstr>
      <vt:lpstr>Testable nets list</vt:lpstr>
      <vt:lpstr>Untestable nets list</vt:lpstr>
      <vt:lpstr>Nets not required</vt:lpstr>
      <vt:lpstr>Dont need DFT net list</vt:lpstr>
      <vt:lpstr>工作表1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Kanward Mao/WZS/Wistron</dc:creator>
  <cp:lastModifiedBy>David JH Lin/WYHQ/Wiwynn</cp:lastModifiedBy>
  <cp:lastPrinted>2014-09-11T09:28:21Z</cp:lastPrinted>
  <dcterms:created xsi:type="dcterms:W3CDTF">2000-12-14T02:41:57Z</dcterms:created>
  <dcterms:modified xsi:type="dcterms:W3CDTF">2022-04-08T07:02:43Z</dcterms:modified>
</cp:coreProperties>
</file>